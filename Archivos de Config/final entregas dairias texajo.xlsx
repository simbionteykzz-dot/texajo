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OS_DIARIOS" sheetId="1" r:id="rId5"/>
    <sheet state="visible" name="Hoja 1" sheetId="2" r:id="rId6"/>
    <sheet state="visible" name="INSTRUCCIONES" sheetId="3" r:id="rId7"/>
    <sheet state="visible" name="CONFIG" sheetId="4" r:id="rId8"/>
    <sheet state="visible" name="PRODUCTOS" sheetId="5" r:id="rId9"/>
    <sheet state="visible" name="CLIENTES" sheetId="6" r:id="rId10"/>
    <sheet state="visible" name="COLORES" sheetId="7" r:id="rId11"/>
    <sheet state="visible" name="DASHBOARD" sheetId="8" r:id="rId12"/>
  </sheets>
  <definedNames>
    <definedName name="LISTA_COLORES">COLORES!$A$4:$A$53</definedName>
    <definedName name="LISTA_CLIENTES">CLIENTES!$A$4:$A$18</definedName>
    <definedName name="LISTA_PRODUCTOS">PRODUCTOS!$A$4:$A$28</definedName>
    <definedName hidden="1" localSheetId="4" name="_xlnm._FilterDatabase">PRODUCTOS!$A$3:$I$28</definedName>
  </definedNames>
  <calcPr/>
</workbook>
</file>

<file path=xl/sharedStrings.xml><?xml version="1.0" encoding="utf-8"?>
<sst xmlns="http://schemas.openxmlformats.org/spreadsheetml/2006/main" count="1429" uniqueCount="155">
  <si>
    <t>COBROS DIARIOS — Una fila por entrega/cobro</t>
  </si>
  <si>
    <t>Cantidades en columnas S/M/L/XL, el TOTAL se suma automático. COLOR dropdown.</t>
  </si>
  <si>
    <t>FECHA</t>
  </si>
  <si>
    <t>N° CORTE</t>
  </si>
  <si>
    <t>N° FACTURA</t>
  </si>
  <si>
    <t>CLIENTE</t>
  </si>
  <si>
    <t>PRODUCTO</t>
  </si>
  <si>
    <t>COLOR</t>
  </si>
  <si>
    <t>S</t>
  </si>
  <si>
    <t>M</t>
  </si>
  <si>
    <t>L</t>
  </si>
  <si>
    <t>XL</t>
  </si>
  <si>
    <t>TOTAL
(auto)</t>
  </si>
  <si>
    <t>PRECIO UNIT
(auto)</t>
  </si>
  <si>
    <t>BRUTO
(auto)</t>
  </si>
  <si>
    <t>DETRACCIÓN
10%</t>
  </si>
  <si>
    <t>DISPONIBLE
90%</t>
  </si>
  <si>
    <t>ESTADO</t>
  </si>
  <si>
    <t>NOTAS</t>
  </si>
  <si>
    <t>q</t>
  </si>
  <si>
    <t>OverShark</t>
  </si>
  <si>
    <t>baby ty ml</t>
  </si>
  <si>
    <t>Perla</t>
  </si>
  <si>
    <t>PENDIENTE</t>
  </si>
  <si>
    <t>Vino</t>
  </si>
  <si>
    <t>pique camisero</t>
  </si>
  <si>
    <t>Azul Marino</t>
  </si>
  <si>
    <t>jersey manga corta</t>
  </si>
  <si>
    <t>Denim</t>
  </si>
  <si>
    <t>wafle clasico</t>
  </si>
  <si>
    <t>Beige</t>
  </si>
  <si>
    <t>Bravos</t>
  </si>
  <si>
    <t>polera neru</t>
  </si>
  <si>
    <t>Polera Boxy</t>
  </si>
  <si>
    <t>Negro</t>
  </si>
  <si>
    <t>P. Rosa</t>
  </si>
  <si>
    <t>Topo</t>
  </si>
  <si>
    <t>Baby Tee con S</t>
  </si>
  <si>
    <t>Baby Tee M/L S</t>
  </si>
  <si>
    <t>Colegial</t>
  </si>
  <si>
    <t>V. Pacay</t>
  </si>
  <si>
    <t>top ml rib</t>
  </si>
  <si>
    <t>top mc rib</t>
  </si>
  <si>
    <t>jersey manga larga</t>
  </si>
  <si>
    <t>Cemento</t>
  </si>
  <si>
    <t>wafle camisero</t>
  </si>
  <si>
    <t>Botella</t>
  </si>
  <si>
    <t>Melange</t>
  </si>
  <si>
    <t>Pantalón Bratz</t>
  </si>
  <si>
    <t>wafle manga larga</t>
  </si>
  <si>
    <t>top cero rib</t>
  </si>
  <si>
    <t>wafle camisa</t>
  </si>
  <si>
    <t>Palo Rosa</t>
  </si>
  <si>
    <t>baby ty mc</t>
  </si>
  <si>
    <t>COBROS TALLER — Cuánto cobrar al cliente x prenda</t>
  </si>
  <si>
    <t>PROPÓSITO:</t>
  </si>
  <si>
    <t>Saber cuánto debes cobrar al cliente por cada prenda que confeccionas,</t>
  </si>
  <si>
    <t>considerando tu costo de mano de obra interno, el margen que quieres ganar</t>
  </si>
  <si>
    <t>y la detracción del 10% que se aplica en Perú.</t>
  </si>
  <si>
    <t>CÓMO USAR:</t>
  </si>
  <si>
    <t>1) PRODUCTOS — tabla con todos los productos del taller.</t>
  </si>
  <si>
    <t xml:space="preserve">   • Llena COSTO MO (lo que pagas a los costureros por hacer 1 prenda)</t>
  </si>
  <si>
    <t xml:space="preserve">   • Llena PRECIO VENTA ACTUAL (lo que estás cobrando hoy al cliente)</t>
  </si>
  <si>
    <t xml:space="preserve">   • El sistema calcula PRECIO RECOMENDADO según margen + detracción.</t>
  </si>
  <si>
    <t>2) COBROS_DIARIOS — registro diario.</t>
  </si>
  <si>
    <t xml:space="preserve">   • Una fila por entrega/cobro. Pones fecha, cliente, producto, cantidad.</t>
  </si>
  <si>
    <t xml:space="preserve">   • Calcula auto: monto bruto, detracción, neto.</t>
  </si>
  <si>
    <t>3) DASHBOARD — resumen del mes.</t>
  </si>
  <si>
    <t xml:space="preserve">   • Total facturado, total en detracción, neto recibido.</t>
  </si>
  <si>
    <t xml:space="preserve">   • Top productos cobrados.</t>
  </si>
  <si>
    <t>DETRACCIÓN 10% (qué es y cómo funciona):</t>
  </si>
  <si>
    <t>• NO es un impuesto adicional — el cliente paga el monto que tú facturas.</t>
  </si>
  <si>
    <t>• Es una RETENCIÓN que le hacen al pago para asegurar que pagues impuestos después.</t>
  </si>
  <si>
    <t>• EJEMPLO: facturas S/.1,000:</t>
  </si>
  <si>
    <t xml:space="preserve">   → Cliente te transfiere S/.900 a tu cuenta corriente (disponible al toque).</t>
  </si>
  <si>
    <t xml:space="preserve">   → S/.100 va automáticamente a tu cuenta de DETRACCIÓN en el Banco de la Nación.</t>
  </si>
  <si>
    <t xml:space="preserve">   → Los S/.100 siguen siendo TUYOS, pero solo se liberan para pagar IGV/Renta.</t>
  </si>
  <si>
    <t>• El total cobrado SIGUE siendo S/.1,000 (no pierdes nada, solo se reparte).</t>
  </si>
  <si>
    <t>• En este sistema:</t>
  </si>
  <si>
    <t xml:space="preserve">   • "BRUTO" = lo que facturas (lo que figura en tu factura)</t>
  </si>
  <si>
    <t xml:space="preserve">   • "DETRACCIÓN" = 10% que se va a cuenta detracción</t>
  </si>
  <si>
    <t xml:space="preserve">   • "DISPONIBLE INMEDIATO" = 90% que entra a tu cuenta corriente al toque</t>
  </si>
  <si>
    <t>CONFIGURACIÓN</t>
  </si>
  <si>
    <t>Parámetro</t>
  </si>
  <si>
    <t>Valor</t>
  </si>
  <si>
    <t>Descripción</t>
  </si>
  <si>
    <t>Margen objetivo (sobre costo MO)</t>
  </si>
  <si>
    <t>Margen deseado: 40% sobre costo MO</t>
  </si>
  <si>
    <t>Detracción (%)</t>
  </si>
  <si>
    <t>10% se retiene para cuenta de detracción</t>
  </si>
  <si>
    <t>IGV (%)</t>
  </si>
  <si>
    <t>18% en Perú (opcional, si emites factura)</t>
  </si>
  <si>
    <t>Incluir IGV en precio sugerido</t>
  </si>
  <si>
    <t>NO</t>
  </si>
  <si>
    <t>SÍ/NO. Si SÍ, suma 18% al precio sugerido</t>
  </si>
  <si>
    <t>PRODUCTOS — Costos y precios de confección</t>
  </si>
  <si>
    <t>COSTO MO = lo que pagas en mano de obra por hacer 1 prenda. PRECIO VENTA = lo que cobras al cliente.</t>
  </si>
  <si>
    <t>COSTO MO
(interno) S/.</t>
  </si>
  <si>
    <t>MARGEN
%</t>
  </si>
  <si>
    <t>PRECIO BASE
(auto)</t>
  </si>
  <si>
    <t>PRECIO SUGERIDO
(costo + margen)</t>
  </si>
  <si>
    <t>PRECIO VENTA
ACTUAL S/.</t>
  </si>
  <si>
    <t>+ Detracc.
(auto)</t>
  </si>
  <si>
    <t>DISPONIBLE
INMEDIATO 90%</t>
  </si>
  <si>
    <t>MARGEN REAL
(vs costo)</t>
  </si>
  <si>
    <t>polera boxy</t>
  </si>
  <si>
    <t>pique cuello chino</t>
  </si>
  <si>
    <t>CLIENTES — Catálogo</t>
  </si>
  <si>
    <t>CONTACTO</t>
  </si>
  <si>
    <t>TELÉFONO/EMAIL</t>
  </si>
  <si>
    <t>Cliente principal</t>
  </si>
  <si>
    <t>COLORES — Catálogo</t>
  </si>
  <si>
    <t>Blanco</t>
  </si>
  <si>
    <t>Azul</t>
  </si>
  <si>
    <t>Pacay</t>
  </si>
  <si>
    <t>Camote</t>
  </si>
  <si>
    <t>Marrón</t>
  </si>
  <si>
    <t>Plomo</t>
  </si>
  <si>
    <t>Verde Hoja</t>
  </si>
  <si>
    <t>Rosado</t>
  </si>
  <si>
    <t>Cemento/Hoja</t>
  </si>
  <si>
    <t>Negro 1</t>
  </si>
  <si>
    <t>Negro 2</t>
  </si>
  <si>
    <t>Hoja</t>
  </si>
  <si>
    <t>Acero</t>
  </si>
  <si>
    <t>Marino</t>
  </si>
  <si>
    <t>Pumice</t>
  </si>
  <si>
    <t>Vino Tinto</t>
  </si>
  <si>
    <t>DASHBOARD — Cobros del Taller (mes filtrable)</t>
  </si>
  <si>
    <t>Filtro Mes:</t>
  </si>
  <si>
    <t>(escribe el 1ro del mes, ej: 01/05/2026)</t>
  </si>
  <si>
    <t>COBRADO (mes)</t>
  </si>
  <si>
    <t>CUENTAS POR COBRAR</t>
  </si>
  <si>
    <t>ENTREGADO SIN COBRAR</t>
  </si>
  <si>
    <t>BRUTO TOTAL (mes)</t>
  </si>
  <si>
    <t>DETRACCIÓN MES</t>
  </si>
  <si>
    <t>DISPONIBLE INMEDIATO</t>
  </si>
  <si>
    <t># PRENDAS COBRADAS</t>
  </si>
  <si>
    <t># OPERACIONES MES</t>
  </si>
  <si>
    <t>PRODUCCIÓN POR PRODUCTO (mes filtrado, todas las prendas)</t>
  </si>
  <si>
    <t>TOTAL
PRENDAS</t>
  </si>
  <si>
    <t>BRUTO
S/.</t>
  </si>
  <si>
    <t>TOTAL ⇒</t>
  </si>
  <si>
    <t>CANTIDAD POR COLOR — Total entregado (todos los productos)</t>
  </si>
  <si>
    <t>TOTAL PRENDAS</t>
  </si>
  <si>
    <t>BRUTO S/.</t>
  </si>
  <si>
    <t>% TOTAL</t>
  </si>
  <si>
    <t>CANTIDAD POR COLOR × PRODUCTO (desglose mes)</t>
  </si>
  <si>
    <t>TOTAL</t>
  </si>
  <si>
    <t>COBROS POR CLIENTE — Quién te debe (mes filtrado)</t>
  </si>
  <si>
    <t># PRENDAS</t>
  </si>
  <si>
    <t>BRUTO</t>
  </si>
  <si>
    <t>COBRADO</t>
  </si>
  <si>
    <t>POR COBRAR</t>
  </si>
  <si>
    <t>% COBRADO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</si>
</sst>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\-mm\-dd"/>
    <numFmt numFmtId="165" formatCode="#,##0;;&quot;&quot;"/>
    <numFmt numFmtId="166" formatCode="&quot;S/.&quot;#,##0.00;;&quot;&quot;"/>
    <numFmt numFmtId="167" formatCode="&quot;S/.&quot;#,##0.00"/>
    <numFmt numFmtId="168" formatCode="0.0%;;&quot;&quot;"/>
    <numFmt numFmtId="169" formatCode="mmm\ yyyy"/>
    <numFmt numFmtId="170" formatCode="&quot;S/.&quot;#,##0"/>
    <numFmt numFmtId="171" formatCode="&quot;S/.&quot;#,##0;;&quot;&quot;"/>
    <numFmt numFmtId="172" formatCode="0.0%"/>
  </numFmts>
  <fonts count="25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0.0"/>
      <color rgb="FFFFFFFF"/>
      <name val="Arial"/>
    </font>
    <font>
      <color rgb="FF0000FF"/>
      <name val="Arial"/>
    </font>
    <font>
      <sz val="10.0"/>
      <color rgb="FF0000FF"/>
      <name val="Arial"/>
    </font>
    <font>
      <b/>
      <color rgb="FF000000"/>
      <name val="Arial"/>
    </font>
    <font>
      <sz val="10.0"/>
      <color theme="1"/>
      <name val="Arial"/>
    </font>
    <font>
      <b/>
      <sz val="10.0"/>
      <color rgb="FF9C5700"/>
      <name val="Arial"/>
    </font>
    <font>
      <b/>
      <sz val="10.0"/>
      <color rgb="FF006100"/>
      <name val="Arial"/>
    </font>
    <font>
      <sz val="11.0"/>
      <color rgb="FF0000FF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b/>
      <sz val="12.0"/>
      <color rgb="FF1F3864"/>
      <name val="Arial"/>
    </font>
    <font>
      <b/>
      <sz val="11.0"/>
      <color rgb="FFFFFFFF"/>
      <name val="Arial"/>
    </font>
    <font>
      <b/>
      <sz val="10.0"/>
      <color rgb="FF0000FF"/>
      <name val="Arial"/>
    </font>
    <font>
      <b/>
      <sz val="11.0"/>
      <color theme="1"/>
      <name val="Arial"/>
    </font>
    <font>
      <i/>
      <sz val="9.0"/>
      <color rgb="FF595959"/>
      <name val="Arial"/>
    </font>
    <font>
      <b/>
      <sz val="14.0"/>
      <color rgb="FF1F3864"/>
      <name val="Arial"/>
    </font>
    <font>
      <sz val="11.0"/>
      <color theme="1"/>
      <name val="Calibri"/>
    </font>
    <font>
      <b/>
      <sz val="9.0"/>
      <color rgb="FFFFFFFF"/>
      <name val="Arial"/>
    </font>
    <font>
      <sz val="9.0"/>
      <color theme="1"/>
      <name val="Arial"/>
    </font>
    <font>
      <b/>
      <sz val="10.0"/>
      <color rgb="FF9C0006"/>
      <name val="Arial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C6EFCE"/>
        <bgColor rgb="FFC6EFCE"/>
      </patternFill>
    </fill>
    <fill>
      <patternFill patternType="solid">
        <fgColor rgb="FFDEEBF7"/>
        <bgColor rgb="FFDEEBF7"/>
      </patternFill>
    </fill>
    <fill>
      <patternFill patternType="solid">
        <fgColor rgb="FFC65911"/>
        <bgColor rgb="FFC65911"/>
      </patternFill>
    </fill>
    <fill>
      <patternFill patternType="solid">
        <fgColor rgb="FF0F6E6E"/>
        <bgColor rgb="FF0F6E6E"/>
      </patternFill>
    </fill>
    <fill>
      <patternFill patternType="solid">
        <fgColor rgb="FF7030A0"/>
        <bgColor rgb="FF7030A0"/>
      </patternFill>
    </fill>
    <fill>
      <patternFill patternType="solid">
        <fgColor rgb="FF548235"/>
        <bgColor rgb="FF548235"/>
      </patternFill>
    </fill>
    <fill>
      <patternFill patternType="solid">
        <fgColor rgb="FFC00000"/>
        <bgColor rgb="FFC00000"/>
      </patternFill>
    </fill>
    <fill>
      <patternFill patternType="solid">
        <fgColor rgb="FF2E75B6"/>
        <bgColor rgb="FF2E75B6"/>
      </patternFill>
    </fill>
    <fill>
      <patternFill patternType="solid">
        <fgColor rgb="FFFFE699"/>
        <bgColor rgb="FFFFE699"/>
      </patternFill>
    </fill>
    <fill>
      <patternFill patternType="solid">
        <fgColor rgb="FFFFC7CE"/>
        <bgColor rgb="FFFFC7C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ont="1">
      <alignment horizontal="center" shrinkToFit="0" vertical="center" wrapText="1"/>
    </xf>
    <xf borderId="4" fillId="3" fontId="5" numFmtId="164" xfId="0" applyAlignment="1" applyBorder="1" applyFill="1" applyFont="1" applyNumberForma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4" fillId="3" fontId="5" numFmtId="0" xfId="0" applyAlignment="1" applyBorder="1" applyFont="1">
      <alignment horizontal="left" readingOrder="0" shrinkToFit="0" wrapText="0"/>
    </xf>
    <xf borderId="4" fillId="3" fontId="6" numFmtId="0" xfId="0" applyAlignment="1" applyBorder="1" applyFont="1">
      <alignment horizontal="left" readingOrder="0" vertical="center"/>
    </xf>
    <xf borderId="4" fillId="3" fontId="5" numFmtId="165" xfId="0" applyAlignment="1" applyBorder="1" applyFont="1" applyNumberFormat="1">
      <alignment horizontal="center" readingOrder="0" shrinkToFit="0" wrapText="0"/>
    </xf>
    <xf borderId="4" fillId="3" fontId="5" numFmtId="165" xfId="0" applyAlignment="1" applyBorder="1" applyFont="1" applyNumberFormat="1">
      <alignment horizontal="center" shrinkToFit="0" wrapText="0"/>
    </xf>
    <xf borderId="4" fillId="4" fontId="7" numFmtId="165" xfId="0" applyAlignment="1" applyBorder="1" applyFill="1" applyFont="1" applyNumberFormat="1">
      <alignment horizontal="center" readingOrder="0" shrinkToFit="0" wrapText="0"/>
    </xf>
    <xf borderId="4" fillId="4" fontId="8" numFmtId="166" xfId="0" applyAlignment="1" applyBorder="1" applyFont="1" applyNumberFormat="1">
      <alignment horizontal="center" vertical="center"/>
    </xf>
    <xf borderId="4" fillId="4" fontId="9" numFmtId="166" xfId="0" applyAlignment="1" applyBorder="1" applyFont="1" applyNumberFormat="1">
      <alignment horizontal="center" vertical="center"/>
    </xf>
    <xf borderId="4" fillId="5" fontId="10" numFmtId="166" xfId="0" applyAlignment="1" applyBorder="1" applyFill="1" applyFont="1" applyNumberFormat="1">
      <alignment horizontal="center" vertical="center"/>
    </xf>
    <xf borderId="4" fillId="3" fontId="6" numFmtId="0" xfId="0" applyAlignment="1" applyBorder="1" applyFont="1">
      <alignment horizontal="center" readingOrder="0" vertical="center"/>
    </xf>
    <xf borderId="4" fillId="3" fontId="6" numFmtId="0" xfId="0" applyAlignment="1" applyBorder="1" applyFont="1">
      <alignment horizontal="left" vertical="center"/>
    </xf>
    <xf borderId="4" fillId="3" fontId="11" numFmtId="164" xfId="0" applyAlignment="1" applyBorder="1" applyFont="1" applyNumberFormat="1">
      <alignment horizontal="center" readingOrder="0" shrinkToFit="0" vertical="bottom" wrapText="0"/>
    </xf>
    <xf borderId="4" fillId="3" fontId="11" numFmtId="0" xfId="0" applyAlignment="1" applyBorder="1" applyFont="1">
      <alignment horizontal="center" readingOrder="0" shrinkToFit="0" vertical="bottom" wrapText="0"/>
    </xf>
    <xf borderId="4" fillId="3" fontId="11" numFmtId="0" xfId="0" applyAlignment="1" applyBorder="1" applyFont="1">
      <alignment horizontal="left" readingOrder="0" shrinkToFit="0" vertical="bottom" wrapText="0"/>
    </xf>
    <xf borderId="4" fillId="3" fontId="5" numFmtId="0" xfId="0" applyAlignment="1" applyBorder="1" applyFont="1">
      <alignment horizontal="left" readingOrder="0" shrinkToFit="0" wrapText="0"/>
    </xf>
    <xf borderId="4" fillId="3" fontId="11" numFmtId="165" xfId="0" applyAlignment="1" applyBorder="1" applyFont="1" applyNumberFormat="1">
      <alignment horizontal="center" readingOrder="0" shrinkToFit="0" vertical="bottom" wrapText="0"/>
    </xf>
    <xf borderId="4" fillId="4" fontId="12" numFmtId="165" xfId="0" applyAlignment="1" applyBorder="1" applyFont="1" applyNumberFormat="1">
      <alignment horizontal="center" readingOrder="0" shrinkToFit="0" vertical="bottom" wrapText="0"/>
    </xf>
    <xf borderId="4" fillId="3" fontId="11" numFmtId="165" xfId="0" applyAlignment="1" applyBorder="1" applyFont="1" applyNumberFormat="1">
      <alignment horizontal="center" shrinkToFit="0" vertical="bottom" wrapText="0"/>
    </xf>
    <xf borderId="4" fillId="3" fontId="6" numFmtId="0" xfId="0" applyAlignment="1" applyBorder="1" applyFont="1">
      <alignment horizontal="center" vertical="center"/>
    </xf>
    <xf borderId="4" fillId="3" fontId="6" numFmtId="164" xfId="0" applyAlignment="1" applyBorder="1" applyFont="1" applyNumberFormat="1">
      <alignment horizontal="center" vertical="center"/>
    </xf>
    <xf borderId="4" fillId="3" fontId="6" numFmtId="165" xfId="0" applyAlignment="1" applyBorder="1" applyFont="1" applyNumberFormat="1">
      <alignment horizontal="center" vertical="center"/>
    </xf>
    <xf borderId="4" fillId="4" fontId="13" numFmtId="165" xfId="0" applyAlignment="1" applyBorder="1" applyFont="1" applyNumberFormat="1">
      <alignment horizontal="center" vertical="center"/>
    </xf>
    <xf borderId="4" fillId="3" fontId="6" numFmtId="164" xfId="0" applyAlignment="1" applyBorder="1" applyFont="1" applyNumberFormat="1">
      <alignment horizontal="center" readingOrder="0" vertical="center"/>
    </xf>
    <xf borderId="4" fillId="3" fontId="6" numFmtId="165" xfId="0" applyAlignment="1" applyBorder="1" applyFont="1" applyNumberFormat="1">
      <alignment horizontal="center" readingOrder="0" vertical="center"/>
    </xf>
    <xf borderId="4" fillId="4" fontId="13" numFmtId="165" xfId="0" applyAlignment="1" applyBorder="1" applyFont="1" applyNumberFormat="1">
      <alignment horizontal="center" readingOrder="0" vertical="center"/>
    </xf>
    <xf borderId="5" fillId="2" fontId="1" numFmtId="0" xfId="0" applyAlignment="1" applyBorder="1" applyFont="1">
      <alignment horizontal="center" vertical="center"/>
    </xf>
    <xf borderId="5" fillId="6" fontId="14" numFmtId="0" xfId="0" applyBorder="1" applyFill="1" applyFont="1"/>
    <xf borderId="0" fillId="0" fontId="8" numFmtId="0" xfId="0" applyFont="1"/>
    <xf borderId="4" fillId="2" fontId="15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left" vertical="center"/>
    </xf>
    <xf borderId="4" fillId="3" fontId="6" numFmtId="9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4" fillId="7" fontId="4" numFmtId="0" xfId="0" applyAlignment="1" applyBorder="1" applyFont="1">
      <alignment horizontal="center" shrinkToFit="0" vertical="center" wrapText="1"/>
    </xf>
    <xf borderId="4" fillId="3" fontId="16" numFmtId="0" xfId="0" applyAlignment="1" applyBorder="1" applyFont="1">
      <alignment horizontal="left" vertical="center"/>
    </xf>
    <xf borderId="4" fillId="3" fontId="6" numFmtId="167" xfId="0" applyAlignment="1" applyBorder="1" applyFont="1" applyNumberFormat="1">
      <alignment horizontal="center" vertical="center"/>
    </xf>
    <xf borderId="4" fillId="4" fontId="8" numFmtId="9" xfId="0" applyAlignment="1" applyBorder="1" applyFont="1" applyNumberFormat="1">
      <alignment horizontal="center" vertical="center"/>
    </xf>
    <xf borderId="4" fillId="4" fontId="8" numFmtId="167" xfId="0" applyAlignment="1" applyBorder="1" applyFont="1" applyNumberFormat="1">
      <alignment horizontal="center" vertical="center"/>
    </xf>
    <xf borderId="4" fillId="4" fontId="8" numFmtId="168" xfId="0" applyAlignment="1" applyBorder="1" applyFont="1" applyNumberFormat="1">
      <alignment horizontal="center" vertical="center"/>
    </xf>
    <xf borderId="4" fillId="3" fontId="6" numFmtId="167" xfId="0" applyAlignment="1" applyBorder="1" applyFont="1" applyNumberFormat="1">
      <alignment horizontal="center" readingOrder="0" vertical="center"/>
    </xf>
    <xf borderId="4" fillId="3" fontId="16" numFmtId="0" xfId="0" applyAlignment="1" applyBorder="1" applyFont="1">
      <alignment horizontal="left" readingOrder="0" vertical="center"/>
    </xf>
    <xf borderId="1" fillId="8" fontId="1" numFmtId="0" xfId="0" applyAlignment="1" applyBorder="1" applyFill="1" applyFont="1">
      <alignment horizontal="center" vertical="center"/>
    </xf>
    <xf borderId="4" fillId="8" fontId="4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vertical="center"/>
    </xf>
    <xf borderId="4" fillId="9" fontId="4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right" vertical="center"/>
    </xf>
    <xf borderId="4" fillId="3" fontId="6" numFmtId="169" xfId="0" applyAlignment="1" applyBorder="1" applyFont="1" applyNumberFormat="1">
      <alignment horizontal="center" vertical="center"/>
    </xf>
    <xf borderId="0" fillId="0" fontId="18" numFmtId="0" xfId="0" applyAlignment="1" applyFont="1">
      <alignment horizontal="left" vertical="center"/>
    </xf>
    <xf borderId="1" fillId="10" fontId="4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12" fontId="4" numFmtId="0" xfId="0" applyAlignment="1" applyBorder="1" applyFill="1" applyFont="1">
      <alignment horizontal="center" vertical="center"/>
    </xf>
    <xf borderId="1" fillId="6" fontId="19" numFmtId="170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6" fontId="19" numFmtId="3" xfId="0" applyAlignment="1" applyBorder="1" applyFont="1" applyNumberFormat="1">
      <alignment horizontal="center" vertical="center"/>
    </xf>
    <xf borderId="1" fillId="7" fontId="15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left" vertical="center"/>
    </xf>
    <xf borderId="4" fillId="0" fontId="20" numFmtId="165" xfId="0" applyAlignment="1" applyBorder="1" applyFont="1" applyNumberFormat="1">
      <alignment horizontal="center" vertical="center"/>
    </xf>
    <xf borderId="4" fillId="5" fontId="10" numFmtId="165" xfId="0" applyAlignment="1" applyBorder="1" applyFont="1" applyNumberFormat="1">
      <alignment horizontal="center" vertical="center"/>
    </xf>
    <xf borderId="5" fillId="13" fontId="9" numFmtId="171" xfId="0" applyBorder="1" applyFill="1" applyFont="1" applyNumberFormat="1"/>
    <xf borderId="4" fillId="2" fontId="15" numFmtId="3" xfId="0" applyAlignment="1" applyBorder="1" applyFont="1" applyNumberFormat="1">
      <alignment horizontal="center" vertical="center"/>
    </xf>
    <xf borderId="4" fillId="2" fontId="15" numFmtId="170" xfId="0" applyAlignment="1" applyBorder="1" applyFont="1" applyNumberFormat="1">
      <alignment horizontal="center" vertical="center"/>
    </xf>
    <xf borderId="1" fillId="9" fontId="15" numFmtId="0" xfId="0" applyAlignment="1" applyBorder="1" applyFont="1">
      <alignment horizontal="center" vertical="center"/>
    </xf>
    <xf borderId="4" fillId="13" fontId="9" numFmtId="171" xfId="0" applyAlignment="1" applyBorder="1" applyFont="1" applyNumberFormat="1">
      <alignment horizontal="center" vertical="center"/>
    </xf>
    <xf borderId="4" fillId="0" fontId="20" numFmtId="168" xfId="0" applyAlignment="1" applyBorder="1" applyFont="1" applyNumberFormat="1">
      <alignment horizontal="center" vertical="center"/>
    </xf>
    <xf borderId="1" fillId="8" fontId="15" numFmtId="0" xfId="0" applyAlignment="1" applyBorder="1" applyFont="1">
      <alignment horizontal="center" vertical="center"/>
    </xf>
    <xf borderId="4" fillId="8" fontId="4" numFmtId="0" xfId="0" applyAlignment="1" applyBorder="1" applyFont="1">
      <alignment horizontal="center" vertical="center"/>
    </xf>
    <xf borderId="4" fillId="8" fontId="21" numFmtId="0" xfId="0" applyAlignment="1" applyBorder="1" applyFont="1">
      <alignment horizontal="center" shrinkToFit="0" textRotation="45" vertical="center" wrapText="1"/>
    </xf>
    <xf borderId="4" fillId="2" fontId="4" numFmtId="0" xfId="0" applyAlignment="1" applyBorder="1" applyFont="1">
      <alignment horizontal="center" vertical="center"/>
    </xf>
    <xf borderId="4" fillId="0" fontId="22" numFmtId="165" xfId="0" applyAlignment="1" applyBorder="1" applyFont="1" applyNumberFormat="1">
      <alignment horizontal="center" vertical="center"/>
    </xf>
    <xf borderId="4" fillId="2" fontId="4" numFmtId="165" xfId="0" applyAlignment="1" applyBorder="1" applyFont="1" applyNumberFormat="1">
      <alignment horizontal="center" vertical="center"/>
    </xf>
    <xf borderId="1" fillId="11" fontId="15" numFmtId="0" xfId="0" applyAlignment="1" applyBorder="1" applyFont="1">
      <alignment horizontal="center" vertical="center"/>
    </xf>
    <xf borderId="4" fillId="0" fontId="20" numFmtId="171" xfId="0" applyAlignment="1" applyBorder="1" applyFont="1" applyNumberFormat="1">
      <alignment horizontal="center" vertical="center"/>
    </xf>
    <xf borderId="4" fillId="4" fontId="10" numFmtId="171" xfId="0" applyAlignment="1" applyBorder="1" applyFont="1" applyNumberFormat="1">
      <alignment horizontal="center" vertical="center"/>
    </xf>
    <xf borderId="4" fillId="14" fontId="23" numFmtId="171" xfId="0" applyAlignment="1" applyBorder="1" applyFill="1" applyFont="1" applyNumberFormat="1">
      <alignment horizontal="center" vertical="center"/>
    </xf>
    <xf borderId="4" fillId="2" fontId="15" numFmtId="172" xfId="0" applyAlignment="1" applyBorder="1" applyFont="1" applyNumberFormat="1">
      <alignment horizontal="center" vertical="center"/>
    </xf>
    <xf borderId="0" fillId="0" fontId="24" numFmtId="0" xfId="0" applyFont="1"/>
  </cellXfs>
  <cellStyles count="1">
    <cellStyle xfId="0" name="Normal" builtinId="0"/>
  </cellStyles>
  <dxfs count="5">
    <dxf>
      <font>
        <b/>
        <sz val="10.0"/>
        <color rgb="FF006100"/>
        <name val="Arial"/>
      </font>
      <fill>
        <patternFill patternType="solid">
          <fgColor rgb="FFE2EFDA"/>
          <bgColor rgb="FFE2EFDA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0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595959"/>
        <name val="Arial"/>
      </font>
      <fill>
        <patternFill patternType="solid">
          <fgColor rgb="FFF2F2F2"/>
          <bgColor rgb="FFF2F2F2"/>
        </patternFill>
      </fill>
      <border/>
    </dxf>
    <dxf>
      <font>
        <b/>
        <sz val="10.0"/>
        <color rgb="FFA0522D"/>
        <name val="Arial"/>
      </font>
      <fill>
        <patternFill patternType="solid">
          <fgColor rgb="FFFCD5B4"/>
          <bgColor rgb="FFFCD5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1.0"/>
    <col customWidth="1" min="3" max="3" width="13.0"/>
    <col customWidth="1" min="4" max="4" width="16.0"/>
    <col customWidth="1" min="5" max="5" width="20.0"/>
    <col customWidth="1" min="6" max="6" width="14.0"/>
    <col customWidth="1" min="7" max="10" width="7.0"/>
    <col customWidth="1" min="11" max="11" width="11.0"/>
    <col customWidth="1" min="12" max="12" width="12.0"/>
    <col customWidth="1" min="13" max="13" width="13.0"/>
    <col customWidth="1" min="14" max="14" width="12.0"/>
    <col customWidth="1" min="15" max="15" width="13.0"/>
    <col customWidth="1" min="16" max="16" width="16.0"/>
    <col customWidth="1" min="17" max="17" width="22.0"/>
    <col customWidth="1" min="18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ht="15.0" customHeight="1">
      <c r="A2" s="4" t="s">
        <v>1</v>
      </c>
    </row>
    <row r="3" ht="31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</row>
    <row r="4" ht="15.0" customHeight="1">
      <c r="A4" s="6">
        <v>46146.0</v>
      </c>
      <c r="B4" s="7" t="s">
        <v>19</v>
      </c>
      <c r="C4" s="7">
        <v>1234.0</v>
      </c>
      <c r="D4" s="8" t="s">
        <v>20</v>
      </c>
      <c r="E4" s="9" t="s">
        <v>21</v>
      </c>
      <c r="F4" s="8" t="s">
        <v>22</v>
      </c>
      <c r="G4" s="10">
        <v>32.0</v>
      </c>
      <c r="H4" s="10">
        <v>62.0</v>
      </c>
      <c r="I4" s="11"/>
      <c r="J4" s="11"/>
      <c r="K4" s="12">
        <v>94.0</v>
      </c>
      <c r="L4" s="13">
        <f>IFERROR(VLOOKUP(E4,PRODUCTOS!$A$4:$F$28,6,FALSE()),0)</f>
        <v>1.7</v>
      </c>
      <c r="M4" s="13">
        <f t="shared" ref="M4:M108" si="1">IFERROR(K4*L4,0)</f>
        <v>159.8</v>
      </c>
      <c r="N4" s="14">
        <f>IFERROR(M4*CONFIG!$B$4,0)</f>
        <v>15.98</v>
      </c>
      <c r="O4" s="15">
        <f t="shared" ref="O4:O108" si="2">IFERROR(M4-N4,0)</f>
        <v>143.82</v>
      </c>
      <c r="P4" s="16" t="s">
        <v>23</v>
      </c>
      <c r="Q4" s="17"/>
    </row>
    <row r="5" ht="15.0" customHeight="1">
      <c r="A5" s="6">
        <v>46146.0</v>
      </c>
      <c r="B5" s="7" t="s">
        <v>19</v>
      </c>
      <c r="C5" s="7">
        <v>1234.0</v>
      </c>
      <c r="D5" s="8" t="s">
        <v>20</v>
      </c>
      <c r="E5" s="9" t="s">
        <v>21</v>
      </c>
      <c r="F5" s="8" t="s">
        <v>24</v>
      </c>
      <c r="G5" s="10">
        <v>54.0</v>
      </c>
      <c r="H5" s="11"/>
      <c r="I5" s="10">
        <v>56.0</v>
      </c>
      <c r="J5" s="11"/>
      <c r="K5" s="12">
        <v>110.0</v>
      </c>
      <c r="L5" s="13">
        <f>IFERROR(VLOOKUP(E5,PRODUCTOS!$A$4:$F$28,6,FALSE()),0)</f>
        <v>1.7</v>
      </c>
      <c r="M5" s="13">
        <f t="shared" si="1"/>
        <v>187</v>
      </c>
      <c r="N5" s="14">
        <f>IFERROR(M5*CONFIG!$B$4,0)</f>
        <v>18.7</v>
      </c>
      <c r="O5" s="15">
        <f t="shared" si="2"/>
        <v>168.3</v>
      </c>
      <c r="P5" s="16" t="s">
        <v>23</v>
      </c>
      <c r="Q5" s="17"/>
    </row>
    <row r="6" ht="15.0" customHeight="1">
      <c r="A6" s="6">
        <v>46146.0</v>
      </c>
      <c r="B6" s="7" t="s">
        <v>19</v>
      </c>
      <c r="C6" s="7">
        <v>1234.0</v>
      </c>
      <c r="D6" s="8" t="s">
        <v>20</v>
      </c>
      <c r="E6" s="9" t="s">
        <v>25</v>
      </c>
      <c r="F6" s="8" t="s">
        <v>26</v>
      </c>
      <c r="G6" s="11"/>
      <c r="H6" s="10">
        <v>8.0</v>
      </c>
      <c r="I6" s="10">
        <v>25.0</v>
      </c>
      <c r="J6" s="10">
        <v>5.0</v>
      </c>
      <c r="K6" s="12">
        <v>38.0</v>
      </c>
      <c r="L6" s="13">
        <f>IFERROR(VLOOKUP(E6,PRODUCTOS!$A$4:$F$28,6,FALSE()),0)</f>
        <v>4</v>
      </c>
      <c r="M6" s="13">
        <f t="shared" si="1"/>
        <v>152</v>
      </c>
      <c r="N6" s="14">
        <f>IFERROR(M6*CONFIG!$B$4,0)</f>
        <v>15.2</v>
      </c>
      <c r="O6" s="15">
        <f t="shared" si="2"/>
        <v>136.8</v>
      </c>
      <c r="P6" s="16" t="s">
        <v>23</v>
      </c>
      <c r="Q6" s="17"/>
    </row>
    <row r="7" ht="15.0" customHeight="1">
      <c r="A7" s="6">
        <v>46146.0</v>
      </c>
      <c r="B7" s="7" t="s">
        <v>19</v>
      </c>
      <c r="C7" s="7">
        <v>1234.0</v>
      </c>
      <c r="D7" s="8" t="s">
        <v>20</v>
      </c>
      <c r="E7" s="9" t="s">
        <v>27</v>
      </c>
      <c r="F7" s="8" t="s">
        <v>28</v>
      </c>
      <c r="G7" s="10">
        <v>82.0</v>
      </c>
      <c r="H7" s="10">
        <v>165.0</v>
      </c>
      <c r="I7" s="11"/>
      <c r="J7" s="10">
        <v>80.0</v>
      </c>
      <c r="K7" s="12">
        <v>327.0</v>
      </c>
      <c r="L7" s="13">
        <f>IFERROR(VLOOKUP(E7,PRODUCTOS!$A$4:$F$28,6,FALSE()),0)</f>
        <v>1.7</v>
      </c>
      <c r="M7" s="13">
        <f t="shared" si="1"/>
        <v>555.9</v>
      </c>
      <c r="N7" s="14">
        <f>IFERROR(M7*CONFIG!$B$4,0)</f>
        <v>55.59</v>
      </c>
      <c r="O7" s="15">
        <f t="shared" si="2"/>
        <v>500.31</v>
      </c>
      <c r="P7" s="16" t="s">
        <v>23</v>
      </c>
      <c r="Q7" s="17"/>
    </row>
    <row r="8" ht="15.0" customHeight="1">
      <c r="A8" s="6">
        <v>46146.0</v>
      </c>
      <c r="B8" s="7" t="s">
        <v>19</v>
      </c>
      <c r="C8" s="7">
        <v>1234.0</v>
      </c>
      <c r="D8" s="8" t="s">
        <v>20</v>
      </c>
      <c r="E8" s="9" t="s">
        <v>29</v>
      </c>
      <c r="F8" s="8" t="s">
        <v>30</v>
      </c>
      <c r="G8" s="10">
        <v>64.0</v>
      </c>
      <c r="H8" s="10">
        <v>137.0</v>
      </c>
      <c r="I8" s="10">
        <v>134.0</v>
      </c>
      <c r="J8" s="10">
        <v>69.0</v>
      </c>
      <c r="K8" s="12">
        <v>404.0</v>
      </c>
      <c r="L8" s="13">
        <f>IFERROR(VLOOKUP(E8,PRODUCTOS!$A$4:$F$28,6,FALSE()),0)</f>
        <v>1.7</v>
      </c>
      <c r="M8" s="13">
        <f t="shared" si="1"/>
        <v>686.8</v>
      </c>
      <c r="N8" s="14">
        <f>IFERROR(M8*CONFIG!$B$4,0)</f>
        <v>68.68</v>
      </c>
      <c r="O8" s="15">
        <f t="shared" si="2"/>
        <v>618.12</v>
      </c>
      <c r="P8" s="16" t="s">
        <v>23</v>
      </c>
      <c r="Q8" s="17"/>
    </row>
    <row r="9" ht="15.0" customHeight="1">
      <c r="A9" s="6">
        <v>46146.0</v>
      </c>
      <c r="B9" s="7" t="s">
        <v>19</v>
      </c>
      <c r="C9" s="7">
        <v>1234.0</v>
      </c>
      <c r="D9" s="8" t="s">
        <v>31</v>
      </c>
      <c r="E9" s="9" t="s">
        <v>32</v>
      </c>
      <c r="F9" s="8" t="s">
        <v>22</v>
      </c>
      <c r="G9" s="10">
        <v>80.0</v>
      </c>
      <c r="H9" s="11"/>
      <c r="I9" s="11"/>
      <c r="J9" s="11"/>
      <c r="K9" s="12">
        <v>80.0</v>
      </c>
      <c r="L9" s="13">
        <f>IFERROR(VLOOKUP(E9,PRODUCTOS!$A$4:$F$28,6,FALSE()),0)</f>
        <v>6</v>
      </c>
      <c r="M9" s="13">
        <f t="shared" si="1"/>
        <v>480</v>
      </c>
      <c r="N9" s="14">
        <f>IFERROR(M9*CONFIG!$B$4,0)</f>
        <v>48</v>
      </c>
      <c r="O9" s="15">
        <f t="shared" si="2"/>
        <v>432</v>
      </c>
      <c r="P9" s="16" t="s">
        <v>23</v>
      </c>
      <c r="Q9" s="17"/>
    </row>
    <row r="10" ht="15.0" customHeight="1">
      <c r="A10" s="6">
        <v>46146.0</v>
      </c>
      <c r="B10" s="7" t="s">
        <v>19</v>
      </c>
      <c r="C10" s="7">
        <v>1234.0</v>
      </c>
      <c r="D10" s="8" t="s">
        <v>31</v>
      </c>
      <c r="E10" s="17" t="s">
        <v>33</v>
      </c>
      <c r="F10" s="8" t="s">
        <v>34</v>
      </c>
      <c r="G10" s="10">
        <v>58.0</v>
      </c>
      <c r="H10" s="10">
        <v>62.0</v>
      </c>
      <c r="I10" s="10">
        <v>49.0</v>
      </c>
      <c r="J10" s="11"/>
      <c r="K10" s="12">
        <v>169.0</v>
      </c>
      <c r="L10" s="13">
        <f>IFERROR(VLOOKUP(E10,PRODUCTOS!$A$4:$F$28,6,FALSE()),0)</f>
        <v>4</v>
      </c>
      <c r="M10" s="13">
        <f t="shared" si="1"/>
        <v>676</v>
      </c>
      <c r="N10" s="14">
        <f>IFERROR(M10*CONFIG!$B$4,0)</f>
        <v>67.6</v>
      </c>
      <c r="O10" s="15">
        <f t="shared" si="2"/>
        <v>608.4</v>
      </c>
      <c r="P10" s="16" t="s">
        <v>23</v>
      </c>
      <c r="Q10" s="17"/>
    </row>
    <row r="11" ht="15.0" customHeight="1">
      <c r="A11" s="6">
        <v>46146.0</v>
      </c>
      <c r="B11" s="7" t="s">
        <v>19</v>
      </c>
      <c r="C11" s="7">
        <v>1234.0</v>
      </c>
      <c r="D11" s="8" t="s">
        <v>31</v>
      </c>
      <c r="E11" s="9" t="s">
        <v>32</v>
      </c>
      <c r="F11" s="8" t="s">
        <v>22</v>
      </c>
      <c r="G11" s="10">
        <v>10.0</v>
      </c>
      <c r="H11" s="11"/>
      <c r="I11" s="11"/>
      <c r="J11" s="11"/>
      <c r="K11" s="12">
        <v>10.0</v>
      </c>
      <c r="L11" s="13">
        <f>IFERROR(VLOOKUP(E11,PRODUCTOS!$A$4:$F$28,6,FALSE()),0)</f>
        <v>6</v>
      </c>
      <c r="M11" s="13">
        <f t="shared" si="1"/>
        <v>60</v>
      </c>
      <c r="N11" s="14">
        <f>IFERROR(M11*CONFIG!$B$4,0)</f>
        <v>6</v>
      </c>
      <c r="O11" s="15">
        <f t="shared" si="2"/>
        <v>54</v>
      </c>
      <c r="P11" s="16" t="s">
        <v>23</v>
      </c>
      <c r="Q11" s="17"/>
    </row>
    <row r="12" ht="15.0" customHeight="1">
      <c r="A12" s="6">
        <v>46146.0</v>
      </c>
      <c r="B12" s="7" t="s">
        <v>19</v>
      </c>
      <c r="C12" s="7">
        <v>1234.0</v>
      </c>
      <c r="D12" s="8" t="s">
        <v>31</v>
      </c>
      <c r="E12" s="9" t="s">
        <v>32</v>
      </c>
      <c r="F12" s="8" t="s">
        <v>34</v>
      </c>
      <c r="G12" s="10">
        <v>1.0</v>
      </c>
      <c r="H12" s="11"/>
      <c r="I12" s="11"/>
      <c r="J12" s="11"/>
      <c r="K12" s="12">
        <v>1.0</v>
      </c>
      <c r="L12" s="13">
        <f>IFERROR(VLOOKUP(E12,PRODUCTOS!$A$4:$F$28,6,FALSE()),0)</f>
        <v>6</v>
      </c>
      <c r="M12" s="13">
        <f t="shared" si="1"/>
        <v>6</v>
      </c>
      <c r="N12" s="14">
        <f>IFERROR(M12*CONFIG!$B$4,0)</f>
        <v>0.6</v>
      </c>
      <c r="O12" s="15">
        <f t="shared" si="2"/>
        <v>5.4</v>
      </c>
      <c r="P12" s="16" t="s">
        <v>23</v>
      </c>
      <c r="Q12" s="17"/>
    </row>
    <row r="13" ht="15.0" customHeight="1">
      <c r="A13" s="6">
        <v>46146.0</v>
      </c>
      <c r="B13" s="7" t="s">
        <v>19</v>
      </c>
      <c r="C13" s="7">
        <v>1234.0</v>
      </c>
      <c r="D13" s="8" t="s">
        <v>20</v>
      </c>
      <c r="E13" s="9" t="s">
        <v>27</v>
      </c>
      <c r="F13" s="8" t="s">
        <v>28</v>
      </c>
      <c r="G13" s="11"/>
      <c r="H13" s="11"/>
      <c r="I13" s="10">
        <v>156.0</v>
      </c>
      <c r="J13" s="11"/>
      <c r="K13" s="12">
        <v>156.0</v>
      </c>
      <c r="L13" s="13">
        <f>IFERROR(VLOOKUP(E13,PRODUCTOS!$A$4:$F$28,6,FALSE()),0)</f>
        <v>1.7</v>
      </c>
      <c r="M13" s="13">
        <f t="shared" si="1"/>
        <v>265.2</v>
      </c>
      <c r="N13" s="14">
        <f>IFERROR(M13*CONFIG!$B$4,0)</f>
        <v>26.52</v>
      </c>
      <c r="O13" s="15">
        <f t="shared" si="2"/>
        <v>238.68</v>
      </c>
      <c r="P13" s="16" t="s">
        <v>23</v>
      </c>
      <c r="Q13" s="17"/>
    </row>
    <row r="14" ht="15.0" customHeight="1">
      <c r="A14" s="6">
        <v>46146.0</v>
      </c>
      <c r="B14" s="7" t="s">
        <v>19</v>
      </c>
      <c r="C14" s="7">
        <v>1234.0</v>
      </c>
      <c r="D14" s="8" t="s">
        <v>20</v>
      </c>
      <c r="E14" s="9" t="s">
        <v>29</v>
      </c>
      <c r="F14" s="8" t="s">
        <v>35</v>
      </c>
      <c r="G14" s="10">
        <v>17.0</v>
      </c>
      <c r="H14" s="10">
        <v>36.0</v>
      </c>
      <c r="I14" s="10">
        <v>34.0</v>
      </c>
      <c r="J14" s="10">
        <v>18.0</v>
      </c>
      <c r="K14" s="12">
        <v>105.0</v>
      </c>
      <c r="L14" s="13">
        <f>IFERROR(VLOOKUP(E14,PRODUCTOS!$A$4:$F$28,6,FALSE()),0)</f>
        <v>1.7</v>
      </c>
      <c r="M14" s="13">
        <f t="shared" si="1"/>
        <v>178.5</v>
      </c>
      <c r="N14" s="14">
        <f>IFERROR(M14*CONFIG!$B$4,0)</f>
        <v>17.85</v>
      </c>
      <c r="O14" s="15">
        <f t="shared" si="2"/>
        <v>160.65</v>
      </c>
      <c r="P14" s="16" t="s">
        <v>23</v>
      </c>
      <c r="Q14" s="17"/>
    </row>
    <row r="15" ht="15.0" customHeight="1">
      <c r="A15" s="6">
        <v>46146.0</v>
      </c>
      <c r="B15" s="7" t="s">
        <v>19</v>
      </c>
      <c r="C15" s="7">
        <v>1234.0</v>
      </c>
      <c r="D15" s="8" t="s">
        <v>20</v>
      </c>
      <c r="E15" s="9" t="s">
        <v>29</v>
      </c>
      <c r="F15" s="8" t="s">
        <v>28</v>
      </c>
      <c r="G15" s="10">
        <v>33.0</v>
      </c>
      <c r="H15" s="11"/>
      <c r="I15" s="10">
        <v>68.0</v>
      </c>
      <c r="J15" s="10">
        <v>34.0</v>
      </c>
      <c r="K15" s="12">
        <v>135.0</v>
      </c>
      <c r="L15" s="13">
        <f>IFERROR(VLOOKUP(E15,PRODUCTOS!$A$4:$F$28,6,FALSE()),0)</f>
        <v>1.7</v>
      </c>
      <c r="M15" s="13">
        <f t="shared" si="1"/>
        <v>229.5</v>
      </c>
      <c r="N15" s="14">
        <f>IFERROR(M15*CONFIG!$B$4,0)</f>
        <v>22.95</v>
      </c>
      <c r="O15" s="15">
        <f t="shared" si="2"/>
        <v>206.55</v>
      </c>
      <c r="P15" s="16" t="s">
        <v>23</v>
      </c>
      <c r="Q15" s="17"/>
    </row>
    <row r="16" ht="15.0" customHeight="1">
      <c r="A16" s="6">
        <v>46147.0</v>
      </c>
      <c r="B16" s="7" t="s">
        <v>19</v>
      </c>
      <c r="C16" s="7">
        <v>1234.0</v>
      </c>
      <c r="D16" s="8" t="s">
        <v>31</v>
      </c>
      <c r="E16" s="17" t="s">
        <v>33</v>
      </c>
      <c r="F16" s="8" t="s">
        <v>24</v>
      </c>
      <c r="G16" s="11"/>
      <c r="H16" s="10">
        <v>60.0</v>
      </c>
      <c r="I16" s="11"/>
      <c r="J16" s="11"/>
      <c r="K16" s="12">
        <v>60.0</v>
      </c>
      <c r="L16" s="13">
        <f>IFERROR(VLOOKUP(E16,PRODUCTOS!$A$4:$F$28,6,FALSE()),0)</f>
        <v>4</v>
      </c>
      <c r="M16" s="13">
        <f t="shared" si="1"/>
        <v>240</v>
      </c>
      <c r="N16" s="14">
        <f>IFERROR(M16*CONFIG!$B$4,0)</f>
        <v>24</v>
      </c>
      <c r="O16" s="15">
        <f t="shared" si="2"/>
        <v>216</v>
      </c>
      <c r="P16" s="16" t="s">
        <v>23</v>
      </c>
      <c r="Q16" s="17"/>
    </row>
    <row r="17" ht="15.0" customHeight="1">
      <c r="A17" s="6">
        <v>46147.0</v>
      </c>
      <c r="B17" s="7" t="s">
        <v>19</v>
      </c>
      <c r="C17" s="7">
        <v>1234.0</v>
      </c>
      <c r="D17" s="8" t="s">
        <v>31</v>
      </c>
      <c r="E17" s="17" t="s">
        <v>33</v>
      </c>
      <c r="F17" s="8" t="s">
        <v>34</v>
      </c>
      <c r="G17" s="10">
        <v>2.0</v>
      </c>
      <c r="H17" s="10">
        <v>2.0</v>
      </c>
      <c r="I17" s="10">
        <v>1.0</v>
      </c>
      <c r="J17" s="11"/>
      <c r="K17" s="12">
        <v>5.0</v>
      </c>
      <c r="L17" s="13">
        <f>IFERROR(VLOOKUP(E17,PRODUCTOS!$A$4:$F$28,6,FALSE()),0)</f>
        <v>4</v>
      </c>
      <c r="M17" s="13">
        <f t="shared" si="1"/>
        <v>20</v>
      </c>
      <c r="N17" s="14">
        <f>IFERROR(M17*CONFIG!$B$4,0)</f>
        <v>2</v>
      </c>
      <c r="O17" s="15">
        <f t="shared" si="2"/>
        <v>18</v>
      </c>
      <c r="P17" s="16" t="s">
        <v>23</v>
      </c>
      <c r="Q17" s="17"/>
    </row>
    <row r="18" ht="15.0" customHeight="1">
      <c r="A18" s="6">
        <v>46147.0</v>
      </c>
      <c r="B18" s="7" t="s">
        <v>19</v>
      </c>
      <c r="C18" s="7">
        <v>1234.0</v>
      </c>
      <c r="D18" s="8" t="s">
        <v>20</v>
      </c>
      <c r="E18" s="9" t="s">
        <v>27</v>
      </c>
      <c r="F18" s="8" t="s">
        <v>24</v>
      </c>
      <c r="G18" s="10">
        <v>59.0</v>
      </c>
      <c r="H18" s="10">
        <v>118.0</v>
      </c>
      <c r="I18" s="10">
        <v>118.0</v>
      </c>
      <c r="J18" s="10">
        <v>58.0</v>
      </c>
      <c r="K18" s="12">
        <v>353.0</v>
      </c>
      <c r="L18" s="13">
        <f>IFERROR(VLOOKUP(E18,PRODUCTOS!$A$4:$F$28,6,FALSE()),0)</f>
        <v>1.7</v>
      </c>
      <c r="M18" s="13">
        <f t="shared" si="1"/>
        <v>600.1</v>
      </c>
      <c r="N18" s="14">
        <f>IFERROR(M18*CONFIG!$B$4,0)</f>
        <v>60.01</v>
      </c>
      <c r="O18" s="15">
        <f t="shared" si="2"/>
        <v>540.09</v>
      </c>
      <c r="P18" s="16" t="s">
        <v>23</v>
      </c>
      <c r="Q18" s="17"/>
    </row>
    <row r="19" ht="15.0" customHeight="1">
      <c r="A19" s="6">
        <v>46147.0</v>
      </c>
      <c r="B19" s="7" t="s">
        <v>19</v>
      </c>
      <c r="C19" s="7">
        <v>1234.0</v>
      </c>
      <c r="D19" s="8" t="s">
        <v>20</v>
      </c>
      <c r="E19" s="9" t="s">
        <v>27</v>
      </c>
      <c r="F19" s="8" t="s">
        <v>36</v>
      </c>
      <c r="G19" s="11"/>
      <c r="H19" s="11"/>
      <c r="I19" s="10">
        <v>152.0</v>
      </c>
      <c r="J19" s="11"/>
      <c r="K19" s="12">
        <v>152.0</v>
      </c>
      <c r="L19" s="13">
        <f>IFERROR(VLOOKUP(E19,PRODUCTOS!$A$4:$F$28,6,FALSE()),0)</f>
        <v>1.7</v>
      </c>
      <c r="M19" s="13">
        <f t="shared" si="1"/>
        <v>258.4</v>
      </c>
      <c r="N19" s="14">
        <f>IFERROR(M19*CONFIG!$B$4,0)</f>
        <v>25.84</v>
      </c>
      <c r="O19" s="15">
        <f t="shared" si="2"/>
        <v>232.56</v>
      </c>
      <c r="P19" s="16" t="s">
        <v>23</v>
      </c>
      <c r="Q19" s="17"/>
    </row>
    <row r="20" ht="15.0" customHeight="1">
      <c r="A20" s="6">
        <v>46147.0</v>
      </c>
      <c r="B20" s="7" t="s">
        <v>19</v>
      </c>
      <c r="C20" s="7">
        <v>1234.0</v>
      </c>
      <c r="D20" s="8" t="s">
        <v>20</v>
      </c>
      <c r="E20" s="9" t="s">
        <v>27</v>
      </c>
      <c r="F20" s="8" t="s">
        <v>26</v>
      </c>
      <c r="G20" s="11"/>
      <c r="H20" s="10">
        <v>71.0</v>
      </c>
      <c r="I20" s="10">
        <v>72.0</v>
      </c>
      <c r="J20" s="10">
        <v>35.0</v>
      </c>
      <c r="K20" s="12">
        <v>178.0</v>
      </c>
      <c r="L20" s="13">
        <f>IFERROR(VLOOKUP(E20,PRODUCTOS!$A$4:$F$28,6,FALSE()),0)</f>
        <v>1.7</v>
      </c>
      <c r="M20" s="13">
        <f t="shared" si="1"/>
        <v>302.6</v>
      </c>
      <c r="N20" s="14">
        <f>IFERROR(M20*CONFIG!$B$4,0)</f>
        <v>30.26</v>
      </c>
      <c r="O20" s="15">
        <f t="shared" si="2"/>
        <v>272.34</v>
      </c>
      <c r="P20" s="16" t="s">
        <v>23</v>
      </c>
      <c r="Q20" s="17"/>
    </row>
    <row r="21" ht="15.0" customHeight="1">
      <c r="A21" s="6">
        <v>46147.0</v>
      </c>
      <c r="B21" s="7" t="s">
        <v>19</v>
      </c>
      <c r="C21" s="7">
        <v>1234.0</v>
      </c>
      <c r="D21" s="8" t="s">
        <v>20</v>
      </c>
      <c r="E21" s="9" t="s">
        <v>25</v>
      </c>
      <c r="F21" s="8" t="s">
        <v>34</v>
      </c>
      <c r="G21" s="11"/>
      <c r="H21" s="11"/>
      <c r="I21" s="10">
        <v>123.0</v>
      </c>
      <c r="J21" s="10">
        <v>90.0</v>
      </c>
      <c r="K21" s="12">
        <v>213.0</v>
      </c>
      <c r="L21" s="13">
        <f>IFERROR(VLOOKUP(E21,PRODUCTOS!$A$4:$F$28,6,FALSE()),0)</f>
        <v>4</v>
      </c>
      <c r="M21" s="13">
        <f t="shared" si="1"/>
        <v>852</v>
      </c>
      <c r="N21" s="14">
        <f>IFERROR(M21*CONFIG!$B$4,0)</f>
        <v>85.2</v>
      </c>
      <c r="O21" s="15">
        <f t="shared" si="2"/>
        <v>766.8</v>
      </c>
      <c r="P21" s="16" t="s">
        <v>23</v>
      </c>
      <c r="Q21" s="17"/>
    </row>
    <row r="22" ht="15.0" customHeight="1">
      <c r="A22" s="6">
        <v>46147.0</v>
      </c>
      <c r="B22" s="7" t="s">
        <v>19</v>
      </c>
      <c r="C22" s="7">
        <v>1234.0</v>
      </c>
      <c r="D22" s="8" t="s">
        <v>20</v>
      </c>
      <c r="E22" s="9" t="s">
        <v>37</v>
      </c>
      <c r="F22" s="8" t="s">
        <v>34</v>
      </c>
      <c r="G22" s="10">
        <v>47.0</v>
      </c>
      <c r="H22" s="10">
        <v>48.0</v>
      </c>
      <c r="I22" s="10">
        <v>47.0</v>
      </c>
      <c r="J22" s="11"/>
      <c r="K22" s="12">
        <v>142.0</v>
      </c>
      <c r="L22" s="13">
        <f>IFERROR(VLOOKUP(E22,PRODUCTOS!$A$4:$F$28,6,FALSE()),0)</f>
        <v>1.7</v>
      </c>
      <c r="M22" s="13">
        <f t="shared" si="1"/>
        <v>241.4</v>
      </c>
      <c r="N22" s="14">
        <f>IFERROR(M22*CONFIG!$B$4,0)</f>
        <v>24.14</v>
      </c>
      <c r="O22" s="15">
        <f t="shared" si="2"/>
        <v>217.26</v>
      </c>
      <c r="P22" s="16" t="s">
        <v>23</v>
      </c>
      <c r="Q22" s="17"/>
    </row>
    <row r="23" ht="15.0" customHeight="1">
      <c r="A23" s="6">
        <v>46147.0</v>
      </c>
      <c r="B23" s="7" t="s">
        <v>19</v>
      </c>
      <c r="C23" s="7">
        <v>1234.0</v>
      </c>
      <c r="D23" s="8" t="s">
        <v>20</v>
      </c>
      <c r="E23" s="9" t="s">
        <v>38</v>
      </c>
      <c r="F23" s="8" t="s">
        <v>34</v>
      </c>
      <c r="G23" s="10">
        <v>48.0</v>
      </c>
      <c r="H23" s="10">
        <v>48.0</v>
      </c>
      <c r="I23" s="10">
        <v>48.0</v>
      </c>
      <c r="J23" s="11"/>
      <c r="K23" s="12">
        <v>144.0</v>
      </c>
      <c r="L23" s="13">
        <f>IFERROR(VLOOKUP(E23,PRODUCTOS!$A$4:$F$28,6,FALSE()),0)</f>
        <v>1.7</v>
      </c>
      <c r="M23" s="13">
        <f t="shared" si="1"/>
        <v>244.8</v>
      </c>
      <c r="N23" s="14">
        <f>IFERROR(M23*CONFIG!$B$4,0)</f>
        <v>24.48</v>
      </c>
      <c r="O23" s="15">
        <f t="shared" si="2"/>
        <v>220.32</v>
      </c>
      <c r="P23" s="16" t="s">
        <v>23</v>
      </c>
      <c r="Q23" s="17"/>
    </row>
    <row r="24" ht="15.0" customHeight="1">
      <c r="A24" s="6">
        <v>46147.0</v>
      </c>
      <c r="B24" s="7" t="s">
        <v>19</v>
      </c>
      <c r="C24" s="7">
        <v>1234.0</v>
      </c>
      <c r="D24" s="8" t="s">
        <v>20</v>
      </c>
      <c r="E24" s="9" t="s">
        <v>25</v>
      </c>
      <c r="F24" s="8" t="s">
        <v>34</v>
      </c>
      <c r="G24" s="11"/>
      <c r="H24" s="10">
        <v>118.0</v>
      </c>
      <c r="I24" s="11"/>
      <c r="J24" s="11"/>
      <c r="K24" s="12">
        <v>118.0</v>
      </c>
      <c r="L24" s="13">
        <f>IFERROR(VLOOKUP(E24,PRODUCTOS!$A$4:$F$28,6,FALSE()),0)</f>
        <v>4</v>
      </c>
      <c r="M24" s="13">
        <f t="shared" si="1"/>
        <v>472</v>
      </c>
      <c r="N24" s="14">
        <f>IFERROR(M24*CONFIG!$B$4,0)</f>
        <v>47.2</v>
      </c>
      <c r="O24" s="15">
        <f t="shared" si="2"/>
        <v>424.8</v>
      </c>
      <c r="P24" s="16" t="s">
        <v>23</v>
      </c>
      <c r="Q24" s="17"/>
    </row>
    <row r="25" ht="15.0" customHeight="1">
      <c r="A25" s="6">
        <v>46147.0</v>
      </c>
      <c r="B25" s="7" t="s">
        <v>19</v>
      </c>
      <c r="C25" s="7">
        <v>1234.0</v>
      </c>
      <c r="D25" s="8" t="s">
        <v>20</v>
      </c>
      <c r="E25" s="17" t="s">
        <v>37</v>
      </c>
      <c r="F25" s="8" t="s">
        <v>26</v>
      </c>
      <c r="G25" s="11"/>
      <c r="H25" s="11"/>
      <c r="I25" s="10">
        <v>69.0</v>
      </c>
      <c r="J25" s="11"/>
      <c r="K25" s="12">
        <v>69.0</v>
      </c>
      <c r="L25" s="13">
        <f>IFERROR(VLOOKUP(E25,PRODUCTOS!$A$4:$F$28,6,FALSE()),0)</f>
        <v>1.7</v>
      </c>
      <c r="M25" s="13">
        <f t="shared" si="1"/>
        <v>117.3</v>
      </c>
      <c r="N25" s="14">
        <f>IFERROR(M25*CONFIG!$B$4,0)</f>
        <v>11.73</v>
      </c>
      <c r="O25" s="15">
        <f t="shared" si="2"/>
        <v>105.57</v>
      </c>
      <c r="P25" s="16" t="s">
        <v>23</v>
      </c>
      <c r="Q25" s="17"/>
    </row>
    <row r="26" ht="15.0" customHeight="1">
      <c r="A26" s="6">
        <v>46147.0</v>
      </c>
      <c r="B26" s="7" t="s">
        <v>19</v>
      </c>
      <c r="C26" s="7">
        <v>1234.0</v>
      </c>
      <c r="D26" s="8" t="s">
        <v>20</v>
      </c>
      <c r="E26" s="9" t="s">
        <v>27</v>
      </c>
      <c r="F26" s="8" t="s">
        <v>34</v>
      </c>
      <c r="G26" s="10">
        <v>50.0</v>
      </c>
      <c r="H26" s="10">
        <v>85.0</v>
      </c>
      <c r="I26" s="11"/>
      <c r="J26" s="11"/>
      <c r="K26" s="12">
        <v>135.0</v>
      </c>
      <c r="L26" s="13">
        <f>IFERROR(VLOOKUP(E26,PRODUCTOS!$A$4:$F$28,6,FALSE()),0)</f>
        <v>1.7</v>
      </c>
      <c r="M26" s="13">
        <f t="shared" si="1"/>
        <v>229.5</v>
      </c>
      <c r="N26" s="14">
        <f>IFERROR(M26*CONFIG!$B$4,0)</f>
        <v>22.95</v>
      </c>
      <c r="O26" s="15">
        <f t="shared" si="2"/>
        <v>206.55</v>
      </c>
      <c r="P26" s="16" t="s">
        <v>23</v>
      </c>
      <c r="Q26" s="17"/>
    </row>
    <row r="27" ht="15.0" customHeight="1">
      <c r="A27" s="6">
        <v>46147.0</v>
      </c>
      <c r="B27" s="7" t="s">
        <v>19</v>
      </c>
      <c r="C27" s="7">
        <v>1234.0</v>
      </c>
      <c r="D27" s="8" t="s">
        <v>20</v>
      </c>
      <c r="E27" s="17" t="s">
        <v>37</v>
      </c>
      <c r="F27" s="8" t="s">
        <v>24</v>
      </c>
      <c r="G27" s="11"/>
      <c r="H27" s="10">
        <v>55.0</v>
      </c>
      <c r="I27" s="11"/>
      <c r="J27" s="11"/>
      <c r="K27" s="12">
        <v>55.0</v>
      </c>
      <c r="L27" s="13">
        <f>IFERROR(VLOOKUP(E27,PRODUCTOS!$A$4:$F$28,6,FALSE()),0)</f>
        <v>1.7</v>
      </c>
      <c r="M27" s="13">
        <f t="shared" si="1"/>
        <v>93.5</v>
      </c>
      <c r="N27" s="14">
        <f>IFERROR(M27*CONFIG!$B$4,0)</f>
        <v>9.35</v>
      </c>
      <c r="O27" s="15">
        <f t="shared" si="2"/>
        <v>84.15</v>
      </c>
      <c r="P27" s="16" t="s">
        <v>23</v>
      </c>
      <c r="Q27" s="17"/>
    </row>
    <row r="28" ht="15.0" customHeight="1">
      <c r="A28" s="6">
        <v>46147.0</v>
      </c>
      <c r="B28" s="7" t="s">
        <v>19</v>
      </c>
      <c r="C28" s="7">
        <v>1234.0</v>
      </c>
      <c r="D28" s="8" t="s">
        <v>20</v>
      </c>
      <c r="E28" s="9" t="s">
        <v>38</v>
      </c>
      <c r="F28" s="8" t="s">
        <v>26</v>
      </c>
      <c r="G28" s="11"/>
      <c r="H28" s="10">
        <v>69.0</v>
      </c>
      <c r="I28" s="11"/>
      <c r="J28" s="11"/>
      <c r="K28" s="12">
        <v>69.0</v>
      </c>
      <c r="L28" s="13">
        <f>IFERROR(VLOOKUP(E28,PRODUCTOS!$A$4:$F$28,6,FALSE()),0)</f>
        <v>1.7</v>
      </c>
      <c r="M28" s="13">
        <f t="shared" si="1"/>
        <v>117.3</v>
      </c>
      <c r="N28" s="14">
        <f>IFERROR(M28*CONFIG!$B$4,0)</f>
        <v>11.73</v>
      </c>
      <c r="O28" s="15">
        <f t="shared" si="2"/>
        <v>105.57</v>
      </c>
      <c r="P28" s="16" t="s">
        <v>23</v>
      </c>
      <c r="Q28" s="17"/>
    </row>
    <row r="29" ht="15.0" customHeight="1">
      <c r="A29" s="6">
        <v>46147.0</v>
      </c>
      <c r="B29" s="7" t="s">
        <v>19</v>
      </c>
      <c r="C29" s="7">
        <v>1234.0</v>
      </c>
      <c r="D29" s="8" t="s">
        <v>20</v>
      </c>
      <c r="E29" s="17" t="s">
        <v>37</v>
      </c>
      <c r="F29" s="8" t="s">
        <v>39</v>
      </c>
      <c r="G29" s="11"/>
      <c r="H29" s="10">
        <v>55.0</v>
      </c>
      <c r="I29" s="11"/>
      <c r="J29" s="11"/>
      <c r="K29" s="12">
        <v>55.0</v>
      </c>
      <c r="L29" s="13">
        <f>IFERROR(VLOOKUP(E29,PRODUCTOS!$A$4:$F$28,6,FALSE()),0)</f>
        <v>1.7</v>
      </c>
      <c r="M29" s="13">
        <f t="shared" si="1"/>
        <v>93.5</v>
      </c>
      <c r="N29" s="14">
        <f>IFERROR(M29*CONFIG!$B$4,0)</f>
        <v>9.35</v>
      </c>
      <c r="O29" s="15">
        <f t="shared" si="2"/>
        <v>84.15</v>
      </c>
      <c r="P29" s="16" t="s">
        <v>23</v>
      </c>
      <c r="Q29" s="17"/>
    </row>
    <row r="30" ht="15.0" customHeight="1">
      <c r="A30" s="6">
        <v>46147.0</v>
      </c>
      <c r="B30" s="7" t="s">
        <v>19</v>
      </c>
      <c r="C30" s="7">
        <v>1234.0</v>
      </c>
      <c r="D30" s="8" t="s">
        <v>20</v>
      </c>
      <c r="E30" s="9" t="s">
        <v>38</v>
      </c>
      <c r="F30" s="8" t="s">
        <v>26</v>
      </c>
      <c r="G30" s="10">
        <v>70.0</v>
      </c>
      <c r="H30" s="11"/>
      <c r="I30" s="11"/>
      <c r="J30" s="11"/>
      <c r="K30" s="12">
        <v>70.0</v>
      </c>
      <c r="L30" s="13">
        <f>IFERROR(VLOOKUP(E30,PRODUCTOS!$A$4:$F$28,6,FALSE()),0)</f>
        <v>1.7</v>
      </c>
      <c r="M30" s="13">
        <f t="shared" si="1"/>
        <v>119</v>
      </c>
      <c r="N30" s="14">
        <f>IFERROR(M30*CONFIG!$B$4,0)</f>
        <v>11.9</v>
      </c>
      <c r="O30" s="15">
        <f t="shared" si="2"/>
        <v>107.1</v>
      </c>
      <c r="P30" s="16" t="s">
        <v>23</v>
      </c>
      <c r="Q30" s="17"/>
    </row>
    <row r="31" ht="15.0" customHeight="1">
      <c r="A31" s="6">
        <v>46147.0</v>
      </c>
      <c r="B31" s="7" t="s">
        <v>19</v>
      </c>
      <c r="C31" s="7">
        <v>1234.0</v>
      </c>
      <c r="D31" s="8" t="s">
        <v>20</v>
      </c>
      <c r="E31" s="9" t="s">
        <v>38</v>
      </c>
      <c r="F31" s="8" t="s">
        <v>40</v>
      </c>
      <c r="G31" s="10">
        <v>26.0</v>
      </c>
      <c r="H31" s="10">
        <v>23.0</v>
      </c>
      <c r="I31" s="10">
        <v>27.0</v>
      </c>
      <c r="J31" s="11"/>
      <c r="K31" s="12">
        <v>76.0</v>
      </c>
      <c r="L31" s="13">
        <f>IFERROR(VLOOKUP(E31,PRODUCTOS!$A$4:$F$28,6,FALSE()),0)</f>
        <v>1.7</v>
      </c>
      <c r="M31" s="13">
        <f t="shared" si="1"/>
        <v>129.2</v>
      </c>
      <c r="N31" s="14">
        <f>IFERROR(M31*CONFIG!$B$4,0)</f>
        <v>12.92</v>
      </c>
      <c r="O31" s="15">
        <f t="shared" si="2"/>
        <v>116.28</v>
      </c>
      <c r="P31" s="16" t="s">
        <v>23</v>
      </c>
      <c r="Q31" s="17"/>
    </row>
    <row r="32" ht="15.0" customHeight="1">
      <c r="A32" s="6">
        <v>46147.0</v>
      </c>
      <c r="B32" s="7" t="s">
        <v>19</v>
      </c>
      <c r="C32" s="7">
        <v>1234.0</v>
      </c>
      <c r="D32" s="8" t="s">
        <v>20</v>
      </c>
      <c r="E32" s="17" t="s">
        <v>37</v>
      </c>
      <c r="F32" s="8" t="s">
        <v>26</v>
      </c>
      <c r="G32" s="10">
        <v>68.0</v>
      </c>
      <c r="H32" s="10">
        <v>67.0</v>
      </c>
      <c r="I32" s="11"/>
      <c r="J32" s="11"/>
      <c r="K32" s="12">
        <v>135.0</v>
      </c>
      <c r="L32" s="13">
        <f>IFERROR(VLOOKUP(E32,PRODUCTOS!$A$4:$F$28,6,FALSE()),0)</f>
        <v>1.7</v>
      </c>
      <c r="M32" s="13">
        <f t="shared" si="1"/>
        <v>229.5</v>
      </c>
      <c r="N32" s="14">
        <f>IFERROR(M32*CONFIG!$B$4,0)</f>
        <v>22.95</v>
      </c>
      <c r="O32" s="15">
        <f t="shared" si="2"/>
        <v>206.55</v>
      </c>
      <c r="P32" s="16" t="s">
        <v>23</v>
      </c>
      <c r="Q32" s="17"/>
    </row>
    <row r="33" ht="15.0" customHeight="1">
      <c r="A33" s="6">
        <v>46147.0</v>
      </c>
      <c r="B33" s="7" t="s">
        <v>19</v>
      </c>
      <c r="C33" s="7">
        <v>1234.0</v>
      </c>
      <c r="D33" s="8" t="s">
        <v>20</v>
      </c>
      <c r="E33" s="9" t="s">
        <v>38</v>
      </c>
      <c r="F33" s="8" t="s">
        <v>24</v>
      </c>
      <c r="G33" s="10">
        <v>55.0</v>
      </c>
      <c r="H33" s="10">
        <v>55.0</v>
      </c>
      <c r="I33" s="10">
        <v>54.0</v>
      </c>
      <c r="J33" s="11"/>
      <c r="K33" s="12">
        <v>164.0</v>
      </c>
      <c r="L33" s="13">
        <f>IFERROR(VLOOKUP(E33,PRODUCTOS!$A$4:$F$28,6,FALSE()),0)</f>
        <v>1.7</v>
      </c>
      <c r="M33" s="13">
        <f t="shared" si="1"/>
        <v>278.8</v>
      </c>
      <c r="N33" s="14">
        <f>IFERROR(M33*CONFIG!$B$4,0)</f>
        <v>27.88</v>
      </c>
      <c r="O33" s="15">
        <f t="shared" si="2"/>
        <v>250.92</v>
      </c>
      <c r="P33" s="16" t="s">
        <v>23</v>
      </c>
      <c r="Q33" s="17"/>
    </row>
    <row r="34" ht="15.0" customHeight="1">
      <c r="A34" s="6">
        <v>46147.0</v>
      </c>
      <c r="B34" s="7" t="s">
        <v>19</v>
      </c>
      <c r="C34" s="7">
        <v>1234.0</v>
      </c>
      <c r="D34" s="8" t="s">
        <v>20</v>
      </c>
      <c r="E34" s="17" t="s">
        <v>37</v>
      </c>
      <c r="F34" s="8" t="s">
        <v>40</v>
      </c>
      <c r="G34" s="10">
        <v>25.0</v>
      </c>
      <c r="H34" s="10">
        <v>25.0</v>
      </c>
      <c r="I34" s="10">
        <v>26.0</v>
      </c>
      <c r="J34" s="11"/>
      <c r="K34" s="12">
        <v>76.0</v>
      </c>
      <c r="L34" s="13">
        <f>IFERROR(VLOOKUP(E34,PRODUCTOS!$A$4:$F$28,6,FALSE()),0)</f>
        <v>1.7</v>
      </c>
      <c r="M34" s="13">
        <f t="shared" si="1"/>
        <v>129.2</v>
      </c>
      <c r="N34" s="14">
        <f>IFERROR(M34*CONFIG!$B$4,0)</f>
        <v>12.92</v>
      </c>
      <c r="O34" s="15">
        <f t="shared" si="2"/>
        <v>116.28</v>
      </c>
      <c r="P34" s="16" t="s">
        <v>23</v>
      </c>
      <c r="Q34" s="17"/>
    </row>
    <row r="35" ht="15.0" customHeight="1">
      <c r="A35" s="6">
        <v>46147.0</v>
      </c>
      <c r="B35" s="7" t="s">
        <v>19</v>
      </c>
      <c r="C35" s="7">
        <v>1234.0</v>
      </c>
      <c r="D35" s="8" t="s">
        <v>20</v>
      </c>
      <c r="E35" s="9" t="s">
        <v>29</v>
      </c>
      <c r="F35" s="8" t="s">
        <v>28</v>
      </c>
      <c r="G35" s="11"/>
      <c r="H35" s="10">
        <v>68.0</v>
      </c>
      <c r="I35" s="11"/>
      <c r="J35" s="11"/>
      <c r="K35" s="12">
        <v>68.0</v>
      </c>
      <c r="L35" s="13">
        <f>IFERROR(VLOOKUP(E35,PRODUCTOS!$A$4:$F$28,6,FALSE()),0)</f>
        <v>1.7</v>
      </c>
      <c r="M35" s="13">
        <f t="shared" si="1"/>
        <v>115.6</v>
      </c>
      <c r="N35" s="14">
        <f>IFERROR(M35*CONFIG!$B$4,0)</f>
        <v>11.56</v>
      </c>
      <c r="O35" s="15">
        <f t="shared" si="2"/>
        <v>104.04</v>
      </c>
      <c r="P35" s="16" t="s">
        <v>23</v>
      </c>
      <c r="Q35" s="17"/>
    </row>
    <row r="36" ht="15.0" customHeight="1">
      <c r="A36" s="6">
        <v>46147.0</v>
      </c>
      <c r="B36" s="7" t="s">
        <v>19</v>
      </c>
      <c r="C36" s="7">
        <v>1234.0</v>
      </c>
      <c r="D36" s="8" t="s">
        <v>20</v>
      </c>
      <c r="E36" s="17" t="s">
        <v>38</v>
      </c>
      <c r="F36" s="8" t="s">
        <v>39</v>
      </c>
      <c r="G36" s="11"/>
      <c r="H36" s="10">
        <v>58.0</v>
      </c>
      <c r="I36" s="11"/>
      <c r="J36" s="11"/>
      <c r="K36" s="12">
        <v>58.0</v>
      </c>
      <c r="L36" s="13">
        <f>IFERROR(VLOOKUP(E36,PRODUCTOS!$A$4:$F$28,6,FALSE()),0)</f>
        <v>1.7</v>
      </c>
      <c r="M36" s="13">
        <f t="shared" si="1"/>
        <v>98.6</v>
      </c>
      <c r="N36" s="14">
        <f>IFERROR(M36*CONFIG!$B$4,0)</f>
        <v>9.86</v>
      </c>
      <c r="O36" s="15">
        <f t="shared" si="2"/>
        <v>88.74</v>
      </c>
      <c r="P36" s="16" t="s">
        <v>23</v>
      </c>
      <c r="Q36" s="17"/>
    </row>
    <row r="37" ht="15.0" customHeight="1">
      <c r="A37" s="6">
        <v>46147.0</v>
      </c>
      <c r="B37" s="7" t="s">
        <v>19</v>
      </c>
      <c r="C37" s="7">
        <v>1234.0</v>
      </c>
      <c r="D37" s="8" t="s">
        <v>20</v>
      </c>
      <c r="E37" s="17" t="s">
        <v>37</v>
      </c>
      <c r="F37" s="8" t="s">
        <v>39</v>
      </c>
      <c r="G37" s="11"/>
      <c r="H37" s="11"/>
      <c r="I37" s="10">
        <v>54.0</v>
      </c>
      <c r="J37" s="11"/>
      <c r="K37" s="12">
        <v>54.0</v>
      </c>
      <c r="L37" s="13">
        <f>IFERROR(VLOOKUP(E37,PRODUCTOS!$A$4:$F$28,6,FALSE()),0)</f>
        <v>1.7</v>
      </c>
      <c r="M37" s="13">
        <f t="shared" si="1"/>
        <v>91.8</v>
      </c>
      <c r="N37" s="14">
        <f>IFERROR(M37*CONFIG!$B$4,0)</f>
        <v>9.18</v>
      </c>
      <c r="O37" s="15">
        <f t="shared" si="2"/>
        <v>82.62</v>
      </c>
      <c r="P37" s="16" t="s">
        <v>23</v>
      </c>
      <c r="Q37" s="17"/>
    </row>
    <row r="38" ht="15.0" customHeight="1">
      <c r="A38" s="6">
        <v>46147.0</v>
      </c>
      <c r="B38" s="7" t="s">
        <v>19</v>
      </c>
      <c r="C38" s="7">
        <v>1234.0</v>
      </c>
      <c r="D38" s="8" t="s">
        <v>20</v>
      </c>
      <c r="E38" s="9" t="s">
        <v>37</v>
      </c>
      <c r="F38" s="8" t="s">
        <v>24</v>
      </c>
      <c r="G38" s="10">
        <v>55.0</v>
      </c>
      <c r="H38" s="11"/>
      <c r="I38" s="10">
        <v>56.0</v>
      </c>
      <c r="J38" s="11"/>
      <c r="K38" s="12">
        <v>111.0</v>
      </c>
      <c r="L38" s="13">
        <f>IFERROR(VLOOKUP(E38,PRODUCTOS!$A$4:$F$28,6,FALSE()),0)</f>
        <v>1.7</v>
      </c>
      <c r="M38" s="13">
        <f t="shared" si="1"/>
        <v>188.7</v>
      </c>
      <c r="N38" s="14">
        <f>IFERROR(M38*CONFIG!$B$4,0)</f>
        <v>18.87</v>
      </c>
      <c r="O38" s="15">
        <f t="shared" si="2"/>
        <v>169.83</v>
      </c>
      <c r="P38" s="16" t="s">
        <v>23</v>
      </c>
      <c r="Q38" s="17"/>
    </row>
    <row r="39" ht="15.0" customHeight="1">
      <c r="A39" s="6">
        <v>46147.0</v>
      </c>
      <c r="B39" s="7" t="s">
        <v>19</v>
      </c>
      <c r="C39" s="7">
        <v>1234.0</v>
      </c>
      <c r="D39" s="8" t="s">
        <v>20</v>
      </c>
      <c r="E39" s="17" t="s">
        <v>38</v>
      </c>
      <c r="F39" s="8" t="s">
        <v>22</v>
      </c>
      <c r="G39" s="11"/>
      <c r="H39" s="10">
        <v>62.0</v>
      </c>
      <c r="I39" s="11"/>
      <c r="J39" s="11"/>
      <c r="K39" s="12">
        <v>62.0</v>
      </c>
      <c r="L39" s="13">
        <f>IFERROR(VLOOKUP(E39,PRODUCTOS!$A$4:$F$28,6,FALSE()),0)</f>
        <v>1.7</v>
      </c>
      <c r="M39" s="13">
        <f t="shared" si="1"/>
        <v>105.4</v>
      </c>
      <c r="N39" s="14">
        <f>IFERROR(M39*CONFIG!$B$4,0)</f>
        <v>10.54</v>
      </c>
      <c r="O39" s="15">
        <f t="shared" si="2"/>
        <v>94.86</v>
      </c>
      <c r="P39" s="16" t="s">
        <v>23</v>
      </c>
      <c r="Q39" s="17"/>
    </row>
    <row r="40" ht="15.0" customHeight="1">
      <c r="A40" s="6">
        <v>46147.0</v>
      </c>
      <c r="B40" s="7" t="s">
        <v>19</v>
      </c>
      <c r="C40" s="7">
        <v>1234.0</v>
      </c>
      <c r="D40" s="8" t="s">
        <v>20</v>
      </c>
      <c r="E40" s="17" t="s">
        <v>37</v>
      </c>
      <c r="F40" s="8" t="s">
        <v>22</v>
      </c>
      <c r="G40" s="10">
        <v>60.0</v>
      </c>
      <c r="H40" s="10">
        <v>60.0</v>
      </c>
      <c r="I40" s="11"/>
      <c r="J40" s="11"/>
      <c r="K40" s="12">
        <v>120.0</v>
      </c>
      <c r="L40" s="13">
        <f>IFERROR(VLOOKUP(E40,PRODUCTOS!$A$4:$F$28,6,FALSE()),0)</f>
        <v>1.7</v>
      </c>
      <c r="M40" s="13">
        <f t="shared" si="1"/>
        <v>204</v>
      </c>
      <c r="N40" s="14">
        <f>IFERROR(M40*CONFIG!$B$4,0)</f>
        <v>20.4</v>
      </c>
      <c r="O40" s="15">
        <f t="shared" si="2"/>
        <v>183.6</v>
      </c>
      <c r="P40" s="16" t="s">
        <v>23</v>
      </c>
      <c r="Q40" s="17"/>
    </row>
    <row r="41" ht="15.0" customHeight="1">
      <c r="A41" s="6">
        <v>46147.0</v>
      </c>
      <c r="B41" s="7" t="s">
        <v>19</v>
      </c>
      <c r="C41" s="7">
        <v>1234.0</v>
      </c>
      <c r="D41" s="8" t="s">
        <v>20</v>
      </c>
      <c r="E41" s="17" t="s">
        <v>38</v>
      </c>
      <c r="F41" s="8" t="s">
        <v>22</v>
      </c>
      <c r="G41" s="10">
        <v>60.0</v>
      </c>
      <c r="H41" s="11"/>
      <c r="I41" s="11"/>
      <c r="J41" s="11"/>
      <c r="K41" s="12">
        <v>60.0</v>
      </c>
      <c r="L41" s="13">
        <f>IFERROR(VLOOKUP(E41,PRODUCTOS!$A$4:$F$28,6,FALSE()),0)</f>
        <v>1.7</v>
      </c>
      <c r="M41" s="13">
        <f t="shared" si="1"/>
        <v>102</v>
      </c>
      <c r="N41" s="14">
        <f>IFERROR(M41*CONFIG!$B$4,0)</f>
        <v>10.2</v>
      </c>
      <c r="O41" s="15">
        <f t="shared" si="2"/>
        <v>91.8</v>
      </c>
      <c r="P41" s="16" t="s">
        <v>23</v>
      </c>
      <c r="Q41" s="17"/>
    </row>
    <row r="42" ht="15.0" customHeight="1">
      <c r="A42" s="6">
        <v>46148.0</v>
      </c>
      <c r="B42" s="7" t="s">
        <v>19</v>
      </c>
      <c r="C42" s="7">
        <v>1234.0</v>
      </c>
      <c r="D42" s="8" t="s">
        <v>20</v>
      </c>
      <c r="E42" s="17" t="s">
        <v>37</v>
      </c>
      <c r="F42" s="8" t="s">
        <v>39</v>
      </c>
      <c r="G42" s="10">
        <v>58.0</v>
      </c>
      <c r="H42" s="11"/>
      <c r="I42" s="11"/>
      <c r="J42" s="11"/>
      <c r="K42" s="12">
        <v>58.0</v>
      </c>
      <c r="L42" s="13">
        <f>IFERROR(VLOOKUP(E42,PRODUCTOS!$A$4:$F$28,6,FALSE()),0)</f>
        <v>1.7</v>
      </c>
      <c r="M42" s="13">
        <f t="shared" si="1"/>
        <v>98.6</v>
      </c>
      <c r="N42" s="14">
        <f>IFERROR(M42*CONFIG!$B$4,0)</f>
        <v>9.86</v>
      </c>
      <c r="O42" s="15">
        <f t="shared" si="2"/>
        <v>88.74</v>
      </c>
      <c r="P42" s="16" t="s">
        <v>23</v>
      </c>
      <c r="Q42" s="17"/>
    </row>
    <row r="43" ht="15.0" customHeight="1">
      <c r="A43" s="6">
        <v>46148.0</v>
      </c>
      <c r="B43" s="7" t="s">
        <v>19</v>
      </c>
      <c r="C43" s="7">
        <v>1234.0</v>
      </c>
      <c r="D43" s="8" t="s">
        <v>20</v>
      </c>
      <c r="E43" s="9" t="s">
        <v>38</v>
      </c>
      <c r="F43" s="8" t="s">
        <v>39</v>
      </c>
      <c r="G43" s="10">
        <v>57.0</v>
      </c>
      <c r="H43" s="11"/>
      <c r="I43" s="10">
        <v>57.0</v>
      </c>
      <c r="J43" s="11"/>
      <c r="K43" s="12">
        <v>114.0</v>
      </c>
      <c r="L43" s="13">
        <f>IFERROR(VLOOKUP(E43,PRODUCTOS!$A$4:$F$28,6,FALSE()),0)</f>
        <v>1.7</v>
      </c>
      <c r="M43" s="13">
        <f t="shared" si="1"/>
        <v>193.8</v>
      </c>
      <c r="N43" s="14">
        <f>IFERROR(M43*CONFIG!$B$4,0)</f>
        <v>19.38</v>
      </c>
      <c r="O43" s="15">
        <f t="shared" si="2"/>
        <v>174.42</v>
      </c>
      <c r="P43" s="16" t="s">
        <v>23</v>
      </c>
      <c r="Q43" s="17"/>
    </row>
    <row r="44" ht="15.0" customHeight="1">
      <c r="A44" s="6">
        <v>46148.0</v>
      </c>
      <c r="B44" s="7" t="s">
        <v>19</v>
      </c>
      <c r="C44" s="7">
        <v>1234.0</v>
      </c>
      <c r="D44" s="8" t="s">
        <v>20</v>
      </c>
      <c r="E44" s="9" t="s">
        <v>27</v>
      </c>
      <c r="F44" s="8" t="s">
        <v>26</v>
      </c>
      <c r="G44" s="10">
        <v>34.0</v>
      </c>
      <c r="H44" s="11"/>
      <c r="I44" s="11"/>
      <c r="J44" s="11"/>
      <c r="K44" s="12">
        <v>34.0</v>
      </c>
      <c r="L44" s="13">
        <f>IFERROR(VLOOKUP(E44,PRODUCTOS!$A$4:$F$28,6,FALSE()),0)</f>
        <v>1.7</v>
      </c>
      <c r="M44" s="13">
        <f t="shared" si="1"/>
        <v>57.8</v>
      </c>
      <c r="N44" s="14">
        <f>IFERROR(M44*CONFIG!$B$4,0)</f>
        <v>5.78</v>
      </c>
      <c r="O44" s="15">
        <f t="shared" si="2"/>
        <v>52.02</v>
      </c>
      <c r="P44" s="16" t="s">
        <v>23</v>
      </c>
      <c r="Q44" s="17"/>
    </row>
    <row r="45" ht="15.0" customHeight="1">
      <c r="A45" s="6">
        <v>46148.0</v>
      </c>
      <c r="B45" s="7" t="s">
        <v>19</v>
      </c>
      <c r="C45" s="7">
        <v>1234.0</v>
      </c>
      <c r="D45" s="8" t="s">
        <v>20</v>
      </c>
      <c r="E45" s="9" t="s">
        <v>27</v>
      </c>
      <c r="F45" s="8" t="s">
        <v>34</v>
      </c>
      <c r="G45" s="10">
        <v>22.0</v>
      </c>
      <c r="H45" s="11"/>
      <c r="I45" s="11"/>
      <c r="J45" s="10">
        <v>50.0</v>
      </c>
      <c r="K45" s="12">
        <v>72.0</v>
      </c>
      <c r="L45" s="13">
        <f>IFERROR(VLOOKUP(E45,PRODUCTOS!$A$4:$F$28,6,FALSE()),0)</f>
        <v>1.7</v>
      </c>
      <c r="M45" s="13">
        <f t="shared" si="1"/>
        <v>122.4</v>
      </c>
      <c r="N45" s="14">
        <f>IFERROR(M45*CONFIG!$B$4,0)</f>
        <v>12.24</v>
      </c>
      <c r="O45" s="15">
        <f t="shared" si="2"/>
        <v>110.16</v>
      </c>
      <c r="P45" s="16" t="s">
        <v>23</v>
      </c>
      <c r="Q45" s="17"/>
    </row>
    <row r="46" ht="15.0" customHeight="1">
      <c r="A46" s="6">
        <v>46148.0</v>
      </c>
      <c r="B46" s="7" t="s">
        <v>19</v>
      </c>
      <c r="C46" s="7">
        <v>1234.0</v>
      </c>
      <c r="D46" s="8" t="s">
        <v>31</v>
      </c>
      <c r="E46" s="9" t="s">
        <v>32</v>
      </c>
      <c r="F46" s="8" t="s">
        <v>39</v>
      </c>
      <c r="G46" s="10">
        <v>84.0</v>
      </c>
      <c r="H46" s="10">
        <v>63.0</v>
      </c>
      <c r="I46" s="10">
        <v>84.0</v>
      </c>
      <c r="J46" s="11"/>
      <c r="K46" s="12">
        <v>231.0</v>
      </c>
      <c r="L46" s="13">
        <f>IFERROR(VLOOKUP(E46,PRODUCTOS!$A$4:$F$28,6,FALSE()),0)</f>
        <v>6</v>
      </c>
      <c r="M46" s="13">
        <f t="shared" si="1"/>
        <v>1386</v>
      </c>
      <c r="N46" s="14">
        <f>IFERROR(M46*CONFIG!$B$4,0)</f>
        <v>138.6</v>
      </c>
      <c r="O46" s="15">
        <f t="shared" si="2"/>
        <v>1247.4</v>
      </c>
      <c r="P46" s="16" t="s">
        <v>23</v>
      </c>
      <c r="Q46" s="17"/>
    </row>
    <row r="47" ht="15.0" customHeight="1">
      <c r="A47" s="6">
        <v>46148.0</v>
      </c>
      <c r="B47" s="7" t="s">
        <v>19</v>
      </c>
      <c r="C47" s="7">
        <v>1234.0</v>
      </c>
      <c r="D47" s="8" t="s">
        <v>20</v>
      </c>
      <c r="E47" s="9" t="s">
        <v>27</v>
      </c>
      <c r="F47" s="8" t="s">
        <v>40</v>
      </c>
      <c r="G47" s="11"/>
      <c r="H47" s="10">
        <v>216.0</v>
      </c>
      <c r="I47" s="11"/>
      <c r="J47" s="11"/>
      <c r="K47" s="12">
        <v>216.0</v>
      </c>
      <c r="L47" s="13">
        <f>IFERROR(VLOOKUP(E47,PRODUCTOS!$A$4:$F$28,6,FALSE()),0)</f>
        <v>1.7</v>
      </c>
      <c r="M47" s="13">
        <f t="shared" si="1"/>
        <v>367.2</v>
      </c>
      <c r="N47" s="14">
        <f>IFERROR(M47*CONFIG!$B$4,0)</f>
        <v>36.72</v>
      </c>
      <c r="O47" s="15">
        <f t="shared" si="2"/>
        <v>330.48</v>
      </c>
      <c r="P47" s="16" t="s">
        <v>23</v>
      </c>
      <c r="Q47" s="17"/>
    </row>
    <row r="48" ht="15.0" customHeight="1">
      <c r="A48" s="6">
        <v>46148.0</v>
      </c>
      <c r="B48" s="7" t="s">
        <v>19</v>
      </c>
      <c r="C48" s="7">
        <v>1234.0</v>
      </c>
      <c r="D48" s="8" t="s">
        <v>31</v>
      </c>
      <c r="E48" s="9" t="s">
        <v>32</v>
      </c>
      <c r="F48" s="8" t="s">
        <v>39</v>
      </c>
      <c r="G48" s="11"/>
      <c r="H48" s="10">
        <v>60.0</v>
      </c>
      <c r="I48" s="11"/>
      <c r="J48" s="11"/>
      <c r="K48" s="12">
        <v>60.0</v>
      </c>
      <c r="L48" s="13">
        <f>IFERROR(VLOOKUP(E48,PRODUCTOS!$A$4:$F$28,6,FALSE()),0)</f>
        <v>6</v>
      </c>
      <c r="M48" s="13">
        <f t="shared" si="1"/>
        <v>360</v>
      </c>
      <c r="N48" s="14">
        <f>IFERROR(M48*CONFIG!$B$4,0)</f>
        <v>36</v>
      </c>
      <c r="O48" s="15">
        <f t="shared" si="2"/>
        <v>324</v>
      </c>
      <c r="P48" s="16" t="s">
        <v>23</v>
      </c>
      <c r="Q48" s="17"/>
    </row>
    <row r="49" ht="15.0" customHeight="1">
      <c r="A49" s="6">
        <v>46148.0</v>
      </c>
      <c r="B49" s="7" t="s">
        <v>19</v>
      </c>
      <c r="C49" s="7">
        <v>1234.0</v>
      </c>
      <c r="D49" s="8" t="s">
        <v>31</v>
      </c>
      <c r="E49" s="9" t="s">
        <v>32</v>
      </c>
      <c r="F49" s="8" t="s">
        <v>34</v>
      </c>
      <c r="G49" s="11"/>
      <c r="H49" s="10">
        <v>2.0</v>
      </c>
      <c r="I49" s="11"/>
      <c r="J49" s="11"/>
      <c r="K49" s="12">
        <v>2.0</v>
      </c>
      <c r="L49" s="13">
        <f>IFERROR(VLOOKUP(E49,PRODUCTOS!$A$4:$F$28,6,FALSE()),0)</f>
        <v>6</v>
      </c>
      <c r="M49" s="13">
        <f t="shared" si="1"/>
        <v>12</v>
      </c>
      <c r="N49" s="14">
        <f>IFERROR(M49*CONFIG!$B$4,0)</f>
        <v>1.2</v>
      </c>
      <c r="O49" s="15">
        <f t="shared" si="2"/>
        <v>10.8</v>
      </c>
      <c r="P49" s="16" t="s">
        <v>23</v>
      </c>
      <c r="Q49" s="17"/>
    </row>
    <row r="50" ht="15.0" customHeight="1">
      <c r="A50" s="6">
        <v>46148.0</v>
      </c>
      <c r="B50" s="7" t="s">
        <v>19</v>
      </c>
      <c r="C50" s="7">
        <v>1234.0</v>
      </c>
      <c r="D50" s="8" t="s">
        <v>20</v>
      </c>
      <c r="E50" s="9" t="s">
        <v>21</v>
      </c>
      <c r="F50" s="8" t="s">
        <v>39</v>
      </c>
      <c r="G50" s="11"/>
      <c r="H50" s="10">
        <v>2.0</v>
      </c>
      <c r="I50" s="10">
        <v>2.0</v>
      </c>
      <c r="J50" s="11"/>
      <c r="K50" s="12">
        <v>4.0</v>
      </c>
      <c r="L50" s="13">
        <f>IFERROR(VLOOKUP(E50,PRODUCTOS!$A$4:$F$28,6,FALSE()),0)</f>
        <v>1.7</v>
      </c>
      <c r="M50" s="13">
        <f t="shared" si="1"/>
        <v>6.8</v>
      </c>
      <c r="N50" s="14">
        <f>IFERROR(M50*CONFIG!$B$4,0)</f>
        <v>0.68</v>
      </c>
      <c r="O50" s="15">
        <f t="shared" si="2"/>
        <v>6.12</v>
      </c>
      <c r="P50" s="16" t="s">
        <v>23</v>
      </c>
      <c r="Q50" s="17"/>
    </row>
    <row r="51" ht="15.0" customHeight="1">
      <c r="A51" s="6">
        <v>46148.0</v>
      </c>
      <c r="B51" s="7" t="s">
        <v>19</v>
      </c>
      <c r="C51" s="7">
        <v>1234.0</v>
      </c>
      <c r="D51" s="8" t="s">
        <v>20</v>
      </c>
      <c r="E51" s="9" t="s">
        <v>25</v>
      </c>
      <c r="F51" s="8" t="s">
        <v>30</v>
      </c>
      <c r="G51" s="10">
        <v>34.0</v>
      </c>
      <c r="H51" s="10">
        <v>16.0</v>
      </c>
      <c r="I51" s="11"/>
      <c r="J51" s="10">
        <v>33.0</v>
      </c>
      <c r="K51" s="12">
        <v>83.0</v>
      </c>
      <c r="L51" s="13">
        <f>IFERROR(VLOOKUP(E51,PRODUCTOS!$A$4:$F$28,6,FALSE()),0)</f>
        <v>4</v>
      </c>
      <c r="M51" s="13">
        <f t="shared" si="1"/>
        <v>332</v>
      </c>
      <c r="N51" s="14">
        <f>IFERROR(M51*CONFIG!$B$4,0)</f>
        <v>33.2</v>
      </c>
      <c r="O51" s="15">
        <f t="shared" si="2"/>
        <v>298.8</v>
      </c>
      <c r="P51" s="16" t="s">
        <v>23</v>
      </c>
      <c r="Q51" s="17"/>
    </row>
    <row r="52" ht="15.0" customHeight="1">
      <c r="A52" s="6">
        <v>46148.0</v>
      </c>
      <c r="B52" s="7" t="s">
        <v>19</v>
      </c>
      <c r="C52" s="7">
        <v>1234.0</v>
      </c>
      <c r="D52" s="8" t="s">
        <v>20</v>
      </c>
      <c r="E52" s="9" t="s">
        <v>29</v>
      </c>
      <c r="F52" s="8" t="s">
        <v>34</v>
      </c>
      <c r="G52" s="10">
        <v>69.0</v>
      </c>
      <c r="H52" s="10">
        <v>135.0</v>
      </c>
      <c r="I52" s="10">
        <v>67.0</v>
      </c>
      <c r="J52" s="11"/>
      <c r="K52" s="12">
        <v>271.0</v>
      </c>
      <c r="L52" s="13">
        <f>IFERROR(VLOOKUP(E52,PRODUCTOS!$A$4:$F$28,6,FALSE()),0)</f>
        <v>1.7</v>
      </c>
      <c r="M52" s="13">
        <f t="shared" si="1"/>
        <v>460.7</v>
      </c>
      <c r="N52" s="14">
        <f>IFERROR(M52*CONFIG!$B$4,0)</f>
        <v>46.07</v>
      </c>
      <c r="O52" s="15">
        <f t="shared" si="2"/>
        <v>414.63</v>
      </c>
      <c r="P52" s="16" t="s">
        <v>23</v>
      </c>
      <c r="Q52" s="17"/>
    </row>
    <row r="53" ht="15.0" customHeight="1">
      <c r="A53" s="6">
        <v>46148.0</v>
      </c>
      <c r="B53" s="7" t="s">
        <v>19</v>
      </c>
      <c r="C53" s="7">
        <v>1234.0</v>
      </c>
      <c r="D53" s="8" t="s">
        <v>20</v>
      </c>
      <c r="E53" s="9" t="s">
        <v>27</v>
      </c>
      <c r="F53" s="8" t="s">
        <v>36</v>
      </c>
      <c r="G53" s="10">
        <v>75.0</v>
      </c>
      <c r="H53" s="11"/>
      <c r="I53" s="11"/>
      <c r="J53" s="11"/>
      <c r="K53" s="12">
        <v>75.0</v>
      </c>
      <c r="L53" s="13">
        <f>IFERROR(VLOOKUP(E53,PRODUCTOS!$A$4:$F$28,6,FALSE()),0)</f>
        <v>1.7</v>
      </c>
      <c r="M53" s="13">
        <f t="shared" si="1"/>
        <v>127.5</v>
      </c>
      <c r="N53" s="14">
        <f>IFERROR(M53*CONFIG!$B$4,0)</f>
        <v>12.75</v>
      </c>
      <c r="O53" s="15">
        <f t="shared" si="2"/>
        <v>114.75</v>
      </c>
      <c r="P53" s="16" t="s">
        <v>23</v>
      </c>
      <c r="Q53" s="17"/>
    </row>
    <row r="54" ht="15.0" customHeight="1">
      <c r="A54" s="6">
        <v>46148.0</v>
      </c>
      <c r="B54" s="7" t="s">
        <v>19</v>
      </c>
      <c r="C54" s="7">
        <v>1234.0</v>
      </c>
      <c r="D54" s="8" t="s">
        <v>31</v>
      </c>
      <c r="E54" s="9" t="s">
        <v>32</v>
      </c>
      <c r="F54" s="8" t="s">
        <v>22</v>
      </c>
      <c r="G54" s="11"/>
      <c r="H54" s="10">
        <v>120.0</v>
      </c>
      <c r="I54" s="11"/>
      <c r="J54" s="11"/>
      <c r="K54" s="12">
        <v>120.0</v>
      </c>
      <c r="L54" s="13">
        <f>IFERROR(VLOOKUP(E54,PRODUCTOS!$A$4:$F$28,6,FALSE()),0)</f>
        <v>6</v>
      </c>
      <c r="M54" s="13">
        <f t="shared" si="1"/>
        <v>720</v>
      </c>
      <c r="N54" s="14">
        <f>IFERROR(M54*CONFIG!$B$4,0)</f>
        <v>72</v>
      </c>
      <c r="O54" s="15">
        <f t="shared" si="2"/>
        <v>648</v>
      </c>
      <c r="P54" s="16" t="s">
        <v>23</v>
      </c>
      <c r="Q54" s="17"/>
    </row>
    <row r="55" ht="15.0" customHeight="1">
      <c r="A55" s="6">
        <v>46149.0</v>
      </c>
      <c r="B55" s="7" t="s">
        <v>19</v>
      </c>
      <c r="C55" s="7">
        <v>1234.0</v>
      </c>
      <c r="D55" s="8" t="s">
        <v>20</v>
      </c>
      <c r="E55" s="9" t="s">
        <v>25</v>
      </c>
      <c r="F55" s="8" t="s">
        <v>34</v>
      </c>
      <c r="G55" s="10">
        <v>62.0</v>
      </c>
      <c r="H55" s="11"/>
      <c r="I55" s="11"/>
      <c r="J55" s="10">
        <v>134.0</v>
      </c>
      <c r="K55" s="12">
        <v>196.0</v>
      </c>
      <c r="L55" s="13">
        <f>IFERROR(VLOOKUP(E55,PRODUCTOS!$A$4:$F$28,6,FALSE()),0)</f>
        <v>4</v>
      </c>
      <c r="M55" s="13">
        <f t="shared" si="1"/>
        <v>784</v>
      </c>
      <c r="N55" s="14">
        <f>IFERROR(M55*CONFIG!$B$4,0)</f>
        <v>78.4</v>
      </c>
      <c r="O55" s="15">
        <f t="shared" si="2"/>
        <v>705.6</v>
      </c>
      <c r="P55" s="16" t="s">
        <v>23</v>
      </c>
      <c r="Q55" s="17"/>
    </row>
    <row r="56" ht="15.0" customHeight="1">
      <c r="A56" s="6">
        <v>46149.0</v>
      </c>
      <c r="B56" s="7" t="s">
        <v>19</v>
      </c>
      <c r="C56" s="7">
        <v>1234.0</v>
      </c>
      <c r="D56" s="8" t="s">
        <v>31</v>
      </c>
      <c r="E56" s="17" t="s">
        <v>33</v>
      </c>
      <c r="F56" s="8" t="s">
        <v>39</v>
      </c>
      <c r="G56" s="11"/>
      <c r="H56" s="10">
        <v>48.0</v>
      </c>
      <c r="I56" s="11"/>
      <c r="J56" s="11"/>
      <c r="K56" s="12">
        <v>48.0</v>
      </c>
      <c r="L56" s="13">
        <f>IFERROR(VLOOKUP(E56,PRODUCTOS!$A$4:$F$28,6,FALSE()),0)</f>
        <v>4</v>
      </c>
      <c r="M56" s="13">
        <f t="shared" si="1"/>
        <v>192</v>
      </c>
      <c r="N56" s="14">
        <f>IFERROR(M56*CONFIG!$B$4,0)</f>
        <v>19.2</v>
      </c>
      <c r="O56" s="15">
        <f t="shared" si="2"/>
        <v>172.8</v>
      </c>
      <c r="P56" s="16" t="s">
        <v>23</v>
      </c>
      <c r="Q56" s="17"/>
    </row>
    <row r="57" ht="15.0" customHeight="1">
      <c r="A57" s="6">
        <v>46149.0</v>
      </c>
      <c r="B57" s="7" t="s">
        <v>19</v>
      </c>
      <c r="C57" s="7">
        <v>1234.0</v>
      </c>
      <c r="D57" s="8" t="s">
        <v>20</v>
      </c>
      <c r="E57" s="9" t="s">
        <v>41</v>
      </c>
      <c r="F57" s="8" t="s">
        <v>22</v>
      </c>
      <c r="G57" s="11"/>
      <c r="H57" s="11"/>
      <c r="I57" s="11"/>
      <c r="J57" s="11"/>
      <c r="K57" s="12">
        <v>75.0</v>
      </c>
      <c r="L57" s="13">
        <f>IFERROR(VLOOKUP(E57,PRODUCTOS!$A$4:$F$28,6,FALSE()),0)</f>
        <v>1.7</v>
      </c>
      <c r="M57" s="13">
        <f t="shared" si="1"/>
        <v>127.5</v>
      </c>
      <c r="N57" s="14">
        <f>IFERROR(M57*CONFIG!$B$4,0)</f>
        <v>12.75</v>
      </c>
      <c r="O57" s="15">
        <f t="shared" si="2"/>
        <v>114.75</v>
      </c>
      <c r="P57" s="16" t="s">
        <v>23</v>
      </c>
      <c r="Q57" s="17"/>
    </row>
    <row r="58" ht="15.0" customHeight="1">
      <c r="A58" s="6">
        <v>46149.0</v>
      </c>
      <c r="B58" s="7" t="s">
        <v>19</v>
      </c>
      <c r="C58" s="7">
        <v>1234.0</v>
      </c>
      <c r="D58" s="8" t="s">
        <v>20</v>
      </c>
      <c r="E58" s="9" t="s">
        <v>42</v>
      </c>
      <c r="F58" s="8" t="s">
        <v>22</v>
      </c>
      <c r="G58" s="11"/>
      <c r="H58" s="11"/>
      <c r="I58" s="11"/>
      <c r="J58" s="11"/>
      <c r="K58" s="12">
        <v>126.0</v>
      </c>
      <c r="L58" s="13">
        <f>IFERROR(VLOOKUP(E58,PRODUCTOS!$A$4:$F$28,6,FALSE()),0)</f>
        <v>1.7</v>
      </c>
      <c r="M58" s="13">
        <f t="shared" si="1"/>
        <v>214.2</v>
      </c>
      <c r="N58" s="14">
        <f>IFERROR(M58*CONFIG!$B$4,0)</f>
        <v>21.42</v>
      </c>
      <c r="O58" s="15">
        <f t="shared" si="2"/>
        <v>192.78</v>
      </c>
      <c r="P58" s="16" t="s">
        <v>23</v>
      </c>
      <c r="Q58" s="17"/>
    </row>
    <row r="59" ht="15.0" customHeight="1">
      <c r="A59" s="6">
        <v>46149.0</v>
      </c>
      <c r="B59" s="7" t="s">
        <v>19</v>
      </c>
      <c r="C59" s="7">
        <v>1234.0</v>
      </c>
      <c r="D59" s="8" t="s">
        <v>20</v>
      </c>
      <c r="E59" s="9" t="s">
        <v>25</v>
      </c>
      <c r="F59" s="8" t="s">
        <v>34</v>
      </c>
      <c r="G59" s="10">
        <v>82.0</v>
      </c>
      <c r="H59" s="10">
        <v>113.0</v>
      </c>
      <c r="I59" s="10">
        <v>97.0</v>
      </c>
      <c r="J59" s="11"/>
      <c r="K59" s="12">
        <v>292.0</v>
      </c>
      <c r="L59" s="13">
        <f>IFERROR(VLOOKUP(E59,PRODUCTOS!$A$4:$F$28,6,FALSE()),0)</f>
        <v>4</v>
      </c>
      <c r="M59" s="13">
        <f t="shared" si="1"/>
        <v>1168</v>
      </c>
      <c r="N59" s="14">
        <f>IFERROR(M59*CONFIG!$B$4,0)</f>
        <v>116.8</v>
      </c>
      <c r="O59" s="15">
        <f t="shared" si="2"/>
        <v>1051.2</v>
      </c>
      <c r="P59" s="16" t="s">
        <v>23</v>
      </c>
      <c r="Q59" s="17"/>
    </row>
    <row r="60" ht="15.0" customHeight="1">
      <c r="A60" s="6">
        <v>46149.0</v>
      </c>
      <c r="B60" s="7" t="s">
        <v>19</v>
      </c>
      <c r="C60" s="7">
        <v>1234.0</v>
      </c>
      <c r="D60" s="8" t="s">
        <v>20</v>
      </c>
      <c r="E60" s="9" t="s">
        <v>43</v>
      </c>
      <c r="F60" s="8" t="s">
        <v>44</v>
      </c>
      <c r="G60" s="11"/>
      <c r="H60" s="10">
        <v>180.0</v>
      </c>
      <c r="I60" s="10">
        <v>182.0</v>
      </c>
      <c r="J60" s="11"/>
      <c r="K60" s="12">
        <v>362.0</v>
      </c>
      <c r="L60" s="13">
        <f>IFERROR(VLOOKUP(E60,PRODUCTOS!$A$4:$F$28,6,FALSE()),0)</f>
        <v>2</v>
      </c>
      <c r="M60" s="13">
        <f t="shared" si="1"/>
        <v>724</v>
      </c>
      <c r="N60" s="14">
        <f>IFERROR(M60*CONFIG!$B$4,0)</f>
        <v>72.4</v>
      </c>
      <c r="O60" s="15">
        <f t="shared" si="2"/>
        <v>651.6</v>
      </c>
      <c r="P60" s="16" t="s">
        <v>23</v>
      </c>
      <c r="Q60" s="17"/>
    </row>
    <row r="61" ht="15.0" customHeight="1">
      <c r="A61" s="6">
        <v>46149.0</v>
      </c>
      <c r="B61" s="7" t="s">
        <v>19</v>
      </c>
      <c r="C61" s="7">
        <v>1234.0</v>
      </c>
      <c r="D61" s="8" t="s">
        <v>20</v>
      </c>
      <c r="E61" s="9" t="s">
        <v>45</v>
      </c>
      <c r="F61" s="8" t="s">
        <v>24</v>
      </c>
      <c r="G61" s="11"/>
      <c r="H61" s="10">
        <v>131.0</v>
      </c>
      <c r="I61" s="11"/>
      <c r="J61" s="11"/>
      <c r="K61" s="12">
        <v>131.0</v>
      </c>
      <c r="L61" s="13">
        <f>IFERROR(VLOOKUP(E61,PRODUCTOS!$A$4:$F$28,6,FALSE()),0)</f>
        <v>4</v>
      </c>
      <c r="M61" s="13">
        <f t="shared" si="1"/>
        <v>524</v>
      </c>
      <c r="N61" s="14">
        <f>IFERROR(M61*CONFIG!$B$4,0)</f>
        <v>52.4</v>
      </c>
      <c r="O61" s="15">
        <f t="shared" si="2"/>
        <v>471.6</v>
      </c>
      <c r="P61" s="16" t="s">
        <v>23</v>
      </c>
      <c r="Q61" s="17"/>
    </row>
    <row r="62" ht="15.0" customHeight="1">
      <c r="A62" s="6">
        <v>46149.0</v>
      </c>
      <c r="B62" s="7" t="s">
        <v>19</v>
      </c>
      <c r="C62" s="7">
        <v>1234.0</v>
      </c>
      <c r="D62" s="8" t="s">
        <v>20</v>
      </c>
      <c r="E62" s="17" t="s">
        <v>38</v>
      </c>
      <c r="F62" s="8" t="s">
        <v>26</v>
      </c>
      <c r="G62" s="11"/>
      <c r="H62" s="11"/>
      <c r="I62" s="10">
        <v>69.0</v>
      </c>
      <c r="J62" s="11"/>
      <c r="K62" s="12">
        <v>69.0</v>
      </c>
      <c r="L62" s="13">
        <f>IFERROR(VLOOKUP(E62,PRODUCTOS!$A$4:$F$28,6,FALSE()),0)</f>
        <v>1.7</v>
      </c>
      <c r="M62" s="13">
        <f t="shared" si="1"/>
        <v>117.3</v>
      </c>
      <c r="N62" s="14">
        <f>IFERROR(M62*CONFIG!$B$4,0)</f>
        <v>11.73</v>
      </c>
      <c r="O62" s="15">
        <f t="shared" si="2"/>
        <v>105.57</v>
      </c>
      <c r="P62" s="16" t="s">
        <v>23</v>
      </c>
      <c r="Q62" s="17"/>
    </row>
    <row r="63" ht="15.0" customHeight="1">
      <c r="A63" s="6">
        <v>46149.0</v>
      </c>
      <c r="B63" s="7" t="s">
        <v>19</v>
      </c>
      <c r="C63" s="7">
        <v>1234.0</v>
      </c>
      <c r="D63" s="8" t="s">
        <v>31</v>
      </c>
      <c r="E63" s="9" t="s">
        <v>32</v>
      </c>
      <c r="F63" s="8" t="s">
        <v>34</v>
      </c>
      <c r="G63" s="11"/>
      <c r="H63" s="11"/>
      <c r="I63" s="10">
        <v>96.0</v>
      </c>
      <c r="J63" s="11"/>
      <c r="K63" s="12">
        <v>96.0</v>
      </c>
      <c r="L63" s="13">
        <f>IFERROR(VLOOKUP(E63,PRODUCTOS!$A$4:$F$28,6,FALSE()),0)</f>
        <v>6</v>
      </c>
      <c r="M63" s="13">
        <f t="shared" si="1"/>
        <v>576</v>
      </c>
      <c r="N63" s="14">
        <f>IFERROR(M63*CONFIG!$B$4,0)</f>
        <v>57.6</v>
      </c>
      <c r="O63" s="15">
        <f t="shared" si="2"/>
        <v>518.4</v>
      </c>
      <c r="P63" s="16" t="s">
        <v>23</v>
      </c>
      <c r="Q63" s="17"/>
    </row>
    <row r="64" ht="15.0" customHeight="1">
      <c r="A64" s="6">
        <v>46149.0</v>
      </c>
      <c r="B64" s="7" t="s">
        <v>19</v>
      </c>
      <c r="C64" s="7">
        <v>1234.0</v>
      </c>
      <c r="D64" s="8" t="s">
        <v>31</v>
      </c>
      <c r="E64" s="9" t="s">
        <v>32</v>
      </c>
      <c r="F64" s="8" t="s">
        <v>30</v>
      </c>
      <c r="G64" s="10">
        <v>31.0</v>
      </c>
      <c r="H64" s="11"/>
      <c r="I64" s="11"/>
      <c r="J64" s="11"/>
      <c r="K64" s="12">
        <v>31.0</v>
      </c>
      <c r="L64" s="13">
        <f>IFERROR(VLOOKUP(E64,PRODUCTOS!$A$4:$F$28,6,FALSE()),0)</f>
        <v>6</v>
      </c>
      <c r="M64" s="13">
        <f t="shared" si="1"/>
        <v>186</v>
      </c>
      <c r="N64" s="14">
        <f>IFERROR(M64*CONFIG!$B$4,0)</f>
        <v>18.6</v>
      </c>
      <c r="O64" s="15">
        <f t="shared" si="2"/>
        <v>167.4</v>
      </c>
      <c r="P64" s="16" t="s">
        <v>23</v>
      </c>
      <c r="Q64" s="17"/>
    </row>
    <row r="65" ht="15.0" customHeight="1">
      <c r="A65" s="6">
        <v>46149.0</v>
      </c>
      <c r="B65" s="7" t="s">
        <v>19</v>
      </c>
      <c r="C65" s="7">
        <v>1234.0</v>
      </c>
      <c r="D65" s="8" t="s">
        <v>20</v>
      </c>
      <c r="E65" s="9" t="s">
        <v>29</v>
      </c>
      <c r="F65" s="8" t="s">
        <v>34</v>
      </c>
      <c r="G65" s="11"/>
      <c r="H65" s="11"/>
      <c r="I65" s="11"/>
      <c r="J65" s="10">
        <v>68.0</v>
      </c>
      <c r="K65" s="12">
        <v>68.0</v>
      </c>
      <c r="L65" s="13">
        <f>IFERROR(VLOOKUP(E65,PRODUCTOS!$A$4:$F$28,6,FALSE()),0)</f>
        <v>1.7</v>
      </c>
      <c r="M65" s="13">
        <f t="shared" si="1"/>
        <v>115.6</v>
      </c>
      <c r="N65" s="14">
        <f>IFERROR(M65*CONFIG!$B$4,0)</f>
        <v>11.56</v>
      </c>
      <c r="O65" s="15">
        <f t="shared" si="2"/>
        <v>104.04</v>
      </c>
      <c r="P65" s="16" t="s">
        <v>23</v>
      </c>
      <c r="Q65" s="17"/>
    </row>
    <row r="66" ht="15.0" customHeight="1">
      <c r="A66" s="6">
        <v>46149.0</v>
      </c>
      <c r="B66" s="7" t="s">
        <v>19</v>
      </c>
      <c r="C66" s="7">
        <v>1234.0</v>
      </c>
      <c r="D66" s="8" t="s">
        <v>20</v>
      </c>
      <c r="E66" s="17" t="s">
        <v>37</v>
      </c>
      <c r="F66" s="8" t="s">
        <v>22</v>
      </c>
      <c r="G66" s="11"/>
      <c r="H66" s="11"/>
      <c r="I66" s="10">
        <v>60.0</v>
      </c>
      <c r="J66" s="11"/>
      <c r="K66" s="12">
        <v>60.0</v>
      </c>
      <c r="L66" s="13">
        <f>IFERROR(VLOOKUP(E66,PRODUCTOS!$A$4:$F$28,6,FALSE()),0)</f>
        <v>1.7</v>
      </c>
      <c r="M66" s="13">
        <f t="shared" si="1"/>
        <v>102</v>
      </c>
      <c r="N66" s="14">
        <f>IFERROR(M66*CONFIG!$B$4,0)</f>
        <v>10.2</v>
      </c>
      <c r="O66" s="15">
        <f t="shared" si="2"/>
        <v>91.8</v>
      </c>
      <c r="P66" s="16" t="s">
        <v>23</v>
      </c>
      <c r="Q66" s="17"/>
    </row>
    <row r="67" ht="15.0" customHeight="1">
      <c r="A67" s="6">
        <v>46149.0</v>
      </c>
      <c r="B67" s="7" t="s">
        <v>19</v>
      </c>
      <c r="C67" s="7">
        <v>1234.0</v>
      </c>
      <c r="D67" s="8" t="s">
        <v>20</v>
      </c>
      <c r="E67" s="17" t="s">
        <v>38</v>
      </c>
      <c r="F67" s="8" t="s">
        <v>22</v>
      </c>
      <c r="G67" s="11"/>
      <c r="H67" s="11"/>
      <c r="I67" s="10">
        <v>62.0</v>
      </c>
      <c r="J67" s="11"/>
      <c r="K67" s="12">
        <v>62.0</v>
      </c>
      <c r="L67" s="13">
        <f>IFERROR(VLOOKUP(E67,PRODUCTOS!$A$4:$F$28,6,FALSE()),0)</f>
        <v>1.7</v>
      </c>
      <c r="M67" s="13">
        <f t="shared" si="1"/>
        <v>105.4</v>
      </c>
      <c r="N67" s="14">
        <f>IFERROR(M67*CONFIG!$B$4,0)</f>
        <v>10.54</v>
      </c>
      <c r="O67" s="15">
        <f t="shared" si="2"/>
        <v>94.86</v>
      </c>
      <c r="P67" s="16" t="s">
        <v>23</v>
      </c>
      <c r="Q67" s="17"/>
    </row>
    <row r="68" ht="15.0" customHeight="1">
      <c r="A68" s="6">
        <v>46149.0</v>
      </c>
      <c r="B68" s="7" t="s">
        <v>19</v>
      </c>
      <c r="C68" s="7">
        <v>1234.0</v>
      </c>
      <c r="D68" s="8" t="s">
        <v>20</v>
      </c>
      <c r="E68" s="9" t="s">
        <v>42</v>
      </c>
      <c r="F68" s="8" t="s">
        <v>34</v>
      </c>
      <c r="G68" s="11"/>
      <c r="H68" s="11"/>
      <c r="I68" s="11"/>
      <c r="J68" s="11"/>
      <c r="K68" s="12">
        <v>190.0</v>
      </c>
      <c r="L68" s="13">
        <f>IFERROR(VLOOKUP(E68,PRODUCTOS!$A$4:$F$28,6,FALSE()),0)</f>
        <v>1.7</v>
      </c>
      <c r="M68" s="13">
        <f t="shared" si="1"/>
        <v>323</v>
      </c>
      <c r="N68" s="14">
        <f>IFERROR(M68*CONFIG!$B$4,0)</f>
        <v>32.3</v>
      </c>
      <c r="O68" s="15">
        <f t="shared" si="2"/>
        <v>290.7</v>
      </c>
      <c r="P68" s="16" t="s">
        <v>23</v>
      </c>
      <c r="Q68" s="17"/>
    </row>
    <row r="69" ht="15.0" customHeight="1">
      <c r="A69" s="6">
        <v>46149.0</v>
      </c>
      <c r="B69" s="7" t="s">
        <v>19</v>
      </c>
      <c r="C69" s="7">
        <v>1234.0</v>
      </c>
      <c r="D69" s="8" t="s">
        <v>20</v>
      </c>
      <c r="E69" s="9" t="s">
        <v>42</v>
      </c>
      <c r="F69" s="8" t="s">
        <v>26</v>
      </c>
      <c r="G69" s="11"/>
      <c r="H69" s="11"/>
      <c r="I69" s="11"/>
      <c r="J69" s="11"/>
      <c r="K69" s="12">
        <v>118.0</v>
      </c>
      <c r="L69" s="13">
        <f>IFERROR(VLOOKUP(E69,PRODUCTOS!$A$4:$F$28,6,FALSE()),0)</f>
        <v>1.7</v>
      </c>
      <c r="M69" s="13">
        <f t="shared" si="1"/>
        <v>200.6</v>
      </c>
      <c r="N69" s="14">
        <f>IFERROR(M69*CONFIG!$B$4,0)</f>
        <v>20.06</v>
      </c>
      <c r="O69" s="15">
        <f t="shared" si="2"/>
        <v>180.54</v>
      </c>
      <c r="P69" s="16" t="s">
        <v>23</v>
      </c>
      <c r="Q69" s="17"/>
    </row>
    <row r="70" ht="15.0" customHeight="1">
      <c r="A70" s="6">
        <v>46149.0</v>
      </c>
      <c r="B70" s="7" t="s">
        <v>19</v>
      </c>
      <c r="C70" s="7">
        <v>1234.0</v>
      </c>
      <c r="D70" s="8" t="s">
        <v>31</v>
      </c>
      <c r="E70" s="9" t="s">
        <v>32</v>
      </c>
      <c r="F70" s="8" t="s">
        <v>34</v>
      </c>
      <c r="G70" s="10">
        <v>99.0</v>
      </c>
      <c r="H70" s="10">
        <v>49.0</v>
      </c>
      <c r="I70" s="11"/>
      <c r="J70" s="11"/>
      <c r="K70" s="12">
        <v>148.0</v>
      </c>
      <c r="L70" s="13">
        <f>IFERROR(VLOOKUP(E70,PRODUCTOS!$A$4:$F$28,6,FALSE()),0)</f>
        <v>6</v>
      </c>
      <c r="M70" s="13">
        <f t="shared" si="1"/>
        <v>888</v>
      </c>
      <c r="N70" s="14">
        <f>IFERROR(M70*CONFIG!$B$4,0)</f>
        <v>88.8</v>
      </c>
      <c r="O70" s="15">
        <f t="shared" si="2"/>
        <v>799.2</v>
      </c>
      <c r="P70" s="16" t="s">
        <v>23</v>
      </c>
      <c r="Q70" s="17"/>
    </row>
    <row r="71" ht="15.0" customHeight="1">
      <c r="A71" s="6">
        <v>46149.0</v>
      </c>
      <c r="B71" s="7" t="s">
        <v>19</v>
      </c>
      <c r="C71" s="7">
        <v>1234.0</v>
      </c>
      <c r="D71" s="8" t="s">
        <v>31</v>
      </c>
      <c r="E71" s="17" t="s">
        <v>33</v>
      </c>
      <c r="F71" s="8" t="s">
        <v>39</v>
      </c>
      <c r="G71" s="10">
        <v>35.0</v>
      </c>
      <c r="H71" s="11"/>
      <c r="I71" s="10">
        <v>33.0</v>
      </c>
      <c r="J71" s="11"/>
      <c r="K71" s="12">
        <v>68.0</v>
      </c>
      <c r="L71" s="13">
        <f>IFERROR(VLOOKUP(E71,PRODUCTOS!$A$4:$F$28,6,FALSE()),0)</f>
        <v>4</v>
      </c>
      <c r="M71" s="13">
        <f t="shared" si="1"/>
        <v>272</v>
      </c>
      <c r="N71" s="14">
        <f>IFERROR(M71*CONFIG!$B$4,0)</f>
        <v>27.2</v>
      </c>
      <c r="O71" s="15">
        <f t="shared" si="2"/>
        <v>244.8</v>
      </c>
      <c r="P71" s="16" t="s">
        <v>23</v>
      </c>
      <c r="Q71" s="17"/>
    </row>
    <row r="72" ht="15.0" customHeight="1">
      <c r="A72" s="6">
        <v>46149.0</v>
      </c>
      <c r="B72" s="7" t="s">
        <v>19</v>
      </c>
      <c r="C72" s="7">
        <v>1234.0</v>
      </c>
      <c r="D72" s="8" t="s">
        <v>20</v>
      </c>
      <c r="E72" s="9" t="s">
        <v>41</v>
      </c>
      <c r="F72" s="8" t="s">
        <v>34</v>
      </c>
      <c r="G72" s="11"/>
      <c r="H72" s="11"/>
      <c r="I72" s="11"/>
      <c r="J72" s="11"/>
      <c r="K72" s="12">
        <v>141.0</v>
      </c>
      <c r="L72" s="13">
        <f>IFERROR(VLOOKUP(E72,PRODUCTOS!$A$4:$F$28,6,FALSE()),0)</f>
        <v>1.7</v>
      </c>
      <c r="M72" s="13">
        <f t="shared" si="1"/>
        <v>239.7</v>
      </c>
      <c r="N72" s="14">
        <f>IFERROR(M72*CONFIG!$B$4,0)</f>
        <v>23.97</v>
      </c>
      <c r="O72" s="15">
        <f t="shared" si="2"/>
        <v>215.73</v>
      </c>
      <c r="P72" s="16" t="s">
        <v>23</v>
      </c>
      <c r="Q72" s="17"/>
    </row>
    <row r="73" ht="15.0" customHeight="1">
      <c r="A73" s="6">
        <v>46149.0</v>
      </c>
      <c r="B73" s="7" t="s">
        <v>19</v>
      </c>
      <c r="C73" s="7">
        <v>1234.0</v>
      </c>
      <c r="D73" s="8" t="s">
        <v>20</v>
      </c>
      <c r="E73" s="9" t="s">
        <v>41</v>
      </c>
      <c r="F73" s="8" t="s">
        <v>35</v>
      </c>
      <c r="G73" s="11"/>
      <c r="H73" s="11"/>
      <c r="I73" s="11"/>
      <c r="J73" s="11"/>
      <c r="K73" s="12">
        <v>46.0</v>
      </c>
      <c r="L73" s="13">
        <f>IFERROR(VLOOKUP(E73,PRODUCTOS!$A$4:$F$28,6,FALSE()),0)</f>
        <v>1.7</v>
      </c>
      <c r="M73" s="13">
        <f t="shared" si="1"/>
        <v>78.2</v>
      </c>
      <c r="N73" s="14">
        <f>IFERROR(M73*CONFIG!$B$4,0)</f>
        <v>7.82</v>
      </c>
      <c r="O73" s="15">
        <f t="shared" si="2"/>
        <v>70.38</v>
      </c>
      <c r="P73" s="16" t="s">
        <v>23</v>
      </c>
      <c r="Q73" s="17"/>
    </row>
    <row r="74" ht="15.0" customHeight="1">
      <c r="A74" s="6">
        <v>46149.0</v>
      </c>
      <c r="B74" s="7" t="s">
        <v>19</v>
      </c>
      <c r="C74" s="7">
        <v>1234.0</v>
      </c>
      <c r="D74" s="8" t="s">
        <v>20</v>
      </c>
      <c r="E74" s="9" t="s">
        <v>42</v>
      </c>
      <c r="F74" s="8" t="s">
        <v>35</v>
      </c>
      <c r="G74" s="11"/>
      <c r="H74" s="11"/>
      <c r="I74" s="11"/>
      <c r="J74" s="11"/>
      <c r="K74" s="12">
        <v>62.0</v>
      </c>
      <c r="L74" s="13">
        <f>IFERROR(VLOOKUP(E74,PRODUCTOS!$A$4:$F$28,6,FALSE()),0)</f>
        <v>1.7</v>
      </c>
      <c r="M74" s="13">
        <f t="shared" si="1"/>
        <v>105.4</v>
      </c>
      <c r="N74" s="14">
        <f>IFERROR(M74*CONFIG!$B$4,0)</f>
        <v>10.54</v>
      </c>
      <c r="O74" s="15">
        <f t="shared" si="2"/>
        <v>94.86</v>
      </c>
      <c r="P74" s="16" t="s">
        <v>23</v>
      </c>
      <c r="Q74" s="17"/>
    </row>
    <row r="75" ht="15.0" customHeight="1">
      <c r="A75" s="6">
        <v>46149.0</v>
      </c>
      <c r="B75" s="7" t="s">
        <v>19</v>
      </c>
      <c r="C75" s="7">
        <v>1234.0</v>
      </c>
      <c r="D75" s="8" t="s">
        <v>20</v>
      </c>
      <c r="E75" s="9" t="s">
        <v>41</v>
      </c>
      <c r="F75" s="8" t="s">
        <v>26</v>
      </c>
      <c r="G75" s="11"/>
      <c r="H75" s="11"/>
      <c r="I75" s="11"/>
      <c r="J75" s="11"/>
      <c r="K75" s="12">
        <v>90.0</v>
      </c>
      <c r="L75" s="13">
        <f>IFERROR(VLOOKUP(E75,PRODUCTOS!$A$4:$F$28,6,FALSE()),0)</f>
        <v>1.7</v>
      </c>
      <c r="M75" s="13">
        <f t="shared" si="1"/>
        <v>153</v>
      </c>
      <c r="N75" s="14">
        <f>IFERROR(M75*CONFIG!$B$4,0)</f>
        <v>15.3</v>
      </c>
      <c r="O75" s="15">
        <f t="shared" si="2"/>
        <v>137.7</v>
      </c>
      <c r="P75" s="16" t="s">
        <v>23</v>
      </c>
      <c r="Q75" s="17"/>
    </row>
    <row r="76" ht="15.0" customHeight="1">
      <c r="A76" s="6">
        <v>46149.0</v>
      </c>
      <c r="B76" s="7" t="s">
        <v>19</v>
      </c>
      <c r="C76" s="7">
        <v>1234.0</v>
      </c>
      <c r="D76" s="8" t="s">
        <v>20</v>
      </c>
      <c r="E76" s="9" t="s">
        <v>25</v>
      </c>
      <c r="F76" s="8" t="s">
        <v>26</v>
      </c>
      <c r="G76" s="11"/>
      <c r="H76" s="10">
        <v>128.0</v>
      </c>
      <c r="I76" s="10">
        <v>120.0</v>
      </c>
      <c r="J76" s="10">
        <v>63.0</v>
      </c>
      <c r="K76" s="12">
        <v>311.0</v>
      </c>
      <c r="L76" s="13">
        <f>IFERROR(VLOOKUP(E76,PRODUCTOS!$A$4:$F$28,6,FALSE()),0)</f>
        <v>4</v>
      </c>
      <c r="M76" s="13">
        <f t="shared" si="1"/>
        <v>1244</v>
      </c>
      <c r="N76" s="14">
        <f>IFERROR(M76*CONFIG!$B$4,0)</f>
        <v>124.4</v>
      </c>
      <c r="O76" s="15">
        <f t="shared" si="2"/>
        <v>1119.6</v>
      </c>
      <c r="P76" s="16" t="s">
        <v>23</v>
      </c>
      <c r="Q76" s="17"/>
    </row>
    <row r="77" ht="15.0" customHeight="1">
      <c r="A77" s="18">
        <v>46150.0</v>
      </c>
      <c r="B77" s="19" t="s">
        <v>19</v>
      </c>
      <c r="C77" s="19">
        <v>1234.0</v>
      </c>
      <c r="D77" s="20" t="s">
        <v>20</v>
      </c>
      <c r="E77" s="21" t="s">
        <v>29</v>
      </c>
      <c r="F77" s="20" t="s">
        <v>44</v>
      </c>
      <c r="G77" s="22">
        <v>34.0</v>
      </c>
      <c r="H77" s="22">
        <v>67.0</v>
      </c>
      <c r="I77" s="22">
        <v>67.0</v>
      </c>
      <c r="J77" s="22">
        <v>33.0</v>
      </c>
      <c r="K77" s="23">
        <v>201.0</v>
      </c>
      <c r="L77" s="13">
        <f>IFERROR(VLOOKUP(E77,PRODUCTOS!$A$4:$F$28,6,FALSE()),0)</f>
        <v>1.7</v>
      </c>
      <c r="M77" s="13">
        <f t="shared" si="1"/>
        <v>341.7</v>
      </c>
      <c r="N77" s="14">
        <f>IFERROR(M77*CONFIG!$B$4,0)</f>
        <v>34.17</v>
      </c>
      <c r="O77" s="15">
        <f t="shared" si="2"/>
        <v>307.53</v>
      </c>
      <c r="P77" s="16" t="s">
        <v>23</v>
      </c>
      <c r="Q77" s="17"/>
    </row>
    <row r="78" ht="15.0" customHeight="1">
      <c r="A78" s="18">
        <v>46150.0</v>
      </c>
      <c r="B78" s="19" t="s">
        <v>19</v>
      </c>
      <c r="C78" s="19">
        <v>1234.0</v>
      </c>
      <c r="D78" s="20" t="s">
        <v>20</v>
      </c>
      <c r="E78" s="21" t="s">
        <v>25</v>
      </c>
      <c r="F78" s="20" t="s">
        <v>24</v>
      </c>
      <c r="G78" s="22">
        <v>54.0</v>
      </c>
      <c r="H78" s="22">
        <v>105.0</v>
      </c>
      <c r="I78" s="22">
        <v>109.0</v>
      </c>
      <c r="J78" s="22">
        <v>53.0</v>
      </c>
      <c r="K78" s="23">
        <v>321.0</v>
      </c>
      <c r="L78" s="13">
        <f>IFERROR(VLOOKUP(E78,PRODUCTOS!$A$4:$F$28,6,FALSE()),0)</f>
        <v>4</v>
      </c>
      <c r="M78" s="13">
        <f t="shared" si="1"/>
        <v>1284</v>
      </c>
      <c r="N78" s="14">
        <f>IFERROR(M78*CONFIG!$B$4,0)</f>
        <v>128.4</v>
      </c>
      <c r="O78" s="15">
        <f t="shared" si="2"/>
        <v>1155.6</v>
      </c>
      <c r="P78" s="16" t="s">
        <v>23</v>
      </c>
      <c r="Q78" s="17"/>
    </row>
    <row r="79" ht="15.0" customHeight="1">
      <c r="A79" s="18">
        <v>46150.0</v>
      </c>
      <c r="B79" s="19" t="s">
        <v>19</v>
      </c>
      <c r="C79" s="19">
        <v>1234.0</v>
      </c>
      <c r="D79" s="20" t="s">
        <v>31</v>
      </c>
      <c r="E79" s="21" t="s">
        <v>32</v>
      </c>
      <c r="F79" s="20" t="s">
        <v>46</v>
      </c>
      <c r="G79" s="24"/>
      <c r="H79" s="22">
        <v>63.0</v>
      </c>
      <c r="I79" s="24"/>
      <c r="J79" s="24"/>
      <c r="K79" s="23">
        <v>63.0</v>
      </c>
      <c r="L79" s="13">
        <f>IFERROR(VLOOKUP(E79,PRODUCTOS!$A$4:$F$28,6,FALSE()),0)</f>
        <v>6</v>
      </c>
      <c r="M79" s="13">
        <f t="shared" si="1"/>
        <v>378</v>
      </c>
      <c r="N79" s="14">
        <f>IFERROR(M79*CONFIG!$B$4,0)</f>
        <v>37.8</v>
      </c>
      <c r="O79" s="15">
        <f t="shared" si="2"/>
        <v>340.2</v>
      </c>
      <c r="P79" s="16" t="s">
        <v>23</v>
      </c>
      <c r="Q79" s="17"/>
    </row>
    <row r="80" ht="15.0" customHeight="1">
      <c r="A80" s="18">
        <v>46150.0</v>
      </c>
      <c r="B80" s="19" t="s">
        <v>19</v>
      </c>
      <c r="C80" s="19">
        <v>1234.0</v>
      </c>
      <c r="D80" s="20" t="s">
        <v>20</v>
      </c>
      <c r="E80" s="21" t="s">
        <v>27</v>
      </c>
      <c r="F80" s="20" t="s">
        <v>24</v>
      </c>
      <c r="G80" s="24"/>
      <c r="H80" s="22">
        <v>115.0</v>
      </c>
      <c r="I80" s="24"/>
      <c r="J80" s="24"/>
      <c r="K80" s="23">
        <v>115.0</v>
      </c>
      <c r="L80" s="13">
        <f>IFERROR(VLOOKUP(E80,PRODUCTOS!$A$4:$F$28,6,FALSE()),0)</f>
        <v>1.7</v>
      </c>
      <c r="M80" s="13">
        <f t="shared" si="1"/>
        <v>195.5</v>
      </c>
      <c r="N80" s="14">
        <f>IFERROR(M80*CONFIG!$B$4,0)</f>
        <v>19.55</v>
      </c>
      <c r="O80" s="15">
        <f t="shared" si="2"/>
        <v>175.95</v>
      </c>
      <c r="P80" s="16" t="s">
        <v>23</v>
      </c>
      <c r="Q80" s="17"/>
    </row>
    <row r="81" ht="15.0" customHeight="1">
      <c r="A81" s="18">
        <v>46150.0</v>
      </c>
      <c r="B81" s="19" t="s">
        <v>19</v>
      </c>
      <c r="C81" s="19">
        <v>1234.0</v>
      </c>
      <c r="D81" s="20" t="s">
        <v>20</v>
      </c>
      <c r="E81" s="21" t="s">
        <v>42</v>
      </c>
      <c r="F81" s="20" t="s">
        <v>30</v>
      </c>
      <c r="G81" s="24"/>
      <c r="H81" s="24"/>
      <c r="I81" s="24"/>
      <c r="J81" s="24"/>
      <c r="K81" s="23">
        <v>56.0</v>
      </c>
      <c r="L81" s="13">
        <f>IFERROR(VLOOKUP(E81,PRODUCTOS!$A$4:$F$28,6,FALSE()),0)</f>
        <v>1.7</v>
      </c>
      <c r="M81" s="13">
        <f t="shared" si="1"/>
        <v>95.2</v>
      </c>
      <c r="N81" s="14">
        <f>IFERROR(M81*CONFIG!$B$4,0)</f>
        <v>9.52</v>
      </c>
      <c r="O81" s="15">
        <f t="shared" si="2"/>
        <v>85.68</v>
      </c>
      <c r="P81" s="16" t="s">
        <v>23</v>
      </c>
      <c r="Q81" s="17"/>
    </row>
    <row r="82" ht="15.0" customHeight="1">
      <c r="A82" s="18">
        <v>46150.0</v>
      </c>
      <c r="B82" s="19" t="s">
        <v>19</v>
      </c>
      <c r="C82" s="19">
        <v>1234.0</v>
      </c>
      <c r="D82" s="20" t="s">
        <v>20</v>
      </c>
      <c r="E82" s="21" t="s">
        <v>41</v>
      </c>
      <c r="F82" s="20" t="s">
        <v>30</v>
      </c>
      <c r="G82" s="24"/>
      <c r="H82" s="24"/>
      <c r="I82" s="24"/>
      <c r="J82" s="24"/>
      <c r="K82" s="23">
        <v>42.0</v>
      </c>
      <c r="L82" s="13">
        <f>IFERROR(VLOOKUP(E82,PRODUCTOS!$A$4:$F$28,6,FALSE()),0)</f>
        <v>1.7</v>
      </c>
      <c r="M82" s="13">
        <f t="shared" si="1"/>
        <v>71.4</v>
      </c>
      <c r="N82" s="14">
        <f>IFERROR(M82*CONFIG!$B$4,0)</f>
        <v>7.14</v>
      </c>
      <c r="O82" s="15">
        <f t="shared" si="2"/>
        <v>64.26</v>
      </c>
      <c r="P82" s="16" t="s">
        <v>23</v>
      </c>
      <c r="Q82" s="17"/>
    </row>
    <row r="83" ht="15.0" customHeight="1">
      <c r="A83" s="18">
        <v>46150.0</v>
      </c>
      <c r="B83" s="19" t="s">
        <v>19</v>
      </c>
      <c r="C83" s="19">
        <v>1234.0</v>
      </c>
      <c r="D83" s="20" t="s">
        <v>20</v>
      </c>
      <c r="E83" s="21" t="s">
        <v>29</v>
      </c>
      <c r="F83" s="20" t="s">
        <v>24</v>
      </c>
      <c r="G83" s="22">
        <v>69.0</v>
      </c>
      <c r="H83" s="22">
        <v>134.0</v>
      </c>
      <c r="I83" s="22">
        <v>137.0</v>
      </c>
      <c r="J83" s="22">
        <v>67.0</v>
      </c>
      <c r="K83" s="23">
        <v>407.0</v>
      </c>
      <c r="L83" s="13">
        <f>IFERROR(VLOOKUP(E83,PRODUCTOS!$A$4:$F$28,6,FALSE()),0)</f>
        <v>1.7</v>
      </c>
      <c r="M83" s="13">
        <f t="shared" si="1"/>
        <v>691.9</v>
      </c>
      <c r="N83" s="14">
        <f>IFERROR(M83*CONFIG!$B$4,0)</f>
        <v>69.19</v>
      </c>
      <c r="O83" s="15">
        <f t="shared" si="2"/>
        <v>622.71</v>
      </c>
      <c r="P83" s="16" t="s">
        <v>23</v>
      </c>
      <c r="Q83" s="17"/>
    </row>
    <row r="84" ht="15.0" customHeight="1">
      <c r="A84" s="18">
        <v>46150.0</v>
      </c>
      <c r="B84" s="19" t="s">
        <v>19</v>
      </c>
      <c r="C84" s="19">
        <v>1234.0</v>
      </c>
      <c r="D84" s="20" t="s">
        <v>20</v>
      </c>
      <c r="E84" s="21" t="s">
        <v>42</v>
      </c>
      <c r="F84" s="20" t="s">
        <v>44</v>
      </c>
      <c r="G84" s="24"/>
      <c r="H84" s="24"/>
      <c r="I84" s="24"/>
      <c r="J84" s="24"/>
      <c r="K84" s="23">
        <v>54.0</v>
      </c>
      <c r="L84" s="13">
        <f>IFERROR(VLOOKUP(E84,PRODUCTOS!$A$4:$F$28,6,FALSE()),0)</f>
        <v>1.7</v>
      </c>
      <c r="M84" s="13">
        <f t="shared" si="1"/>
        <v>91.8</v>
      </c>
      <c r="N84" s="14">
        <f>IFERROR(M84*CONFIG!$B$4,0)</f>
        <v>9.18</v>
      </c>
      <c r="O84" s="15">
        <f t="shared" si="2"/>
        <v>82.62</v>
      </c>
      <c r="P84" s="16" t="s">
        <v>23</v>
      </c>
      <c r="Q84" s="17"/>
    </row>
    <row r="85" ht="15.0" customHeight="1">
      <c r="A85" s="18">
        <v>46150.0</v>
      </c>
      <c r="B85" s="19" t="s">
        <v>19</v>
      </c>
      <c r="C85" s="19">
        <v>1234.0</v>
      </c>
      <c r="D85" s="20" t="s">
        <v>31</v>
      </c>
      <c r="E85" s="21" t="s">
        <v>32</v>
      </c>
      <c r="F85" s="20" t="s">
        <v>34</v>
      </c>
      <c r="G85" s="22">
        <v>40.0</v>
      </c>
      <c r="H85" s="22">
        <v>20.0</v>
      </c>
      <c r="I85" s="22">
        <v>40.0</v>
      </c>
      <c r="J85" s="24"/>
      <c r="K85" s="23">
        <v>100.0</v>
      </c>
      <c r="L85" s="13">
        <f>IFERROR(VLOOKUP(E85,PRODUCTOS!$A$4:$F$28,6,FALSE()),0)</f>
        <v>6</v>
      </c>
      <c r="M85" s="13">
        <f t="shared" si="1"/>
        <v>600</v>
      </c>
      <c r="N85" s="14">
        <f>IFERROR(M85*CONFIG!$B$4,0)</f>
        <v>60</v>
      </c>
      <c r="O85" s="15">
        <f t="shared" si="2"/>
        <v>540</v>
      </c>
      <c r="P85" s="16" t="s">
        <v>23</v>
      </c>
      <c r="Q85" s="17"/>
    </row>
    <row r="86" ht="15.0" customHeight="1">
      <c r="A86" s="18">
        <v>46150.0</v>
      </c>
      <c r="B86" s="19" t="s">
        <v>19</v>
      </c>
      <c r="C86" s="19">
        <v>1234.0</v>
      </c>
      <c r="D86" s="20" t="s">
        <v>20</v>
      </c>
      <c r="E86" s="21" t="s">
        <v>41</v>
      </c>
      <c r="F86" s="20" t="s">
        <v>44</v>
      </c>
      <c r="G86" s="24"/>
      <c r="H86" s="24"/>
      <c r="I86" s="24"/>
      <c r="J86" s="24"/>
      <c r="K86" s="23">
        <v>42.0</v>
      </c>
      <c r="L86" s="13">
        <f>IFERROR(VLOOKUP(E86,PRODUCTOS!$A$4:$F$28,6,FALSE()),0)</f>
        <v>1.7</v>
      </c>
      <c r="M86" s="13">
        <f t="shared" si="1"/>
        <v>71.4</v>
      </c>
      <c r="N86" s="14">
        <f>IFERROR(M86*CONFIG!$B$4,0)</f>
        <v>7.14</v>
      </c>
      <c r="O86" s="15">
        <f t="shared" si="2"/>
        <v>64.26</v>
      </c>
      <c r="P86" s="16" t="s">
        <v>23</v>
      </c>
      <c r="Q86" s="17"/>
    </row>
    <row r="87" ht="15.0" customHeight="1">
      <c r="A87" s="18">
        <v>46150.0</v>
      </c>
      <c r="B87" s="19" t="s">
        <v>19</v>
      </c>
      <c r="C87" s="19">
        <v>1234.0</v>
      </c>
      <c r="D87" s="20" t="s">
        <v>20</v>
      </c>
      <c r="E87" s="21" t="s">
        <v>41</v>
      </c>
      <c r="F87" s="20" t="s">
        <v>22</v>
      </c>
      <c r="G87" s="24"/>
      <c r="H87" s="24"/>
      <c r="I87" s="24"/>
      <c r="J87" s="24"/>
      <c r="K87" s="23">
        <v>20.0</v>
      </c>
      <c r="L87" s="13">
        <f>IFERROR(VLOOKUP(E87,PRODUCTOS!$A$4:$F$28,6,FALSE()),0)</f>
        <v>1.7</v>
      </c>
      <c r="M87" s="13">
        <f t="shared" si="1"/>
        <v>34</v>
      </c>
      <c r="N87" s="14">
        <f>IFERROR(M87*CONFIG!$B$4,0)</f>
        <v>3.4</v>
      </c>
      <c r="O87" s="15">
        <f t="shared" si="2"/>
        <v>30.6</v>
      </c>
      <c r="P87" s="16" t="s">
        <v>23</v>
      </c>
      <c r="Q87" s="17"/>
    </row>
    <row r="88" ht="15.0" customHeight="1">
      <c r="A88" s="18">
        <v>46150.0</v>
      </c>
      <c r="B88" s="19" t="s">
        <v>19</v>
      </c>
      <c r="C88" s="19">
        <v>1234.0</v>
      </c>
      <c r="D88" s="20" t="s">
        <v>31</v>
      </c>
      <c r="E88" s="21" t="s">
        <v>32</v>
      </c>
      <c r="F88" s="20" t="s">
        <v>24</v>
      </c>
      <c r="G88" s="22">
        <v>2.0</v>
      </c>
      <c r="H88" s="24"/>
      <c r="I88" s="24"/>
      <c r="J88" s="24"/>
      <c r="K88" s="23">
        <v>2.0</v>
      </c>
      <c r="L88" s="13">
        <f>IFERROR(VLOOKUP(E88,PRODUCTOS!$A$4:$F$28,6,FALSE()),0)</f>
        <v>6</v>
      </c>
      <c r="M88" s="13">
        <f t="shared" si="1"/>
        <v>12</v>
      </c>
      <c r="N88" s="14">
        <f>IFERROR(M88*CONFIG!$B$4,0)</f>
        <v>1.2</v>
      </c>
      <c r="O88" s="15">
        <f t="shared" si="2"/>
        <v>10.8</v>
      </c>
      <c r="P88" s="16" t="s">
        <v>23</v>
      </c>
      <c r="Q88" s="17"/>
    </row>
    <row r="89" ht="15.0" customHeight="1">
      <c r="A89" s="18">
        <v>46150.0</v>
      </c>
      <c r="B89" s="19" t="s">
        <v>19</v>
      </c>
      <c r="C89" s="19">
        <v>1234.0</v>
      </c>
      <c r="D89" s="20" t="s">
        <v>20</v>
      </c>
      <c r="E89" s="21" t="s">
        <v>29</v>
      </c>
      <c r="F89" s="20" t="s">
        <v>39</v>
      </c>
      <c r="G89" s="22">
        <v>32.0</v>
      </c>
      <c r="H89" s="24"/>
      <c r="I89" s="22">
        <v>64.0</v>
      </c>
      <c r="J89" s="22">
        <v>32.0</v>
      </c>
      <c r="K89" s="23">
        <v>128.0</v>
      </c>
      <c r="L89" s="13">
        <f>IFERROR(VLOOKUP(E89,PRODUCTOS!$A$4:$F$28,6,FALSE()),0)</f>
        <v>1.7</v>
      </c>
      <c r="M89" s="13">
        <f t="shared" si="1"/>
        <v>217.6</v>
      </c>
      <c r="N89" s="14">
        <f>IFERROR(M89*CONFIG!$B$4,0)</f>
        <v>21.76</v>
      </c>
      <c r="O89" s="15">
        <f t="shared" si="2"/>
        <v>195.84</v>
      </c>
      <c r="P89" s="16" t="s">
        <v>23</v>
      </c>
      <c r="Q89" s="17"/>
    </row>
    <row r="90" ht="15.0" customHeight="1">
      <c r="A90" s="18">
        <v>46150.0</v>
      </c>
      <c r="B90" s="19" t="s">
        <v>19</v>
      </c>
      <c r="C90" s="19">
        <v>1234.0</v>
      </c>
      <c r="D90" s="20" t="s">
        <v>20</v>
      </c>
      <c r="E90" s="21" t="s">
        <v>43</v>
      </c>
      <c r="F90" s="20" t="s">
        <v>24</v>
      </c>
      <c r="G90" s="22">
        <v>57.0</v>
      </c>
      <c r="H90" s="24"/>
      <c r="I90" s="24"/>
      <c r="J90" s="22">
        <v>58.0</v>
      </c>
      <c r="K90" s="23">
        <v>115.0</v>
      </c>
      <c r="L90" s="13">
        <f>IFERROR(VLOOKUP(E90,PRODUCTOS!$A$4:$F$28,6,FALSE()),0)</f>
        <v>2</v>
      </c>
      <c r="M90" s="13">
        <f t="shared" si="1"/>
        <v>230</v>
      </c>
      <c r="N90" s="14">
        <f>IFERROR(M90*CONFIG!$B$4,0)</f>
        <v>23</v>
      </c>
      <c r="O90" s="15">
        <f t="shared" si="2"/>
        <v>207</v>
      </c>
      <c r="P90" s="16" t="s">
        <v>23</v>
      </c>
      <c r="Q90" s="17"/>
    </row>
    <row r="91" ht="15.0" customHeight="1">
      <c r="A91" s="18">
        <v>46150.0</v>
      </c>
      <c r="B91" s="19" t="s">
        <v>19</v>
      </c>
      <c r="C91" s="19">
        <v>1234.0</v>
      </c>
      <c r="D91" s="20" t="s">
        <v>20</v>
      </c>
      <c r="E91" s="21" t="s">
        <v>25</v>
      </c>
      <c r="F91" s="20" t="s">
        <v>28</v>
      </c>
      <c r="G91" s="22">
        <v>51.0</v>
      </c>
      <c r="H91" s="22">
        <v>101.0</v>
      </c>
      <c r="I91" s="22">
        <v>103.0</v>
      </c>
      <c r="J91" s="22">
        <v>50.0</v>
      </c>
      <c r="K91" s="23">
        <v>305.0</v>
      </c>
      <c r="L91" s="13">
        <f>IFERROR(VLOOKUP(E91,PRODUCTOS!$A$4:$F$28,6,FALSE()),0)</f>
        <v>4</v>
      </c>
      <c r="M91" s="13">
        <f t="shared" si="1"/>
        <v>1220</v>
      </c>
      <c r="N91" s="14">
        <f>IFERROR(M91*CONFIG!$B$4,0)</f>
        <v>122</v>
      </c>
      <c r="O91" s="15">
        <f t="shared" si="2"/>
        <v>1098</v>
      </c>
      <c r="P91" s="16" t="s">
        <v>23</v>
      </c>
      <c r="Q91" s="17"/>
    </row>
    <row r="92" ht="15.0" customHeight="1">
      <c r="A92" s="18">
        <v>46150.0</v>
      </c>
      <c r="B92" s="19" t="s">
        <v>19</v>
      </c>
      <c r="C92" s="19">
        <v>1234.0</v>
      </c>
      <c r="D92" s="20" t="s">
        <v>20</v>
      </c>
      <c r="E92" s="21" t="s">
        <v>29</v>
      </c>
      <c r="F92" s="20" t="s">
        <v>39</v>
      </c>
      <c r="G92" s="24"/>
      <c r="H92" s="22">
        <v>63.0</v>
      </c>
      <c r="I92" s="24"/>
      <c r="J92" s="24"/>
      <c r="K92" s="23">
        <v>63.0</v>
      </c>
      <c r="L92" s="13">
        <f>IFERROR(VLOOKUP(E92,PRODUCTOS!$A$4:$F$28,6,FALSE()),0)</f>
        <v>1.7</v>
      </c>
      <c r="M92" s="13">
        <f t="shared" si="1"/>
        <v>107.1</v>
      </c>
      <c r="N92" s="14">
        <f>IFERROR(M92*CONFIG!$B$4,0)</f>
        <v>10.71</v>
      </c>
      <c r="O92" s="15">
        <f t="shared" si="2"/>
        <v>96.39</v>
      </c>
      <c r="P92" s="16" t="s">
        <v>23</v>
      </c>
      <c r="Q92" s="17"/>
    </row>
    <row r="93" ht="15.0" customHeight="1">
      <c r="A93" s="18">
        <v>46150.0</v>
      </c>
      <c r="B93" s="19" t="s">
        <v>19</v>
      </c>
      <c r="C93" s="19">
        <v>1234.0</v>
      </c>
      <c r="D93" s="20" t="s">
        <v>20</v>
      </c>
      <c r="E93" s="21" t="s">
        <v>43</v>
      </c>
      <c r="F93" s="20" t="s">
        <v>22</v>
      </c>
      <c r="G93" s="22">
        <v>34.0</v>
      </c>
      <c r="H93" s="24"/>
      <c r="I93" s="22">
        <v>66.0</v>
      </c>
      <c r="J93" s="22">
        <v>35.0</v>
      </c>
      <c r="K93" s="23">
        <v>135.0</v>
      </c>
      <c r="L93" s="13">
        <f>IFERROR(VLOOKUP(E93,PRODUCTOS!$A$4:$F$28,6,FALSE()),0)</f>
        <v>2</v>
      </c>
      <c r="M93" s="13">
        <f t="shared" si="1"/>
        <v>270</v>
      </c>
      <c r="N93" s="14">
        <f>IFERROR(M93*CONFIG!$B$4,0)</f>
        <v>27</v>
      </c>
      <c r="O93" s="15">
        <f t="shared" si="2"/>
        <v>243</v>
      </c>
      <c r="P93" s="16" t="s">
        <v>23</v>
      </c>
      <c r="Q93" s="17"/>
    </row>
    <row r="94" ht="15.0" customHeight="1">
      <c r="A94" s="18">
        <v>46150.0</v>
      </c>
      <c r="B94" s="19" t="s">
        <v>19</v>
      </c>
      <c r="C94" s="19">
        <v>1234.0</v>
      </c>
      <c r="D94" s="20" t="s">
        <v>31</v>
      </c>
      <c r="E94" s="20" t="s">
        <v>32</v>
      </c>
      <c r="F94" s="20" t="s">
        <v>46</v>
      </c>
      <c r="G94" s="22">
        <v>68.0</v>
      </c>
      <c r="H94" s="22">
        <v>47.0</v>
      </c>
      <c r="I94" s="22">
        <v>1.0</v>
      </c>
      <c r="J94" s="24"/>
      <c r="K94" s="23">
        <v>116.0</v>
      </c>
      <c r="L94" s="13">
        <f>IFERROR(VLOOKUP(E94,PRODUCTOS!$A$4:$F$28,6,FALSE()),0)</f>
        <v>6</v>
      </c>
      <c r="M94" s="13">
        <f t="shared" si="1"/>
        <v>696</v>
      </c>
      <c r="N94" s="14">
        <f>IFERROR(M94*CONFIG!$B$4,0)</f>
        <v>69.6</v>
      </c>
      <c r="O94" s="15">
        <f t="shared" si="2"/>
        <v>626.4</v>
      </c>
      <c r="P94" s="16" t="s">
        <v>23</v>
      </c>
      <c r="Q94" s="17"/>
    </row>
    <row r="95" ht="15.0" customHeight="1">
      <c r="A95" s="18">
        <v>46150.0</v>
      </c>
      <c r="B95" s="19" t="s">
        <v>19</v>
      </c>
      <c r="C95" s="19">
        <v>1234.0</v>
      </c>
      <c r="D95" s="20" t="s">
        <v>20</v>
      </c>
      <c r="E95" s="20" t="s">
        <v>29</v>
      </c>
      <c r="F95" s="20" t="s">
        <v>34</v>
      </c>
      <c r="G95" s="24"/>
      <c r="H95" s="24"/>
      <c r="I95" s="22">
        <v>71.0</v>
      </c>
      <c r="J95" s="24"/>
      <c r="K95" s="23">
        <v>71.0</v>
      </c>
      <c r="L95" s="13">
        <f>IFERROR(VLOOKUP(E95,PRODUCTOS!$A$4:$F$28,6,FALSE()),0)</f>
        <v>1.7</v>
      </c>
      <c r="M95" s="13">
        <f t="shared" si="1"/>
        <v>120.7</v>
      </c>
      <c r="N95" s="14">
        <f>IFERROR(M95*CONFIG!$B$4,0)</f>
        <v>12.07</v>
      </c>
      <c r="O95" s="15">
        <f t="shared" si="2"/>
        <v>108.63</v>
      </c>
      <c r="P95" s="16" t="s">
        <v>23</v>
      </c>
      <c r="Q95" s="17"/>
    </row>
    <row r="96" ht="15.0" customHeight="1">
      <c r="A96" s="18">
        <v>46150.0</v>
      </c>
      <c r="B96" s="19" t="s">
        <v>19</v>
      </c>
      <c r="C96" s="19">
        <v>1234.0</v>
      </c>
      <c r="D96" s="20" t="s">
        <v>20</v>
      </c>
      <c r="E96" s="20" t="s">
        <v>27</v>
      </c>
      <c r="F96" s="20" t="s">
        <v>34</v>
      </c>
      <c r="G96" s="24"/>
      <c r="H96" s="24"/>
      <c r="I96" s="22">
        <v>99.0</v>
      </c>
      <c r="J96" s="24"/>
      <c r="K96" s="23">
        <v>99.0</v>
      </c>
      <c r="L96" s="13">
        <f>IFERROR(VLOOKUP(E96,PRODUCTOS!$A$4:$F$28,6,FALSE()),0)</f>
        <v>1.7</v>
      </c>
      <c r="M96" s="13">
        <f t="shared" si="1"/>
        <v>168.3</v>
      </c>
      <c r="N96" s="14">
        <f>IFERROR(M96*CONFIG!$B$4,0)</f>
        <v>16.83</v>
      </c>
      <c r="O96" s="15">
        <f t="shared" si="2"/>
        <v>151.47</v>
      </c>
      <c r="P96" s="16" t="s">
        <v>23</v>
      </c>
      <c r="Q96" s="17"/>
    </row>
    <row r="97" ht="15.0" customHeight="1">
      <c r="A97" s="18">
        <v>46150.0</v>
      </c>
      <c r="B97" s="19" t="s">
        <v>19</v>
      </c>
      <c r="C97" s="19">
        <v>1234.0</v>
      </c>
      <c r="D97" s="20" t="s">
        <v>20</v>
      </c>
      <c r="E97" s="20" t="s">
        <v>43</v>
      </c>
      <c r="F97" s="20" t="s">
        <v>26</v>
      </c>
      <c r="G97" s="24"/>
      <c r="H97" s="24"/>
      <c r="I97" s="22">
        <v>44.0</v>
      </c>
      <c r="J97" s="24"/>
      <c r="K97" s="23">
        <v>44.0</v>
      </c>
      <c r="L97" s="13">
        <f>IFERROR(VLOOKUP(E97,PRODUCTOS!$A$4:$F$28,6,FALSE()),0)</f>
        <v>2</v>
      </c>
      <c r="M97" s="13">
        <f t="shared" si="1"/>
        <v>88</v>
      </c>
      <c r="N97" s="14">
        <f>IFERROR(M97*CONFIG!$B$4,0)</f>
        <v>8.8</v>
      </c>
      <c r="O97" s="15">
        <f t="shared" si="2"/>
        <v>79.2</v>
      </c>
      <c r="P97" s="16" t="s">
        <v>23</v>
      </c>
      <c r="Q97" s="17"/>
    </row>
    <row r="98" ht="15.0" customHeight="1">
      <c r="A98" s="18">
        <v>46151.0</v>
      </c>
      <c r="B98" s="19" t="s">
        <v>19</v>
      </c>
      <c r="C98" s="19">
        <v>1234.0</v>
      </c>
      <c r="D98" s="20" t="s">
        <v>20</v>
      </c>
      <c r="E98" s="21" t="s">
        <v>25</v>
      </c>
      <c r="F98" s="20" t="s">
        <v>36</v>
      </c>
      <c r="G98" s="22">
        <v>67.0</v>
      </c>
      <c r="H98" s="22">
        <v>133.0</v>
      </c>
      <c r="I98" s="22">
        <v>135.0</v>
      </c>
      <c r="J98" s="22">
        <v>67.0</v>
      </c>
      <c r="K98" s="23">
        <v>402.0</v>
      </c>
      <c r="L98" s="13">
        <f>IFERROR(VLOOKUP(E98,PRODUCTOS!$A$4:$F$28,6,FALSE()),0)</f>
        <v>4</v>
      </c>
      <c r="M98" s="13">
        <f t="shared" si="1"/>
        <v>1608</v>
      </c>
      <c r="N98" s="14">
        <f>IFERROR(M98*CONFIG!$B$4,0)</f>
        <v>160.8</v>
      </c>
      <c r="O98" s="15">
        <f t="shared" si="2"/>
        <v>1447.2</v>
      </c>
      <c r="P98" s="16" t="s">
        <v>23</v>
      </c>
      <c r="Q98" s="17"/>
    </row>
    <row r="99" ht="15.0" customHeight="1">
      <c r="A99" s="18">
        <v>46151.0</v>
      </c>
      <c r="B99" s="19" t="s">
        <v>19</v>
      </c>
      <c r="C99" s="19">
        <v>1234.0</v>
      </c>
      <c r="D99" s="20" t="s">
        <v>20</v>
      </c>
      <c r="E99" s="21" t="s">
        <v>43</v>
      </c>
      <c r="F99" s="20" t="s">
        <v>34</v>
      </c>
      <c r="G99" s="22">
        <v>50.0</v>
      </c>
      <c r="H99" s="22">
        <v>98.0</v>
      </c>
      <c r="I99" s="22">
        <v>98.0</v>
      </c>
      <c r="J99" s="22">
        <v>48.0</v>
      </c>
      <c r="K99" s="23">
        <v>294.0</v>
      </c>
      <c r="L99" s="13">
        <f>IFERROR(VLOOKUP(E99,PRODUCTOS!$A$4:$F$28,6,FALSE()),0)</f>
        <v>2</v>
      </c>
      <c r="M99" s="13">
        <f t="shared" si="1"/>
        <v>588</v>
      </c>
      <c r="N99" s="14">
        <f>IFERROR(M99*CONFIG!$B$4,0)</f>
        <v>58.8</v>
      </c>
      <c r="O99" s="15">
        <f t="shared" si="2"/>
        <v>529.2</v>
      </c>
      <c r="P99" s="16" t="s">
        <v>23</v>
      </c>
      <c r="Q99" s="17"/>
    </row>
    <row r="100" ht="15.0" customHeight="1">
      <c r="A100" s="18">
        <v>46151.0</v>
      </c>
      <c r="B100" s="19" t="s">
        <v>19</v>
      </c>
      <c r="C100" s="19">
        <v>1234.0</v>
      </c>
      <c r="D100" s="20" t="s">
        <v>20</v>
      </c>
      <c r="E100" s="21" t="s">
        <v>43</v>
      </c>
      <c r="F100" s="20" t="s">
        <v>26</v>
      </c>
      <c r="G100" s="22">
        <v>28.0</v>
      </c>
      <c r="H100" s="22">
        <v>56.0</v>
      </c>
      <c r="I100" s="22">
        <v>11.0</v>
      </c>
      <c r="J100" s="22">
        <v>27.0</v>
      </c>
      <c r="K100" s="23">
        <v>122.0</v>
      </c>
      <c r="L100" s="13">
        <f>IFERROR(VLOOKUP(E100,PRODUCTOS!$A$4:$F$28,6,FALSE()),0)</f>
        <v>2</v>
      </c>
      <c r="M100" s="13">
        <f t="shared" si="1"/>
        <v>244</v>
      </c>
      <c r="N100" s="14">
        <f>IFERROR(M100*CONFIG!$B$4,0)</f>
        <v>24.4</v>
      </c>
      <c r="O100" s="15">
        <f t="shared" si="2"/>
        <v>219.6</v>
      </c>
      <c r="P100" s="16" t="s">
        <v>23</v>
      </c>
      <c r="Q100" s="17"/>
    </row>
    <row r="101" ht="15.0" customHeight="1">
      <c r="A101" s="18">
        <v>46151.0</v>
      </c>
      <c r="B101" s="19" t="s">
        <v>19</v>
      </c>
      <c r="C101" s="19">
        <v>1234.0</v>
      </c>
      <c r="D101" s="20" t="s">
        <v>20</v>
      </c>
      <c r="E101" s="21" t="s">
        <v>29</v>
      </c>
      <c r="F101" s="20" t="s">
        <v>26</v>
      </c>
      <c r="G101" s="22">
        <v>62.0</v>
      </c>
      <c r="H101" s="22">
        <v>122.0</v>
      </c>
      <c r="I101" s="22">
        <v>123.0</v>
      </c>
      <c r="J101" s="22">
        <v>61.0</v>
      </c>
      <c r="K101" s="23">
        <v>368.0</v>
      </c>
      <c r="L101" s="13">
        <f>IFERROR(VLOOKUP(E101,PRODUCTOS!$A$4:$F$28,6,FALSE()),0)</f>
        <v>1.7</v>
      </c>
      <c r="M101" s="13">
        <f t="shared" si="1"/>
        <v>625.6</v>
      </c>
      <c r="N101" s="14">
        <f>IFERROR(M101*CONFIG!$B$4,0)</f>
        <v>62.56</v>
      </c>
      <c r="O101" s="15">
        <f t="shared" si="2"/>
        <v>563.04</v>
      </c>
      <c r="P101" s="16" t="s">
        <v>23</v>
      </c>
      <c r="Q101" s="17"/>
    </row>
    <row r="102" ht="15.0" customHeight="1">
      <c r="A102" s="18">
        <v>46151.0</v>
      </c>
      <c r="B102" s="19" t="s">
        <v>19</v>
      </c>
      <c r="C102" s="19">
        <v>1234.0</v>
      </c>
      <c r="D102" s="20" t="s">
        <v>20</v>
      </c>
      <c r="E102" s="21" t="s">
        <v>29</v>
      </c>
      <c r="F102" s="20" t="s">
        <v>35</v>
      </c>
      <c r="G102" s="22">
        <v>54.0</v>
      </c>
      <c r="H102" s="22">
        <v>84.0</v>
      </c>
      <c r="I102" s="22">
        <v>83.0</v>
      </c>
      <c r="J102" s="22">
        <v>56.0</v>
      </c>
      <c r="K102" s="23">
        <v>277.0</v>
      </c>
      <c r="L102" s="13">
        <f>IFERROR(VLOOKUP(E102,PRODUCTOS!$A$4:$F$28,6,FALSE()),0)</f>
        <v>1.7</v>
      </c>
      <c r="M102" s="13">
        <f t="shared" si="1"/>
        <v>470.9</v>
      </c>
      <c r="N102" s="14">
        <f>IFERROR(M102*CONFIG!$B$4,0)</f>
        <v>47.09</v>
      </c>
      <c r="O102" s="15">
        <f t="shared" si="2"/>
        <v>423.81</v>
      </c>
      <c r="P102" s="16" t="s">
        <v>23</v>
      </c>
      <c r="Q102" s="17"/>
    </row>
    <row r="103" ht="15.0" customHeight="1">
      <c r="A103" s="18">
        <v>46151.0</v>
      </c>
      <c r="B103" s="19" t="s">
        <v>19</v>
      </c>
      <c r="C103" s="19">
        <v>1234.0</v>
      </c>
      <c r="D103" s="20" t="s">
        <v>20</v>
      </c>
      <c r="E103" s="21" t="s">
        <v>41</v>
      </c>
      <c r="F103" s="20" t="s">
        <v>40</v>
      </c>
      <c r="G103" s="24"/>
      <c r="H103" s="24"/>
      <c r="I103" s="24"/>
      <c r="J103" s="24"/>
      <c r="K103" s="23">
        <v>39.0</v>
      </c>
      <c r="L103" s="13">
        <f>IFERROR(VLOOKUP(E103,PRODUCTOS!$A$4:$F$28,6,FALSE()),0)</f>
        <v>1.7</v>
      </c>
      <c r="M103" s="13">
        <f t="shared" si="1"/>
        <v>66.3</v>
      </c>
      <c r="N103" s="14">
        <f>IFERROR(M103*CONFIG!$B$4,0)</f>
        <v>6.63</v>
      </c>
      <c r="O103" s="15">
        <f t="shared" si="2"/>
        <v>59.67</v>
      </c>
      <c r="P103" s="16" t="s">
        <v>23</v>
      </c>
      <c r="Q103" s="17"/>
    </row>
    <row r="104" ht="15.0" customHeight="1">
      <c r="A104" s="18">
        <v>46151.0</v>
      </c>
      <c r="B104" s="19" t="s">
        <v>19</v>
      </c>
      <c r="C104" s="19">
        <v>1234.0</v>
      </c>
      <c r="D104" s="20" t="s">
        <v>20</v>
      </c>
      <c r="E104" s="21" t="s">
        <v>41</v>
      </c>
      <c r="F104" s="20" t="s">
        <v>24</v>
      </c>
      <c r="G104" s="24"/>
      <c r="H104" s="24"/>
      <c r="I104" s="24"/>
      <c r="J104" s="24"/>
      <c r="K104" s="23">
        <v>54.0</v>
      </c>
      <c r="L104" s="13">
        <f>IFERROR(VLOOKUP(E104,PRODUCTOS!$A$4:$F$28,6,FALSE()),0)</f>
        <v>1.7</v>
      </c>
      <c r="M104" s="13">
        <f t="shared" si="1"/>
        <v>91.8</v>
      </c>
      <c r="N104" s="14">
        <f>IFERROR(M104*CONFIG!$B$4,0)</f>
        <v>9.18</v>
      </c>
      <c r="O104" s="15">
        <f t="shared" si="2"/>
        <v>82.62</v>
      </c>
      <c r="P104" s="16" t="s">
        <v>23</v>
      </c>
      <c r="Q104" s="17"/>
    </row>
    <row r="105" ht="15.0" customHeight="1">
      <c r="A105" s="18">
        <v>46151.0</v>
      </c>
      <c r="B105" s="19" t="s">
        <v>19</v>
      </c>
      <c r="C105" s="19">
        <v>1234.0</v>
      </c>
      <c r="D105" s="20" t="s">
        <v>20</v>
      </c>
      <c r="E105" s="21" t="s">
        <v>29</v>
      </c>
      <c r="F105" s="20" t="s">
        <v>36</v>
      </c>
      <c r="G105" s="22">
        <v>75.0</v>
      </c>
      <c r="H105" s="22">
        <v>125.0</v>
      </c>
      <c r="I105" s="22">
        <v>126.0</v>
      </c>
      <c r="J105" s="24"/>
      <c r="K105" s="23">
        <v>326.0</v>
      </c>
      <c r="L105" s="13">
        <f>IFERROR(VLOOKUP(E105,PRODUCTOS!$A$4:$F$28,6,FALSE()),0)</f>
        <v>1.7</v>
      </c>
      <c r="M105" s="13">
        <f t="shared" si="1"/>
        <v>554.2</v>
      </c>
      <c r="N105" s="14">
        <f>IFERROR(M105*CONFIG!$B$4,0)</f>
        <v>55.42</v>
      </c>
      <c r="O105" s="15">
        <f t="shared" si="2"/>
        <v>498.78</v>
      </c>
      <c r="P105" s="16" t="s">
        <v>23</v>
      </c>
      <c r="Q105" s="17"/>
    </row>
    <row r="106" ht="15.0" customHeight="1">
      <c r="A106" s="18">
        <v>46151.0</v>
      </c>
      <c r="B106" s="19" t="s">
        <v>19</v>
      </c>
      <c r="C106" s="19">
        <v>1234.0</v>
      </c>
      <c r="D106" s="20" t="s">
        <v>20</v>
      </c>
      <c r="E106" s="21" t="s">
        <v>43</v>
      </c>
      <c r="F106" s="20" t="s">
        <v>35</v>
      </c>
      <c r="G106" s="24"/>
      <c r="H106" s="22">
        <v>167.0</v>
      </c>
      <c r="I106" s="24"/>
      <c r="J106" s="22">
        <v>82.0</v>
      </c>
      <c r="K106" s="23">
        <v>249.0</v>
      </c>
      <c r="L106" s="13">
        <f>IFERROR(VLOOKUP(E106,PRODUCTOS!$A$4:$F$28,6,FALSE()),0)</f>
        <v>2</v>
      </c>
      <c r="M106" s="13">
        <f t="shared" si="1"/>
        <v>498</v>
      </c>
      <c r="N106" s="14">
        <f>IFERROR(M106*CONFIG!$B$4,0)</f>
        <v>49.8</v>
      </c>
      <c r="O106" s="15">
        <f t="shared" si="2"/>
        <v>448.2</v>
      </c>
      <c r="P106" s="16" t="s">
        <v>23</v>
      </c>
      <c r="Q106" s="17"/>
    </row>
    <row r="107" ht="15.0" customHeight="1">
      <c r="A107" s="18">
        <v>46151.0</v>
      </c>
      <c r="B107" s="19" t="s">
        <v>19</v>
      </c>
      <c r="C107" s="19">
        <v>1234.0</v>
      </c>
      <c r="D107" s="20" t="s">
        <v>20</v>
      </c>
      <c r="E107" s="21" t="s">
        <v>29</v>
      </c>
      <c r="F107" s="20" t="s">
        <v>34</v>
      </c>
      <c r="G107" s="22">
        <v>66.0</v>
      </c>
      <c r="H107" s="22">
        <v>44.0</v>
      </c>
      <c r="I107" s="24"/>
      <c r="J107" s="24"/>
      <c r="K107" s="23">
        <v>110.0</v>
      </c>
      <c r="L107" s="13">
        <f>IFERROR(VLOOKUP(E107,PRODUCTOS!$A$4:$F$28,6,FALSE()),0)</f>
        <v>1.7</v>
      </c>
      <c r="M107" s="13">
        <f t="shared" si="1"/>
        <v>187</v>
      </c>
      <c r="N107" s="14">
        <f>IFERROR(M107*CONFIG!$B$4,0)</f>
        <v>18.7</v>
      </c>
      <c r="O107" s="15">
        <f t="shared" si="2"/>
        <v>168.3</v>
      </c>
      <c r="P107" s="16" t="s">
        <v>23</v>
      </c>
      <c r="Q107" s="17"/>
    </row>
    <row r="108" ht="15.0" customHeight="1">
      <c r="A108" s="18">
        <v>46151.0</v>
      </c>
      <c r="B108" s="19" t="s">
        <v>19</v>
      </c>
      <c r="C108" s="19">
        <v>1234.0</v>
      </c>
      <c r="D108" s="20" t="s">
        <v>20</v>
      </c>
      <c r="E108" s="21" t="s">
        <v>33</v>
      </c>
      <c r="F108" s="20" t="s">
        <v>46</v>
      </c>
      <c r="G108" s="22">
        <v>34.0</v>
      </c>
      <c r="H108" s="22">
        <v>49.0</v>
      </c>
      <c r="I108" s="22">
        <v>33.0</v>
      </c>
      <c r="J108" s="24"/>
      <c r="K108" s="23">
        <v>116.0</v>
      </c>
      <c r="L108" s="13">
        <f>IFERROR(VLOOKUP(E108,PRODUCTOS!$A$4:$F$28,6,FALSE()),0)</f>
        <v>4</v>
      </c>
      <c r="M108" s="13">
        <f t="shared" si="1"/>
        <v>464</v>
      </c>
      <c r="N108" s="14">
        <f>IFERROR(M108*CONFIG!$B$4,0)</f>
        <v>46.4</v>
      </c>
      <c r="O108" s="15">
        <f t="shared" si="2"/>
        <v>417.6</v>
      </c>
      <c r="P108" s="16" t="s">
        <v>23</v>
      </c>
      <c r="Q108" s="17"/>
    </row>
    <row r="109" ht="15.0" customHeight="1">
      <c r="A109" s="18"/>
      <c r="B109" s="19"/>
      <c r="C109" s="19"/>
      <c r="D109" s="20"/>
      <c r="E109" s="21"/>
      <c r="F109" s="20"/>
      <c r="G109" s="22"/>
      <c r="H109" s="22"/>
      <c r="I109" s="22"/>
      <c r="J109" s="22"/>
      <c r="K109" s="23"/>
      <c r="L109" s="13"/>
      <c r="M109" s="13"/>
      <c r="N109" s="14"/>
      <c r="O109" s="15"/>
      <c r="P109" s="16"/>
      <c r="Q109" s="17"/>
    </row>
    <row r="110" ht="15.0" customHeight="1">
      <c r="A110" s="18">
        <v>46153.0</v>
      </c>
      <c r="B110" s="19" t="s">
        <v>19</v>
      </c>
      <c r="C110" s="19">
        <v>1234.0</v>
      </c>
      <c r="D110" s="20" t="s">
        <v>20</v>
      </c>
      <c r="E110" s="21" t="s">
        <v>43</v>
      </c>
      <c r="F110" s="20" t="s">
        <v>28</v>
      </c>
      <c r="G110" s="22">
        <v>50.0</v>
      </c>
      <c r="H110" s="22">
        <v>100.0</v>
      </c>
      <c r="I110" s="22">
        <v>104.0</v>
      </c>
      <c r="J110" s="22">
        <v>52.0</v>
      </c>
      <c r="K110" s="23">
        <v>306.0</v>
      </c>
      <c r="L110" s="13">
        <f>IFERROR(VLOOKUP(E110,PRODUCTOS!$A$4:$F$28,6,FALSE()),0)</f>
        <v>2</v>
      </c>
      <c r="M110" s="13">
        <f t="shared" ref="M110:M126" si="3">IFERROR(K110*L110,0)</f>
        <v>612</v>
      </c>
      <c r="N110" s="14">
        <f>IFERROR(M110*CONFIG!$B$4,0)</f>
        <v>61.2</v>
      </c>
      <c r="O110" s="15">
        <f t="shared" ref="O110:O126" si="4">IFERROR(M110-N110,0)</f>
        <v>550.8</v>
      </c>
      <c r="P110" s="16" t="s">
        <v>23</v>
      </c>
      <c r="Q110" s="17"/>
    </row>
    <row r="111" ht="15.0" customHeight="1">
      <c r="A111" s="18">
        <v>46153.0</v>
      </c>
      <c r="B111" s="19" t="s">
        <v>19</v>
      </c>
      <c r="C111" s="19">
        <v>1234.0</v>
      </c>
      <c r="D111" s="20" t="s">
        <v>20</v>
      </c>
      <c r="E111" s="21" t="s">
        <v>41</v>
      </c>
      <c r="F111" s="20" t="s">
        <v>28</v>
      </c>
      <c r="G111" s="24"/>
      <c r="H111" s="24"/>
      <c r="I111" s="24"/>
      <c r="J111" s="24"/>
      <c r="K111" s="23">
        <v>47.0</v>
      </c>
      <c r="L111" s="13">
        <f>IFERROR(VLOOKUP(E111,PRODUCTOS!$A$4:$F$28,6,FALSE()),0)</f>
        <v>1.7</v>
      </c>
      <c r="M111" s="13">
        <f t="shared" si="3"/>
        <v>79.9</v>
      </c>
      <c r="N111" s="14">
        <f>IFERROR(M111*CONFIG!$B$4,0)</f>
        <v>7.99</v>
      </c>
      <c r="O111" s="15">
        <f t="shared" si="4"/>
        <v>71.91</v>
      </c>
      <c r="P111" s="16" t="s">
        <v>23</v>
      </c>
      <c r="Q111" s="17"/>
    </row>
    <row r="112" ht="15.0" customHeight="1">
      <c r="A112" s="18">
        <v>46153.0</v>
      </c>
      <c r="B112" s="19" t="s">
        <v>19</v>
      </c>
      <c r="C112" s="19">
        <v>1234.0</v>
      </c>
      <c r="D112" s="20" t="s">
        <v>20</v>
      </c>
      <c r="E112" s="21" t="s">
        <v>32</v>
      </c>
      <c r="F112" s="20" t="s">
        <v>40</v>
      </c>
      <c r="G112" s="22">
        <v>123.0</v>
      </c>
      <c r="H112" s="22">
        <v>22.0</v>
      </c>
      <c r="I112" s="22">
        <v>124.0</v>
      </c>
      <c r="J112" s="24"/>
      <c r="K112" s="23">
        <v>269.0</v>
      </c>
      <c r="L112" s="13">
        <f>IFERROR(VLOOKUP(E112,PRODUCTOS!$A$4:$F$28,6,FALSE()),0)</f>
        <v>6</v>
      </c>
      <c r="M112" s="13">
        <f t="shared" si="3"/>
        <v>1614</v>
      </c>
      <c r="N112" s="14">
        <f>IFERROR(M112*CONFIG!$B$4,0)</f>
        <v>161.4</v>
      </c>
      <c r="O112" s="15">
        <f t="shared" si="4"/>
        <v>1452.6</v>
      </c>
      <c r="P112" s="16" t="s">
        <v>23</v>
      </c>
      <c r="Q112" s="17"/>
    </row>
    <row r="113" ht="15.0" customHeight="1">
      <c r="A113" s="18">
        <v>46153.0</v>
      </c>
      <c r="B113" s="19" t="s">
        <v>19</v>
      </c>
      <c r="C113" s="19">
        <v>1234.0</v>
      </c>
      <c r="D113" s="20" t="s">
        <v>20</v>
      </c>
      <c r="E113" s="21" t="s">
        <v>43</v>
      </c>
      <c r="F113" s="20" t="s">
        <v>35</v>
      </c>
      <c r="G113" s="24"/>
      <c r="H113" s="24"/>
      <c r="I113" s="22">
        <v>167.0</v>
      </c>
      <c r="J113" s="24"/>
      <c r="K113" s="23">
        <v>167.0</v>
      </c>
      <c r="L113" s="13">
        <f>IFERROR(VLOOKUP(E113,PRODUCTOS!$A$4:$F$28,6,FALSE()),0)</f>
        <v>2</v>
      </c>
      <c r="M113" s="13">
        <f t="shared" si="3"/>
        <v>334</v>
      </c>
      <c r="N113" s="14">
        <f>IFERROR(M113*CONFIG!$B$4,0)</f>
        <v>33.4</v>
      </c>
      <c r="O113" s="15">
        <f t="shared" si="4"/>
        <v>300.6</v>
      </c>
      <c r="P113" s="16" t="s">
        <v>23</v>
      </c>
      <c r="Q113" s="17"/>
    </row>
    <row r="114" ht="15.0" customHeight="1">
      <c r="A114" s="18">
        <v>46153.0</v>
      </c>
      <c r="B114" s="19" t="s">
        <v>19</v>
      </c>
      <c r="C114" s="19">
        <v>1234.0</v>
      </c>
      <c r="D114" s="20" t="s">
        <v>20</v>
      </c>
      <c r="E114" s="21" t="s">
        <v>32</v>
      </c>
      <c r="F114" s="20" t="s">
        <v>24</v>
      </c>
      <c r="G114" s="24"/>
      <c r="H114" s="22">
        <v>27.0</v>
      </c>
      <c r="I114" s="22">
        <v>59.0</v>
      </c>
      <c r="J114" s="24"/>
      <c r="K114" s="23">
        <v>86.0</v>
      </c>
      <c r="L114" s="13">
        <f>IFERROR(VLOOKUP(E114,PRODUCTOS!$A$4:$F$28,6,FALSE()),0)</f>
        <v>6</v>
      </c>
      <c r="M114" s="13">
        <f t="shared" si="3"/>
        <v>516</v>
      </c>
      <c r="N114" s="14">
        <f>IFERROR(M114*CONFIG!$B$4,0)</f>
        <v>51.6</v>
      </c>
      <c r="O114" s="15">
        <f t="shared" si="4"/>
        <v>464.4</v>
      </c>
      <c r="P114" s="16" t="s">
        <v>23</v>
      </c>
      <c r="Q114" s="17"/>
    </row>
    <row r="115" ht="15.0" customHeight="1">
      <c r="A115" s="18">
        <v>46153.0</v>
      </c>
      <c r="B115" s="19" t="s">
        <v>19</v>
      </c>
      <c r="C115" s="19">
        <v>1234.0</v>
      </c>
      <c r="D115" s="20" t="s">
        <v>20</v>
      </c>
      <c r="E115" s="21" t="s">
        <v>42</v>
      </c>
      <c r="F115" s="20" t="s">
        <v>40</v>
      </c>
      <c r="G115" s="24"/>
      <c r="H115" s="24"/>
      <c r="I115" s="24"/>
      <c r="J115" s="24"/>
      <c r="K115" s="23">
        <v>53.0</v>
      </c>
      <c r="L115" s="13">
        <f>IFERROR(VLOOKUP(E115,PRODUCTOS!$A$4:$F$28,6,FALSE()),0)</f>
        <v>1.7</v>
      </c>
      <c r="M115" s="13">
        <f t="shared" si="3"/>
        <v>90.1</v>
      </c>
      <c r="N115" s="14">
        <f>IFERROR(M115*CONFIG!$B$4,0)</f>
        <v>9.01</v>
      </c>
      <c r="O115" s="15">
        <f t="shared" si="4"/>
        <v>81.09</v>
      </c>
      <c r="P115" s="16" t="s">
        <v>23</v>
      </c>
      <c r="Q115" s="17"/>
    </row>
    <row r="116" ht="15.0" customHeight="1">
      <c r="A116" s="18">
        <v>46153.0</v>
      </c>
      <c r="B116" s="19" t="s">
        <v>19</v>
      </c>
      <c r="C116" s="19">
        <v>1234.0</v>
      </c>
      <c r="D116" s="20" t="s">
        <v>20</v>
      </c>
      <c r="E116" s="21" t="s">
        <v>32</v>
      </c>
      <c r="F116" s="20" t="s">
        <v>40</v>
      </c>
      <c r="G116" s="24"/>
      <c r="H116" s="22">
        <v>39.0</v>
      </c>
      <c r="I116" s="24"/>
      <c r="J116" s="24"/>
      <c r="K116" s="23">
        <v>39.0</v>
      </c>
      <c r="L116" s="13">
        <f>IFERROR(VLOOKUP(E116,PRODUCTOS!$A$4:$F$28,6,FALSE()),0)</f>
        <v>6</v>
      </c>
      <c r="M116" s="13">
        <f t="shared" si="3"/>
        <v>234</v>
      </c>
      <c r="N116" s="14">
        <f>IFERROR(M116*CONFIG!$B$4,0)</f>
        <v>23.4</v>
      </c>
      <c r="O116" s="15">
        <f t="shared" si="4"/>
        <v>210.6</v>
      </c>
      <c r="P116" s="16" t="s">
        <v>23</v>
      </c>
      <c r="Q116" s="17"/>
    </row>
    <row r="117" ht="15.0" customHeight="1">
      <c r="A117" s="18">
        <v>46153.0</v>
      </c>
      <c r="B117" s="19" t="s">
        <v>19</v>
      </c>
      <c r="C117" s="19">
        <v>1234.0</v>
      </c>
      <c r="D117" s="20" t="s">
        <v>20</v>
      </c>
      <c r="E117" s="21" t="s">
        <v>32</v>
      </c>
      <c r="F117" s="20" t="s">
        <v>26</v>
      </c>
      <c r="G117" s="24"/>
      <c r="H117" s="22">
        <v>68.0</v>
      </c>
      <c r="I117" s="24"/>
      <c r="J117" s="24"/>
      <c r="K117" s="23">
        <v>68.0</v>
      </c>
      <c r="L117" s="13">
        <f>IFERROR(VLOOKUP(E117,PRODUCTOS!$A$4:$F$28,6,FALSE()),0)</f>
        <v>6</v>
      </c>
      <c r="M117" s="13">
        <f t="shared" si="3"/>
        <v>408</v>
      </c>
      <c r="N117" s="14">
        <f>IFERROR(M117*CONFIG!$B$4,0)</f>
        <v>40.8</v>
      </c>
      <c r="O117" s="15">
        <f t="shared" si="4"/>
        <v>367.2</v>
      </c>
      <c r="P117" s="16" t="s">
        <v>23</v>
      </c>
      <c r="Q117" s="17"/>
    </row>
    <row r="118" ht="15.0" customHeight="1">
      <c r="A118" s="18">
        <v>46153.0</v>
      </c>
      <c r="B118" s="19" t="s">
        <v>19</v>
      </c>
      <c r="C118" s="19">
        <v>1234.0</v>
      </c>
      <c r="D118" s="20" t="s">
        <v>20</v>
      </c>
      <c r="E118" s="21" t="s">
        <v>43</v>
      </c>
      <c r="F118" s="20" t="s">
        <v>22</v>
      </c>
      <c r="G118" s="24"/>
      <c r="H118" s="22">
        <v>67.0</v>
      </c>
      <c r="I118" s="24"/>
      <c r="J118" s="24"/>
      <c r="K118" s="23">
        <v>67.0</v>
      </c>
      <c r="L118" s="13">
        <f>IFERROR(VLOOKUP(E118,PRODUCTOS!$A$4:$F$28,6,FALSE()),0)</f>
        <v>2</v>
      </c>
      <c r="M118" s="13">
        <f t="shared" si="3"/>
        <v>134</v>
      </c>
      <c r="N118" s="14">
        <f>IFERROR(M118*CONFIG!$B$4,0)</f>
        <v>13.4</v>
      </c>
      <c r="O118" s="15">
        <f t="shared" si="4"/>
        <v>120.6</v>
      </c>
      <c r="P118" s="16" t="s">
        <v>23</v>
      </c>
      <c r="Q118" s="17"/>
    </row>
    <row r="119" ht="15.0" customHeight="1">
      <c r="A119" s="18">
        <v>46153.0</v>
      </c>
      <c r="B119" s="19" t="s">
        <v>19</v>
      </c>
      <c r="C119" s="19">
        <v>1234.0</v>
      </c>
      <c r="D119" s="20" t="s">
        <v>20</v>
      </c>
      <c r="E119" s="21" t="s">
        <v>29</v>
      </c>
      <c r="F119" s="20" t="s">
        <v>34</v>
      </c>
      <c r="G119" s="24"/>
      <c r="H119" s="22">
        <v>76.0</v>
      </c>
      <c r="I119" s="24"/>
      <c r="J119" s="24"/>
      <c r="K119" s="23">
        <v>76.0</v>
      </c>
      <c r="L119" s="13">
        <f>IFERROR(VLOOKUP(E119,PRODUCTOS!$A$4:$F$28,6,FALSE()),0)</f>
        <v>1.7</v>
      </c>
      <c r="M119" s="13">
        <f t="shared" si="3"/>
        <v>129.2</v>
      </c>
      <c r="N119" s="14">
        <f>IFERROR(M119*CONFIG!$B$4,0)</f>
        <v>12.92</v>
      </c>
      <c r="O119" s="15">
        <f t="shared" si="4"/>
        <v>116.28</v>
      </c>
      <c r="P119" s="16" t="s">
        <v>23</v>
      </c>
      <c r="Q119" s="17"/>
    </row>
    <row r="120" ht="15.0" customHeight="1">
      <c r="A120" s="18">
        <v>46153.0</v>
      </c>
      <c r="B120" s="19" t="s">
        <v>19</v>
      </c>
      <c r="C120" s="19">
        <v>1234.0</v>
      </c>
      <c r="D120" s="20" t="s">
        <v>20</v>
      </c>
      <c r="E120" s="21" t="s">
        <v>42</v>
      </c>
      <c r="F120" s="20" t="s">
        <v>28</v>
      </c>
      <c r="G120" s="24"/>
      <c r="H120" s="24"/>
      <c r="I120" s="24"/>
      <c r="J120" s="24"/>
      <c r="K120" s="23">
        <v>66.0</v>
      </c>
      <c r="L120" s="13">
        <f>IFERROR(VLOOKUP(E120,PRODUCTOS!$A$4:$F$28,6,FALSE()),0)</f>
        <v>1.7</v>
      </c>
      <c r="M120" s="13">
        <f t="shared" si="3"/>
        <v>112.2</v>
      </c>
      <c r="N120" s="14">
        <f>IFERROR(M120*CONFIG!$B$4,0)</f>
        <v>11.22</v>
      </c>
      <c r="O120" s="15">
        <f t="shared" si="4"/>
        <v>100.98</v>
      </c>
      <c r="P120" s="16" t="s">
        <v>23</v>
      </c>
      <c r="Q120" s="17"/>
    </row>
    <row r="121" ht="15.0" customHeight="1">
      <c r="A121" s="18">
        <v>46153.0</v>
      </c>
      <c r="B121" s="19" t="s">
        <v>19</v>
      </c>
      <c r="C121" s="19">
        <v>1234.0</v>
      </c>
      <c r="D121" s="20" t="s">
        <v>20</v>
      </c>
      <c r="E121" s="21" t="s">
        <v>41</v>
      </c>
      <c r="F121" s="20" t="s">
        <v>24</v>
      </c>
      <c r="G121" s="24"/>
      <c r="H121" s="24"/>
      <c r="I121" s="24"/>
      <c r="J121" s="24"/>
      <c r="K121" s="23">
        <v>42.0</v>
      </c>
      <c r="L121" s="13">
        <f>IFERROR(VLOOKUP(E121,PRODUCTOS!$A$4:$F$28,6,FALSE()),0)</f>
        <v>1.7</v>
      </c>
      <c r="M121" s="13">
        <f t="shared" si="3"/>
        <v>71.4</v>
      </c>
      <c r="N121" s="14">
        <f>IFERROR(M121*CONFIG!$B$4,0)</f>
        <v>7.14</v>
      </c>
      <c r="O121" s="15">
        <f t="shared" si="4"/>
        <v>64.26</v>
      </c>
      <c r="P121" s="16" t="s">
        <v>23</v>
      </c>
      <c r="Q121" s="17"/>
    </row>
    <row r="122" ht="15.0" customHeight="1">
      <c r="A122" s="18">
        <v>46153.0</v>
      </c>
      <c r="B122" s="19" t="s">
        <v>19</v>
      </c>
      <c r="C122" s="19">
        <v>1234.0</v>
      </c>
      <c r="D122" s="20" t="s">
        <v>20</v>
      </c>
      <c r="E122" s="21" t="s">
        <v>29</v>
      </c>
      <c r="F122" s="20" t="s">
        <v>36</v>
      </c>
      <c r="G122" s="22">
        <v>10.0</v>
      </c>
      <c r="H122" s="24"/>
      <c r="I122" s="24"/>
      <c r="J122" s="24"/>
      <c r="K122" s="23">
        <v>10.0</v>
      </c>
      <c r="L122" s="13">
        <f>IFERROR(VLOOKUP(E122,PRODUCTOS!$A$4:$F$28,6,FALSE()),0)</f>
        <v>1.7</v>
      </c>
      <c r="M122" s="13">
        <f t="shared" si="3"/>
        <v>17</v>
      </c>
      <c r="N122" s="14">
        <f>IFERROR(M122*CONFIG!$B$4,0)</f>
        <v>1.7</v>
      </c>
      <c r="O122" s="15">
        <f t="shared" si="4"/>
        <v>15.3</v>
      </c>
      <c r="P122" s="16" t="s">
        <v>23</v>
      </c>
      <c r="Q122" s="17"/>
    </row>
    <row r="123" ht="15.0" customHeight="1">
      <c r="A123" s="18">
        <v>46153.0</v>
      </c>
      <c r="B123" s="19" t="s">
        <v>19</v>
      </c>
      <c r="C123" s="19">
        <v>1234.0</v>
      </c>
      <c r="D123" s="20" t="s">
        <v>20</v>
      </c>
      <c r="E123" s="21" t="s">
        <v>32</v>
      </c>
      <c r="F123" s="20" t="s">
        <v>26</v>
      </c>
      <c r="G123" s="24"/>
      <c r="H123" s="24"/>
      <c r="I123" s="22">
        <v>70.0</v>
      </c>
      <c r="J123" s="24"/>
      <c r="K123" s="23">
        <v>70.0</v>
      </c>
      <c r="L123" s="13">
        <f>IFERROR(VLOOKUP(E123,PRODUCTOS!$A$4:$F$28,6,FALSE()),0)</f>
        <v>6</v>
      </c>
      <c r="M123" s="13">
        <f t="shared" si="3"/>
        <v>420</v>
      </c>
      <c r="N123" s="14">
        <f>IFERROR(M123*CONFIG!$B$4,0)</f>
        <v>42</v>
      </c>
      <c r="O123" s="15">
        <f t="shared" si="4"/>
        <v>378</v>
      </c>
      <c r="P123" s="16" t="s">
        <v>23</v>
      </c>
      <c r="Q123" s="17"/>
    </row>
    <row r="124" ht="15.0" customHeight="1">
      <c r="A124" s="18">
        <v>46153.0</v>
      </c>
      <c r="B124" s="19" t="s">
        <v>19</v>
      </c>
      <c r="C124" s="19">
        <v>1234.0</v>
      </c>
      <c r="D124" s="20" t="s">
        <v>20</v>
      </c>
      <c r="E124" s="21" t="s">
        <v>45</v>
      </c>
      <c r="F124" s="20" t="s">
        <v>47</v>
      </c>
      <c r="G124" s="24"/>
      <c r="H124" s="22">
        <v>163.0</v>
      </c>
      <c r="I124" s="24"/>
      <c r="J124" s="24"/>
      <c r="K124" s="23">
        <v>163.0</v>
      </c>
      <c r="L124" s="13">
        <f>IFERROR(VLOOKUP(E124,PRODUCTOS!$A$4:$F$28,6,FALSE()),0)</f>
        <v>4</v>
      </c>
      <c r="M124" s="13">
        <f t="shared" si="3"/>
        <v>652</v>
      </c>
      <c r="N124" s="14">
        <f>IFERROR(M124*CONFIG!$B$4,0)</f>
        <v>65.2</v>
      </c>
      <c r="O124" s="15">
        <f t="shared" si="4"/>
        <v>586.8</v>
      </c>
      <c r="P124" s="16" t="s">
        <v>23</v>
      </c>
      <c r="Q124" s="17"/>
    </row>
    <row r="125" ht="15.0" customHeight="1">
      <c r="A125" s="18">
        <v>46153.0</v>
      </c>
      <c r="B125" s="19" t="s">
        <v>19</v>
      </c>
      <c r="C125" s="19">
        <v>1234.0</v>
      </c>
      <c r="D125" s="20" t="s">
        <v>20</v>
      </c>
      <c r="E125" s="21" t="s">
        <v>32</v>
      </c>
      <c r="F125" s="20" t="s">
        <v>24</v>
      </c>
      <c r="G125" s="22">
        <v>58.0</v>
      </c>
      <c r="H125" s="24"/>
      <c r="I125" s="24"/>
      <c r="J125" s="24"/>
      <c r="K125" s="23">
        <v>58.0</v>
      </c>
      <c r="L125" s="13">
        <f>IFERROR(VLOOKUP(E125,PRODUCTOS!$A$4:$F$28,6,FALSE()),0)</f>
        <v>6</v>
      </c>
      <c r="M125" s="13">
        <f t="shared" si="3"/>
        <v>348</v>
      </c>
      <c r="N125" s="14">
        <f>IFERROR(M125*CONFIG!$B$4,0)</f>
        <v>34.8</v>
      </c>
      <c r="O125" s="15">
        <f t="shared" si="4"/>
        <v>313.2</v>
      </c>
      <c r="P125" s="16" t="s">
        <v>23</v>
      </c>
      <c r="Q125" s="17"/>
    </row>
    <row r="126" ht="15.0" customHeight="1">
      <c r="A126" s="18">
        <v>46153.0</v>
      </c>
      <c r="B126" s="19" t="s">
        <v>19</v>
      </c>
      <c r="C126" s="19">
        <v>1234.0</v>
      </c>
      <c r="D126" s="20" t="s">
        <v>20</v>
      </c>
      <c r="E126" s="21" t="s">
        <v>29</v>
      </c>
      <c r="F126" s="20" t="s">
        <v>34</v>
      </c>
      <c r="G126" s="24"/>
      <c r="H126" s="24"/>
      <c r="I126" s="22">
        <v>75.0</v>
      </c>
      <c r="J126" s="24"/>
      <c r="K126" s="23">
        <v>75.0</v>
      </c>
      <c r="L126" s="13">
        <f>IFERROR(VLOOKUP(E126,PRODUCTOS!$A$4:$F$28,6,FALSE()),0)</f>
        <v>1.7</v>
      </c>
      <c r="M126" s="13">
        <f t="shared" si="3"/>
        <v>127.5</v>
      </c>
      <c r="N126" s="14">
        <f>IFERROR(M126*CONFIG!$B$4,0)</f>
        <v>12.75</v>
      </c>
      <c r="O126" s="15">
        <f t="shared" si="4"/>
        <v>114.75</v>
      </c>
      <c r="P126" s="16" t="s">
        <v>23</v>
      </c>
      <c r="Q126" s="17"/>
    </row>
    <row r="127" ht="15.0" customHeight="1">
      <c r="A127" s="18"/>
      <c r="B127" s="19"/>
      <c r="C127" s="19"/>
      <c r="D127" s="20"/>
      <c r="E127" s="21"/>
      <c r="F127" s="20"/>
      <c r="G127" s="22"/>
      <c r="H127" s="22"/>
      <c r="I127" s="22"/>
      <c r="J127" s="22"/>
      <c r="K127" s="23"/>
      <c r="L127" s="13"/>
      <c r="M127" s="13"/>
      <c r="N127" s="14"/>
      <c r="O127" s="15"/>
      <c r="P127" s="16"/>
      <c r="Q127" s="17"/>
    </row>
    <row r="128" ht="15.0" customHeight="1">
      <c r="A128" s="18">
        <v>46154.0</v>
      </c>
      <c r="B128" s="19" t="s">
        <v>19</v>
      </c>
      <c r="C128" s="19">
        <v>1234.0</v>
      </c>
      <c r="D128" s="20" t="s">
        <v>20</v>
      </c>
      <c r="E128" s="21" t="s">
        <v>25</v>
      </c>
      <c r="F128" s="20" t="s">
        <v>47</v>
      </c>
      <c r="G128" s="22">
        <v>52.0</v>
      </c>
      <c r="H128" s="22">
        <v>104.0</v>
      </c>
      <c r="I128" s="22">
        <v>102.0</v>
      </c>
      <c r="J128" s="22">
        <v>51.0</v>
      </c>
      <c r="K128" s="23">
        <v>309.0</v>
      </c>
      <c r="L128" s="13">
        <f>IFERROR(VLOOKUP(E128,PRODUCTOS!$A$4:$F$28,6,FALSE()),0)</f>
        <v>4</v>
      </c>
      <c r="M128" s="13">
        <f t="shared" ref="M128:M148" si="5">IFERROR(K128*L128,0)</f>
        <v>1236</v>
      </c>
      <c r="N128" s="14">
        <f>IFERROR(M128*CONFIG!$B$4,0)</f>
        <v>123.6</v>
      </c>
      <c r="O128" s="15">
        <f t="shared" ref="O128:O148" si="6">IFERROR(M128-N128,0)</f>
        <v>1112.4</v>
      </c>
      <c r="P128" s="16" t="s">
        <v>23</v>
      </c>
      <c r="Q128" s="17"/>
    </row>
    <row r="129" ht="15.0" customHeight="1">
      <c r="A129" s="18">
        <v>46154.0</v>
      </c>
      <c r="B129" s="19" t="s">
        <v>19</v>
      </c>
      <c r="C129" s="19">
        <v>1234.0</v>
      </c>
      <c r="D129" s="20" t="s">
        <v>20</v>
      </c>
      <c r="E129" s="21" t="s">
        <v>25</v>
      </c>
      <c r="F129" s="20" t="s">
        <v>46</v>
      </c>
      <c r="G129" s="22">
        <v>66.0</v>
      </c>
      <c r="H129" s="22">
        <v>132.0</v>
      </c>
      <c r="I129" s="22">
        <v>131.0</v>
      </c>
      <c r="J129" s="22">
        <v>65.0</v>
      </c>
      <c r="K129" s="23">
        <v>394.0</v>
      </c>
      <c r="L129" s="13">
        <f>IFERROR(VLOOKUP(E129,PRODUCTOS!$A$4:$F$28,6,FALSE()),0)</f>
        <v>4</v>
      </c>
      <c r="M129" s="13">
        <f t="shared" si="5"/>
        <v>1576</v>
      </c>
      <c r="N129" s="14">
        <f>IFERROR(M129*CONFIG!$B$4,0)</f>
        <v>157.6</v>
      </c>
      <c r="O129" s="15">
        <f t="shared" si="6"/>
        <v>1418.4</v>
      </c>
      <c r="P129" s="16" t="s">
        <v>23</v>
      </c>
      <c r="Q129" s="17"/>
    </row>
    <row r="130" ht="15.0" customHeight="1">
      <c r="A130" s="18">
        <v>46154.0</v>
      </c>
      <c r="B130" s="19" t="s">
        <v>19</v>
      </c>
      <c r="C130" s="19">
        <v>1234.0</v>
      </c>
      <c r="D130" s="20" t="s">
        <v>20</v>
      </c>
      <c r="E130" s="21" t="s">
        <v>29</v>
      </c>
      <c r="F130" s="20" t="s">
        <v>26</v>
      </c>
      <c r="G130" s="22">
        <v>59.0</v>
      </c>
      <c r="H130" s="22">
        <v>88.0</v>
      </c>
      <c r="I130" s="22">
        <v>90.0</v>
      </c>
      <c r="J130" s="22">
        <v>62.0</v>
      </c>
      <c r="K130" s="23">
        <v>299.0</v>
      </c>
      <c r="L130" s="13">
        <f>IFERROR(VLOOKUP(E130,PRODUCTOS!$A$4:$F$28,6,FALSE()),0)</f>
        <v>1.7</v>
      </c>
      <c r="M130" s="13">
        <f t="shared" si="5"/>
        <v>508.3</v>
      </c>
      <c r="N130" s="14">
        <f>IFERROR(M130*CONFIG!$B$4,0)</f>
        <v>50.83</v>
      </c>
      <c r="O130" s="15">
        <f t="shared" si="6"/>
        <v>457.47</v>
      </c>
      <c r="P130" s="25"/>
      <c r="Q130" s="17"/>
    </row>
    <row r="131" ht="15.0" customHeight="1">
      <c r="A131" s="18">
        <v>46154.0</v>
      </c>
      <c r="B131" s="19" t="s">
        <v>19</v>
      </c>
      <c r="C131" s="19">
        <v>1234.0</v>
      </c>
      <c r="D131" s="20" t="s">
        <v>20</v>
      </c>
      <c r="E131" s="21" t="s">
        <v>32</v>
      </c>
      <c r="F131" s="20" t="s">
        <v>26</v>
      </c>
      <c r="G131" s="22">
        <v>78.0</v>
      </c>
      <c r="H131" s="24"/>
      <c r="I131" s="22">
        <v>68.0</v>
      </c>
      <c r="J131" s="24"/>
      <c r="K131" s="23">
        <v>146.0</v>
      </c>
      <c r="L131" s="13">
        <f>IFERROR(VLOOKUP(E131,PRODUCTOS!$A$4:$F$28,6,FALSE()),0)</f>
        <v>6</v>
      </c>
      <c r="M131" s="13">
        <f t="shared" si="5"/>
        <v>876</v>
      </c>
      <c r="N131" s="14">
        <f>IFERROR(M131*CONFIG!$B$4,0)</f>
        <v>87.6</v>
      </c>
      <c r="O131" s="15">
        <f t="shared" si="6"/>
        <v>788.4</v>
      </c>
      <c r="P131" s="16" t="s">
        <v>23</v>
      </c>
      <c r="Q131" s="17"/>
    </row>
    <row r="132" ht="15.0" customHeight="1">
      <c r="A132" s="18">
        <v>46154.0</v>
      </c>
      <c r="B132" s="19" t="s">
        <v>19</v>
      </c>
      <c r="C132" s="19">
        <v>1234.0</v>
      </c>
      <c r="D132" s="20" t="s">
        <v>20</v>
      </c>
      <c r="E132" s="21" t="s">
        <v>43</v>
      </c>
      <c r="F132" s="20" t="s">
        <v>44</v>
      </c>
      <c r="G132" s="24"/>
      <c r="H132" s="24"/>
      <c r="I132" s="24"/>
      <c r="J132" s="22">
        <v>91.0</v>
      </c>
      <c r="K132" s="23">
        <v>91.0</v>
      </c>
      <c r="L132" s="13">
        <f>IFERROR(VLOOKUP(E132,PRODUCTOS!$A$4:$F$28,6,FALSE()),0)</f>
        <v>2</v>
      </c>
      <c r="M132" s="13">
        <f t="shared" si="5"/>
        <v>182</v>
      </c>
      <c r="N132" s="14">
        <f>IFERROR(M132*CONFIG!$B$4,0)</f>
        <v>18.2</v>
      </c>
      <c r="O132" s="15">
        <f t="shared" si="6"/>
        <v>163.8</v>
      </c>
      <c r="P132" s="16" t="s">
        <v>23</v>
      </c>
      <c r="Q132" s="17"/>
    </row>
    <row r="133" ht="15.0" customHeight="1">
      <c r="A133" s="18">
        <v>46154.0</v>
      </c>
      <c r="B133" s="19" t="s">
        <v>19</v>
      </c>
      <c r="C133" s="19">
        <v>1234.0</v>
      </c>
      <c r="D133" s="20" t="s">
        <v>20</v>
      </c>
      <c r="E133" s="21" t="s">
        <v>29</v>
      </c>
      <c r="F133" s="20" t="s">
        <v>24</v>
      </c>
      <c r="G133" s="24"/>
      <c r="H133" s="22">
        <v>84.0</v>
      </c>
      <c r="I133" s="22">
        <v>126.0</v>
      </c>
      <c r="J133" s="22">
        <v>80.0</v>
      </c>
      <c r="K133" s="23">
        <v>290.0</v>
      </c>
      <c r="L133" s="13">
        <f>IFERROR(VLOOKUP(E133,PRODUCTOS!$A$4:$F$28,6,FALSE()),0)</f>
        <v>1.7</v>
      </c>
      <c r="M133" s="13">
        <f t="shared" si="5"/>
        <v>493</v>
      </c>
      <c r="N133" s="14">
        <f>IFERROR(M133*CONFIG!$B$4,0)</f>
        <v>49.3</v>
      </c>
      <c r="O133" s="15">
        <f t="shared" si="6"/>
        <v>443.7</v>
      </c>
      <c r="P133" s="16" t="s">
        <v>23</v>
      </c>
      <c r="Q133" s="17"/>
    </row>
    <row r="134" ht="15.0" customHeight="1">
      <c r="A134" s="18">
        <v>46154.0</v>
      </c>
      <c r="B134" s="19" t="s">
        <v>19</v>
      </c>
      <c r="C134" s="19">
        <v>1234.0</v>
      </c>
      <c r="D134" s="20" t="s">
        <v>20</v>
      </c>
      <c r="E134" s="21" t="s">
        <v>29</v>
      </c>
      <c r="F134" s="20" t="s">
        <v>36</v>
      </c>
      <c r="G134" s="24"/>
      <c r="H134" s="24"/>
      <c r="I134" s="24"/>
      <c r="J134" s="22">
        <v>83.0</v>
      </c>
      <c r="K134" s="23">
        <v>83.0</v>
      </c>
      <c r="L134" s="13">
        <f>IFERROR(VLOOKUP(E134,PRODUCTOS!$A$4:$F$28,6,FALSE()),0)</f>
        <v>1.7</v>
      </c>
      <c r="M134" s="13">
        <f t="shared" si="5"/>
        <v>141.1</v>
      </c>
      <c r="N134" s="14">
        <f>IFERROR(M134*CONFIG!$B$4,0)</f>
        <v>14.11</v>
      </c>
      <c r="O134" s="15">
        <f t="shared" si="6"/>
        <v>126.99</v>
      </c>
      <c r="P134" s="16" t="s">
        <v>23</v>
      </c>
      <c r="Q134" s="17"/>
    </row>
    <row r="135" ht="15.0" customHeight="1">
      <c r="A135" s="18">
        <v>46154.0</v>
      </c>
      <c r="B135" s="19" t="s">
        <v>19</v>
      </c>
      <c r="C135" s="19">
        <v>1234.0</v>
      </c>
      <c r="D135" s="20" t="s">
        <v>31</v>
      </c>
      <c r="E135" s="21" t="s">
        <v>48</v>
      </c>
      <c r="F135" s="20" t="s">
        <v>39</v>
      </c>
      <c r="G135" s="22">
        <v>32.0</v>
      </c>
      <c r="H135" s="22">
        <v>51.0</v>
      </c>
      <c r="I135" s="22">
        <v>34.0</v>
      </c>
      <c r="J135" s="24"/>
      <c r="K135" s="23">
        <v>117.0</v>
      </c>
      <c r="L135" s="13">
        <f>IFERROR(VLOOKUP(E135,PRODUCTOS!$A$4:$F$28,6,FALSE()),0)</f>
        <v>0</v>
      </c>
      <c r="M135" s="13">
        <f t="shared" si="5"/>
        <v>0</v>
      </c>
      <c r="N135" s="14">
        <f>IFERROR(M135*CONFIG!$B$4,0)</f>
        <v>0</v>
      </c>
      <c r="O135" s="15">
        <f t="shared" si="6"/>
        <v>0</v>
      </c>
      <c r="P135" s="16" t="s">
        <v>23</v>
      </c>
      <c r="Q135" s="17"/>
    </row>
    <row r="136" ht="15.0" customHeight="1">
      <c r="A136" s="18">
        <v>46154.0</v>
      </c>
      <c r="B136" s="19" t="s">
        <v>19</v>
      </c>
      <c r="C136" s="19">
        <v>1234.0</v>
      </c>
      <c r="D136" s="20" t="s">
        <v>20</v>
      </c>
      <c r="E136" s="21" t="s">
        <v>29</v>
      </c>
      <c r="F136" s="20" t="s">
        <v>34</v>
      </c>
      <c r="G136" s="24"/>
      <c r="H136" s="24"/>
      <c r="I136" s="22">
        <v>175.0</v>
      </c>
      <c r="J136" s="22">
        <v>146.0</v>
      </c>
      <c r="K136" s="23">
        <v>321.0</v>
      </c>
      <c r="L136" s="13">
        <f>IFERROR(VLOOKUP(E136,PRODUCTOS!$A$4:$F$28,6,FALSE()),0)</f>
        <v>1.7</v>
      </c>
      <c r="M136" s="13">
        <f t="shared" si="5"/>
        <v>545.7</v>
      </c>
      <c r="N136" s="14">
        <f>IFERROR(M136*CONFIG!$B$4,0)</f>
        <v>54.57</v>
      </c>
      <c r="O136" s="15">
        <f t="shared" si="6"/>
        <v>491.13</v>
      </c>
      <c r="P136" s="16" t="s">
        <v>23</v>
      </c>
      <c r="Q136" s="17"/>
    </row>
    <row r="137" ht="15.0" customHeight="1">
      <c r="A137" s="18">
        <v>46154.0</v>
      </c>
      <c r="B137" s="19" t="s">
        <v>19</v>
      </c>
      <c r="C137" s="19">
        <v>1234.0</v>
      </c>
      <c r="D137" s="20" t="s">
        <v>20</v>
      </c>
      <c r="E137" s="21" t="s">
        <v>43</v>
      </c>
      <c r="F137" s="20" t="s">
        <v>35</v>
      </c>
      <c r="G137" s="22">
        <v>81.0</v>
      </c>
      <c r="H137" s="24"/>
      <c r="I137" s="24"/>
      <c r="J137" s="24"/>
      <c r="K137" s="23">
        <v>81.0</v>
      </c>
      <c r="L137" s="13">
        <f>IFERROR(VLOOKUP(E137,PRODUCTOS!$A$4:$F$28,6,FALSE()),0)</f>
        <v>2</v>
      </c>
      <c r="M137" s="13">
        <f t="shared" si="5"/>
        <v>162</v>
      </c>
      <c r="N137" s="14">
        <f>IFERROR(M137*CONFIG!$B$4,0)</f>
        <v>16.2</v>
      </c>
      <c r="O137" s="15">
        <f t="shared" si="6"/>
        <v>145.8</v>
      </c>
      <c r="P137" s="16" t="s">
        <v>23</v>
      </c>
      <c r="Q137" s="17"/>
    </row>
    <row r="138" ht="15.0" customHeight="1">
      <c r="A138" s="18">
        <v>46154.0</v>
      </c>
      <c r="B138" s="19" t="s">
        <v>19</v>
      </c>
      <c r="C138" s="19">
        <v>1234.0</v>
      </c>
      <c r="D138" s="20" t="s">
        <v>20</v>
      </c>
      <c r="E138" s="21" t="s">
        <v>43</v>
      </c>
      <c r="F138" s="20" t="s">
        <v>44</v>
      </c>
      <c r="G138" s="22">
        <v>91.0</v>
      </c>
      <c r="H138" s="24"/>
      <c r="I138" s="24"/>
      <c r="J138" s="24"/>
      <c r="K138" s="23">
        <v>91.0</v>
      </c>
      <c r="L138" s="13">
        <f>IFERROR(VLOOKUP(E138,PRODUCTOS!$A$4:$F$28,6,FALSE()),0)</f>
        <v>2</v>
      </c>
      <c r="M138" s="13">
        <f t="shared" si="5"/>
        <v>182</v>
      </c>
      <c r="N138" s="14">
        <f>IFERROR(M138*CONFIG!$B$4,0)</f>
        <v>18.2</v>
      </c>
      <c r="O138" s="15">
        <f t="shared" si="6"/>
        <v>163.8</v>
      </c>
      <c r="P138" s="16" t="s">
        <v>23</v>
      </c>
      <c r="Q138" s="17"/>
    </row>
    <row r="139" ht="15.0" customHeight="1">
      <c r="A139" s="18">
        <v>46154.0</v>
      </c>
      <c r="B139" s="19" t="s">
        <v>19</v>
      </c>
      <c r="C139" s="19">
        <v>1234.0</v>
      </c>
      <c r="D139" s="20" t="s">
        <v>20</v>
      </c>
      <c r="E139" s="21" t="s">
        <v>43</v>
      </c>
      <c r="F139" s="20" t="s">
        <v>24</v>
      </c>
      <c r="G139" s="24"/>
      <c r="H139" s="24"/>
      <c r="I139" s="22">
        <v>114.0</v>
      </c>
      <c r="J139" s="24"/>
      <c r="K139" s="23">
        <v>114.0</v>
      </c>
      <c r="L139" s="13">
        <f>IFERROR(VLOOKUP(E139,PRODUCTOS!$A$4:$F$28,6,FALSE()),0)</f>
        <v>2</v>
      </c>
      <c r="M139" s="13">
        <f t="shared" si="5"/>
        <v>228</v>
      </c>
      <c r="N139" s="14">
        <f>IFERROR(M139*CONFIG!$B$4,0)</f>
        <v>22.8</v>
      </c>
      <c r="O139" s="15">
        <f t="shared" si="6"/>
        <v>205.2</v>
      </c>
      <c r="P139" s="16" t="s">
        <v>23</v>
      </c>
      <c r="Q139" s="17"/>
    </row>
    <row r="140" ht="15.0" customHeight="1">
      <c r="A140" s="18">
        <v>46154.0</v>
      </c>
      <c r="B140" s="19" t="s">
        <v>19</v>
      </c>
      <c r="C140" s="19">
        <v>1234.0</v>
      </c>
      <c r="D140" s="20" t="s">
        <v>31</v>
      </c>
      <c r="E140" s="21" t="s">
        <v>48</v>
      </c>
      <c r="F140" s="20" t="s">
        <v>46</v>
      </c>
      <c r="G140" s="22">
        <v>34.0</v>
      </c>
      <c r="H140" s="24"/>
      <c r="I140" s="24"/>
      <c r="J140" s="24"/>
      <c r="K140" s="23">
        <v>34.0</v>
      </c>
      <c r="L140" s="13">
        <f>IFERROR(VLOOKUP(E140,PRODUCTOS!$A$4:$F$28,6,FALSE()),0)</f>
        <v>0</v>
      </c>
      <c r="M140" s="13">
        <f t="shared" si="5"/>
        <v>0</v>
      </c>
      <c r="N140" s="14">
        <f>IFERROR(M140*CONFIG!$B$4,0)</f>
        <v>0</v>
      </c>
      <c r="O140" s="15">
        <f t="shared" si="6"/>
        <v>0</v>
      </c>
      <c r="P140" s="16" t="s">
        <v>23</v>
      </c>
      <c r="Q140" s="17"/>
    </row>
    <row r="141" ht="15.0" customHeight="1">
      <c r="A141" s="18">
        <v>46154.0</v>
      </c>
      <c r="B141" s="19" t="s">
        <v>19</v>
      </c>
      <c r="C141" s="19">
        <v>1234.0</v>
      </c>
      <c r="D141" s="20" t="s">
        <v>31</v>
      </c>
      <c r="E141" s="21" t="s">
        <v>48</v>
      </c>
      <c r="F141" s="20" t="s">
        <v>24</v>
      </c>
      <c r="G141" s="22">
        <v>39.0</v>
      </c>
      <c r="H141" s="22">
        <v>60.0</v>
      </c>
      <c r="I141" s="22">
        <v>40.0</v>
      </c>
      <c r="J141" s="24"/>
      <c r="K141" s="23">
        <v>139.0</v>
      </c>
      <c r="L141" s="13">
        <f>IFERROR(VLOOKUP(E141,PRODUCTOS!$A$4:$F$28,6,FALSE()),0)</f>
        <v>0</v>
      </c>
      <c r="M141" s="13">
        <f t="shared" si="5"/>
        <v>0</v>
      </c>
      <c r="N141" s="14">
        <f>IFERROR(M141*CONFIG!$B$4,0)</f>
        <v>0</v>
      </c>
      <c r="O141" s="15">
        <f t="shared" si="6"/>
        <v>0</v>
      </c>
      <c r="P141" s="16" t="s">
        <v>23</v>
      </c>
      <c r="Q141" s="17"/>
    </row>
    <row r="142" ht="15.0" customHeight="1">
      <c r="A142" s="18">
        <v>46154.0</v>
      </c>
      <c r="B142" s="19" t="s">
        <v>19</v>
      </c>
      <c r="C142" s="19">
        <v>1234.0</v>
      </c>
      <c r="D142" s="20" t="s">
        <v>20</v>
      </c>
      <c r="E142" s="21" t="s">
        <v>29</v>
      </c>
      <c r="F142" s="20" t="s">
        <v>22</v>
      </c>
      <c r="G142" s="24"/>
      <c r="H142" s="22">
        <v>123.0</v>
      </c>
      <c r="I142" s="24"/>
      <c r="J142" s="24"/>
      <c r="K142" s="23">
        <v>123.0</v>
      </c>
      <c r="L142" s="13">
        <f>IFERROR(VLOOKUP(E142,PRODUCTOS!$A$4:$F$28,6,FALSE()),0)</f>
        <v>1.7</v>
      </c>
      <c r="M142" s="13">
        <f t="shared" si="5"/>
        <v>209.1</v>
      </c>
      <c r="N142" s="14">
        <f>IFERROR(M142*CONFIG!$B$4,0)</f>
        <v>20.91</v>
      </c>
      <c r="O142" s="15">
        <f t="shared" si="6"/>
        <v>188.19</v>
      </c>
      <c r="P142" s="16" t="s">
        <v>23</v>
      </c>
      <c r="Q142" s="17"/>
    </row>
    <row r="143" ht="15.0" customHeight="1">
      <c r="A143" s="18">
        <v>46154.0</v>
      </c>
      <c r="B143" s="19" t="s">
        <v>19</v>
      </c>
      <c r="C143" s="19">
        <v>1234.0</v>
      </c>
      <c r="D143" s="20" t="s">
        <v>20</v>
      </c>
      <c r="E143" s="21" t="s">
        <v>29</v>
      </c>
      <c r="F143" s="20" t="s">
        <v>22</v>
      </c>
      <c r="G143" s="22">
        <v>82.0</v>
      </c>
      <c r="H143" s="24"/>
      <c r="I143" s="22">
        <v>122.0</v>
      </c>
      <c r="J143" s="22">
        <v>83.0</v>
      </c>
      <c r="K143" s="23">
        <v>287.0</v>
      </c>
      <c r="L143" s="13">
        <f>IFERROR(VLOOKUP(E143,PRODUCTOS!$A$4:$F$28,6,FALSE()),0)</f>
        <v>1.7</v>
      </c>
      <c r="M143" s="13">
        <f t="shared" si="5"/>
        <v>487.9</v>
      </c>
      <c r="N143" s="14">
        <f>IFERROR(M143*CONFIG!$B$4,0)</f>
        <v>48.79</v>
      </c>
      <c r="O143" s="15">
        <f t="shared" si="6"/>
        <v>439.11</v>
      </c>
      <c r="P143" s="16" t="s">
        <v>23</v>
      </c>
      <c r="Q143" s="17"/>
    </row>
    <row r="144" ht="15.0" customHeight="1">
      <c r="A144" s="18">
        <v>46154.0</v>
      </c>
      <c r="B144" s="19" t="s">
        <v>19</v>
      </c>
      <c r="C144" s="19">
        <v>1234.0</v>
      </c>
      <c r="D144" s="20" t="s">
        <v>20</v>
      </c>
      <c r="E144" s="21" t="s">
        <v>29</v>
      </c>
      <c r="F144" s="20" t="s">
        <v>46</v>
      </c>
      <c r="G144" s="22">
        <v>64.0</v>
      </c>
      <c r="H144" s="22">
        <v>94.0</v>
      </c>
      <c r="I144" s="22">
        <v>95.0</v>
      </c>
      <c r="J144" s="24"/>
      <c r="K144" s="23">
        <v>253.0</v>
      </c>
      <c r="L144" s="13">
        <f>IFERROR(VLOOKUP(E144,PRODUCTOS!$A$4:$F$28,6,FALSE()),0)</f>
        <v>1.7</v>
      </c>
      <c r="M144" s="13">
        <f t="shared" si="5"/>
        <v>430.1</v>
      </c>
      <c r="N144" s="14">
        <f>IFERROR(M144*CONFIG!$B$4,0)</f>
        <v>43.01</v>
      </c>
      <c r="O144" s="15">
        <f t="shared" si="6"/>
        <v>387.09</v>
      </c>
      <c r="P144" s="16" t="s">
        <v>23</v>
      </c>
      <c r="Q144" s="17"/>
    </row>
    <row r="145" ht="15.0" customHeight="1">
      <c r="A145" s="18">
        <v>46154.0</v>
      </c>
      <c r="B145" s="19" t="s">
        <v>19</v>
      </c>
      <c r="C145" s="19">
        <v>1234.0</v>
      </c>
      <c r="D145" s="20" t="s">
        <v>20</v>
      </c>
      <c r="E145" s="21" t="s">
        <v>29</v>
      </c>
      <c r="F145" s="20" t="s">
        <v>24</v>
      </c>
      <c r="G145" s="24"/>
      <c r="H145" s="24"/>
      <c r="I145" s="22">
        <v>126.0</v>
      </c>
      <c r="J145" s="24"/>
      <c r="K145" s="23">
        <v>126.0</v>
      </c>
      <c r="L145" s="13">
        <f>IFERROR(VLOOKUP(E145,PRODUCTOS!$A$4:$F$28,6,FALSE()),0)</f>
        <v>1.7</v>
      </c>
      <c r="M145" s="13">
        <f t="shared" si="5"/>
        <v>214.2</v>
      </c>
      <c r="N145" s="14">
        <f>IFERROR(M145*CONFIG!$B$4,0)</f>
        <v>21.42</v>
      </c>
      <c r="O145" s="15">
        <f t="shared" si="6"/>
        <v>192.78</v>
      </c>
      <c r="P145" s="16" t="s">
        <v>23</v>
      </c>
      <c r="Q145" s="17"/>
    </row>
    <row r="146" ht="15.0" customHeight="1">
      <c r="A146" s="18">
        <v>46154.0</v>
      </c>
      <c r="B146" s="19" t="s">
        <v>19</v>
      </c>
      <c r="C146" s="19">
        <v>1234.0</v>
      </c>
      <c r="D146" s="20" t="s">
        <v>31</v>
      </c>
      <c r="E146" s="21" t="s">
        <v>48</v>
      </c>
      <c r="F146" s="20" t="s">
        <v>40</v>
      </c>
      <c r="G146" s="22">
        <v>36.0</v>
      </c>
      <c r="H146" s="22">
        <v>54.0</v>
      </c>
      <c r="I146" s="22">
        <v>33.0</v>
      </c>
      <c r="J146" s="24"/>
      <c r="K146" s="23">
        <v>123.0</v>
      </c>
      <c r="L146" s="13">
        <f>IFERROR(VLOOKUP(E146,PRODUCTOS!$A$4:$F$28,6,FALSE()),0)</f>
        <v>0</v>
      </c>
      <c r="M146" s="13">
        <f t="shared" si="5"/>
        <v>0</v>
      </c>
      <c r="N146" s="14">
        <f>IFERROR(M146*CONFIG!$B$4,0)</f>
        <v>0</v>
      </c>
      <c r="O146" s="15">
        <f t="shared" si="6"/>
        <v>0</v>
      </c>
      <c r="P146" s="16" t="s">
        <v>23</v>
      </c>
      <c r="Q146" s="17"/>
    </row>
    <row r="147" ht="15.0" customHeight="1">
      <c r="A147" s="18">
        <v>46154.0</v>
      </c>
      <c r="B147" s="19" t="s">
        <v>19</v>
      </c>
      <c r="C147" s="19">
        <v>1234.0</v>
      </c>
      <c r="D147" s="20" t="s">
        <v>31</v>
      </c>
      <c r="E147" s="21" t="s">
        <v>48</v>
      </c>
      <c r="F147" s="20" t="s">
        <v>26</v>
      </c>
      <c r="G147" s="22">
        <v>32.0</v>
      </c>
      <c r="H147" s="22">
        <v>48.0</v>
      </c>
      <c r="I147" s="22">
        <v>32.0</v>
      </c>
      <c r="J147" s="24"/>
      <c r="K147" s="23">
        <v>112.0</v>
      </c>
      <c r="L147" s="13">
        <f>IFERROR(VLOOKUP(E147,PRODUCTOS!$A$4:$F$28,6,FALSE()),0)</f>
        <v>0</v>
      </c>
      <c r="M147" s="13">
        <f t="shared" si="5"/>
        <v>0</v>
      </c>
      <c r="N147" s="14">
        <f>IFERROR(M147*CONFIG!$B$4,0)</f>
        <v>0</v>
      </c>
      <c r="O147" s="15">
        <f t="shared" si="6"/>
        <v>0</v>
      </c>
      <c r="P147" s="16" t="s">
        <v>23</v>
      </c>
      <c r="Q147" s="17"/>
    </row>
    <row r="148" ht="15.0" customHeight="1">
      <c r="A148" s="18">
        <v>46154.0</v>
      </c>
      <c r="B148" s="19" t="s">
        <v>19</v>
      </c>
      <c r="C148" s="19">
        <v>1234.0</v>
      </c>
      <c r="D148" s="20" t="s">
        <v>31</v>
      </c>
      <c r="E148" s="21" t="s">
        <v>48</v>
      </c>
      <c r="F148" s="20" t="s">
        <v>34</v>
      </c>
      <c r="G148" s="24"/>
      <c r="H148" s="24"/>
      <c r="I148" s="22">
        <v>50.0</v>
      </c>
      <c r="J148" s="24"/>
      <c r="K148" s="23">
        <v>50.0</v>
      </c>
      <c r="L148" s="13">
        <f>IFERROR(VLOOKUP(E148,PRODUCTOS!$A$4:$F$28,6,FALSE()),0)</f>
        <v>0</v>
      </c>
      <c r="M148" s="13">
        <f t="shared" si="5"/>
        <v>0</v>
      </c>
      <c r="N148" s="14">
        <f>IFERROR(M148*CONFIG!$B$4,0)</f>
        <v>0</v>
      </c>
      <c r="O148" s="15">
        <f t="shared" si="6"/>
        <v>0</v>
      </c>
      <c r="P148" s="16" t="s">
        <v>23</v>
      </c>
      <c r="Q148" s="17"/>
    </row>
    <row r="149" ht="15.0" customHeight="1">
      <c r="A149" s="18"/>
      <c r="B149" s="19"/>
      <c r="C149" s="19"/>
      <c r="D149" s="20"/>
      <c r="E149" s="21"/>
      <c r="F149" s="20"/>
      <c r="G149" s="22"/>
      <c r="H149" s="22"/>
      <c r="I149" s="22"/>
      <c r="J149" s="22"/>
      <c r="K149" s="23"/>
      <c r="L149" s="13"/>
      <c r="M149" s="13"/>
      <c r="N149" s="14"/>
      <c r="O149" s="15"/>
      <c r="P149" s="16"/>
      <c r="Q149" s="17"/>
    </row>
    <row r="150" ht="15.0" customHeight="1">
      <c r="A150" s="18">
        <v>46155.0</v>
      </c>
      <c r="B150" s="19" t="s">
        <v>19</v>
      </c>
      <c r="C150" s="19">
        <v>1234.0</v>
      </c>
      <c r="D150" s="20" t="s">
        <v>20</v>
      </c>
      <c r="E150" s="21" t="s">
        <v>27</v>
      </c>
      <c r="F150" s="20" t="s">
        <v>30</v>
      </c>
      <c r="G150" s="22">
        <v>73.0</v>
      </c>
      <c r="H150" s="22">
        <v>116.0</v>
      </c>
      <c r="I150" s="22">
        <v>120.0</v>
      </c>
      <c r="J150" s="22">
        <v>77.0</v>
      </c>
      <c r="K150" s="23">
        <v>386.0</v>
      </c>
      <c r="L150" s="13">
        <f>IFERROR(VLOOKUP(E150,PRODUCTOS!$A$4:$F$28,6,FALSE()),0)</f>
        <v>1.7</v>
      </c>
      <c r="M150" s="13">
        <f t="shared" ref="M150:M162" si="7">IFERROR(K150*L150,0)</f>
        <v>656.2</v>
      </c>
      <c r="N150" s="14">
        <f>IFERROR(M150*CONFIG!$B$4,0)</f>
        <v>65.62</v>
      </c>
      <c r="O150" s="15">
        <f t="shared" ref="O150:O162" si="8">IFERROR(M150-N150,0)</f>
        <v>590.58</v>
      </c>
      <c r="P150" s="16" t="s">
        <v>23</v>
      </c>
      <c r="Q150" s="17"/>
    </row>
    <row r="151" ht="15.0" customHeight="1">
      <c r="A151" s="18">
        <v>46155.0</v>
      </c>
      <c r="B151" s="19" t="s">
        <v>19</v>
      </c>
      <c r="C151" s="19">
        <v>1234.0</v>
      </c>
      <c r="D151" s="20" t="s">
        <v>20</v>
      </c>
      <c r="E151" s="21" t="s">
        <v>45</v>
      </c>
      <c r="F151" s="20" t="s">
        <v>47</v>
      </c>
      <c r="G151" s="22">
        <v>82.0</v>
      </c>
      <c r="H151" s="24"/>
      <c r="I151" s="24"/>
      <c r="J151" s="22">
        <v>80.0</v>
      </c>
      <c r="K151" s="23">
        <v>162.0</v>
      </c>
      <c r="L151" s="13">
        <f>IFERROR(VLOOKUP(E151,PRODUCTOS!$A$4:$F$28,6,FALSE()),0)</f>
        <v>4</v>
      </c>
      <c r="M151" s="13">
        <f t="shared" si="7"/>
        <v>648</v>
      </c>
      <c r="N151" s="14">
        <f>IFERROR(M151*CONFIG!$B$4,0)</f>
        <v>64.8</v>
      </c>
      <c r="O151" s="15">
        <f t="shared" si="8"/>
        <v>583.2</v>
      </c>
      <c r="P151" s="16" t="s">
        <v>23</v>
      </c>
      <c r="Q151" s="17"/>
    </row>
    <row r="152" ht="15.0" customHeight="1">
      <c r="A152" s="18">
        <v>46155.0</v>
      </c>
      <c r="B152" s="19" t="s">
        <v>19</v>
      </c>
      <c r="C152" s="19">
        <v>1234.0</v>
      </c>
      <c r="D152" s="20" t="s">
        <v>31</v>
      </c>
      <c r="E152" s="21" t="s">
        <v>48</v>
      </c>
      <c r="F152" s="20" t="s">
        <v>34</v>
      </c>
      <c r="G152" s="22">
        <v>49.0</v>
      </c>
      <c r="H152" s="22">
        <v>75.0</v>
      </c>
      <c r="I152" s="24"/>
      <c r="J152" s="24"/>
      <c r="K152" s="23">
        <v>124.0</v>
      </c>
      <c r="L152" s="13">
        <f>IFERROR(VLOOKUP(E152,PRODUCTOS!$A$4:$F$28,6,FALSE()),0)</f>
        <v>0</v>
      </c>
      <c r="M152" s="13">
        <f t="shared" si="7"/>
        <v>0</v>
      </c>
      <c r="N152" s="14">
        <f>IFERROR(M152*CONFIG!$B$4,0)</f>
        <v>0</v>
      </c>
      <c r="O152" s="15">
        <f t="shared" si="8"/>
        <v>0</v>
      </c>
      <c r="P152" s="16" t="s">
        <v>23</v>
      </c>
      <c r="Q152" s="17"/>
    </row>
    <row r="153" ht="15.0" customHeight="1">
      <c r="A153" s="18">
        <v>46155.0</v>
      </c>
      <c r="B153" s="19" t="s">
        <v>19</v>
      </c>
      <c r="C153" s="19">
        <v>1234.0</v>
      </c>
      <c r="D153" s="20" t="s">
        <v>20</v>
      </c>
      <c r="E153" s="21" t="s">
        <v>27</v>
      </c>
      <c r="F153" s="20" t="s">
        <v>39</v>
      </c>
      <c r="G153" s="22">
        <v>197.0</v>
      </c>
      <c r="H153" s="22">
        <v>208.0</v>
      </c>
      <c r="I153" s="22">
        <v>149.0</v>
      </c>
      <c r="J153" s="22">
        <v>200.0</v>
      </c>
      <c r="K153" s="23">
        <v>754.0</v>
      </c>
      <c r="L153" s="13">
        <f>IFERROR(VLOOKUP(E153,PRODUCTOS!$A$4:$F$28,6,FALSE()),0)</f>
        <v>1.7</v>
      </c>
      <c r="M153" s="13">
        <f t="shared" si="7"/>
        <v>1281.8</v>
      </c>
      <c r="N153" s="14">
        <f>IFERROR(M153*CONFIG!$B$4,0)</f>
        <v>128.18</v>
      </c>
      <c r="O153" s="15">
        <f t="shared" si="8"/>
        <v>1153.62</v>
      </c>
      <c r="P153" s="25"/>
      <c r="Q153" s="17"/>
    </row>
    <row r="154" ht="15.0" customHeight="1">
      <c r="A154" s="18">
        <v>46155.0</v>
      </c>
      <c r="B154" s="19" t="s">
        <v>19</v>
      </c>
      <c r="C154" s="19">
        <v>1234.0</v>
      </c>
      <c r="D154" s="20" t="s">
        <v>20</v>
      </c>
      <c r="E154" s="21" t="s">
        <v>27</v>
      </c>
      <c r="F154" s="20" t="s">
        <v>39</v>
      </c>
      <c r="G154" s="24"/>
      <c r="H154" s="22">
        <v>90.0</v>
      </c>
      <c r="I154" s="24"/>
      <c r="J154" s="24"/>
      <c r="K154" s="23">
        <v>90.0</v>
      </c>
      <c r="L154" s="13">
        <f>IFERROR(VLOOKUP(E154,PRODUCTOS!$A$4:$F$28,6,FALSE()),0)</f>
        <v>1.7</v>
      </c>
      <c r="M154" s="13">
        <f t="shared" si="7"/>
        <v>153</v>
      </c>
      <c r="N154" s="14">
        <f>IFERROR(M154*CONFIG!$B$4,0)</f>
        <v>15.3</v>
      </c>
      <c r="O154" s="15">
        <f t="shared" si="8"/>
        <v>137.7</v>
      </c>
      <c r="P154" s="16" t="s">
        <v>23</v>
      </c>
      <c r="Q154" s="17"/>
    </row>
    <row r="155" ht="15.0" customHeight="1">
      <c r="A155" s="18">
        <v>46155.0</v>
      </c>
      <c r="B155" s="19" t="s">
        <v>19</v>
      </c>
      <c r="C155" s="19">
        <v>1234.0</v>
      </c>
      <c r="D155" s="20" t="s">
        <v>20</v>
      </c>
      <c r="E155" s="21" t="s">
        <v>25</v>
      </c>
      <c r="F155" s="20" t="s">
        <v>35</v>
      </c>
      <c r="G155" s="22">
        <v>51.0</v>
      </c>
      <c r="H155" s="22">
        <v>104.0</v>
      </c>
      <c r="I155" s="22">
        <v>104.0</v>
      </c>
      <c r="J155" s="22">
        <v>51.0</v>
      </c>
      <c r="K155" s="23">
        <v>310.0</v>
      </c>
      <c r="L155" s="13">
        <f>IFERROR(VLOOKUP(E155,PRODUCTOS!$A$4:$F$28,6,FALSE()),0)</f>
        <v>4</v>
      </c>
      <c r="M155" s="13">
        <f t="shared" si="7"/>
        <v>1240</v>
      </c>
      <c r="N155" s="14">
        <f>IFERROR(M155*CONFIG!$B$4,0)</f>
        <v>124</v>
      </c>
      <c r="O155" s="15">
        <f t="shared" si="8"/>
        <v>1116</v>
      </c>
      <c r="P155" s="16" t="s">
        <v>23</v>
      </c>
      <c r="Q155" s="17"/>
    </row>
    <row r="156" ht="15.0" customHeight="1">
      <c r="A156" s="18">
        <v>46155.0</v>
      </c>
      <c r="B156" s="19" t="s">
        <v>19</v>
      </c>
      <c r="C156" s="19">
        <v>1234.0</v>
      </c>
      <c r="D156" s="20" t="s">
        <v>20</v>
      </c>
      <c r="E156" s="21" t="s">
        <v>27</v>
      </c>
      <c r="F156" s="20" t="s">
        <v>39</v>
      </c>
      <c r="G156" s="24"/>
      <c r="H156" s="24"/>
      <c r="I156" s="22">
        <v>146.0</v>
      </c>
      <c r="J156" s="24"/>
      <c r="K156" s="23">
        <v>146.0</v>
      </c>
      <c r="L156" s="13">
        <f>IFERROR(VLOOKUP(E156,PRODUCTOS!$A$4:$F$28,6,FALSE()),0)</f>
        <v>1.7</v>
      </c>
      <c r="M156" s="13">
        <f t="shared" si="7"/>
        <v>248.2</v>
      </c>
      <c r="N156" s="14">
        <f>IFERROR(M156*CONFIG!$B$4,0)</f>
        <v>24.82</v>
      </c>
      <c r="O156" s="15">
        <f t="shared" si="8"/>
        <v>223.38</v>
      </c>
      <c r="P156" s="16" t="s">
        <v>23</v>
      </c>
      <c r="Q156" s="17"/>
    </row>
    <row r="157" ht="15.0" customHeight="1">
      <c r="A157" s="18">
        <v>46155.0</v>
      </c>
      <c r="B157" s="19" t="s">
        <v>19</v>
      </c>
      <c r="C157" s="19">
        <v>1234.0</v>
      </c>
      <c r="D157" s="20" t="s">
        <v>20</v>
      </c>
      <c r="E157" s="21" t="s">
        <v>29</v>
      </c>
      <c r="F157" s="20" t="s">
        <v>34</v>
      </c>
      <c r="G157" s="24"/>
      <c r="H157" s="22">
        <v>121.0</v>
      </c>
      <c r="I157" s="24"/>
      <c r="J157" s="24"/>
      <c r="K157" s="23">
        <v>121.0</v>
      </c>
      <c r="L157" s="13">
        <f>IFERROR(VLOOKUP(E157,PRODUCTOS!$A$4:$F$28,6,FALSE()),0)</f>
        <v>1.7</v>
      </c>
      <c r="M157" s="13">
        <f t="shared" si="7"/>
        <v>205.7</v>
      </c>
      <c r="N157" s="14">
        <f>IFERROR(M157*CONFIG!$B$4,0)</f>
        <v>20.57</v>
      </c>
      <c r="O157" s="15">
        <f t="shared" si="8"/>
        <v>185.13</v>
      </c>
      <c r="P157" s="16" t="s">
        <v>23</v>
      </c>
      <c r="Q157" s="17"/>
    </row>
    <row r="158" ht="15.0" customHeight="1">
      <c r="A158" s="18">
        <v>46155.0</v>
      </c>
      <c r="B158" s="19" t="s">
        <v>19</v>
      </c>
      <c r="C158" s="19">
        <v>1234.0</v>
      </c>
      <c r="D158" s="20" t="s">
        <v>31</v>
      </c>
      <c r="E158" s="21" t="s">
        <v>48</v>
      </c>
      <c r="F158" s="20" t="s">
        <v>46</v>
      </c>
      <c r="G158" s="24"/>
      <c r="H158" s="22">
        <v>51.0</v>
      </c>
      <c r="I158" s="22">
        <v>35.0</v>
      </c>
      <c r="J158" s="24"/>
      <c r="K158" s="23">
        <v>86.0</v>
      </c>
      <c r="L158" s="13">
        <f>IFERROR(VLOOKUP(E158,PRODUCTOS!$A$4:$F$28,6,FALSE()),0)</f>
        <v>0</v>
      </c>
      <c r="M158" s="13">
        <f t="shared" si="7"/>
        <v>0</v>
      </c>
      <c r="N158" s="14">
        <f>IFERROR(M158*CONFIG!$B$4,0)</f>
        <v>0</v>
      </c>
      <c r="O158" s="15">
        <f t="shared" si="8"/>
        <v>0</v>
      </c>
      <c r="P158" s="16" t="s">
        <v>23</v>
      </c>
      <c r="Q158" s="17"/>
    </row>
    <row r="159" ht="15.0" customHeight="1">
      <c r="A159" s="18">
        <v>46155.0</v>
      </c>
      <c r="B159" s="19" t="s">
        <v>19</v>
      </c>
      <c r="C159" s="19">
        <v>1234.0</v>
      </c>
      <c r="D159" s="20" t="s">
        <v>20</v>
      </c>
      <c r="E159" s="21" t="s">
        <v>29</v>
      </c>
      <c r="F159" s="20" t="s">
        <v>46</v>
      </c>
      <c r="G159" s="24"/>
      <c r="H159" s="24"/>
      <c r="I159" s="24"/>
      <c r="J159" s="22">
        <v>64.0</v>
      </c>
      <c r="K159" s="23">
        <v>64.0</v>
      </c>
      <c r="L159" s="13">
        <f>IFERROR(VLOOKUP(E159,PRODUCTOS!$A$4:$F$28,6,FALSE()),0)</f>
        <v>1.7</v>
      </c>
      <c r="M159" s="13">
        <f t="shared" si="7"/>
        <v>108.8</v>
      </c>
      <c r="N159" s="14">
        <f>IFERROR(M159*CONFIG!$B$4,0)</f>
        <v>10.88</v>
      </c>
      <c r="O159" s="15">
        <f t="shared" si="8"/>
        <v>97.92</v>
      </c>
      <c r="P159" s="16" t="s">
        <v>23</v>
      </c>
      <c r="Q159" s="17"/>
    </row>
    <row r="160" ht="15.0" customHeight="1">
      <c r="A160" s="18">
        <v>46155.0</v>
      </c>
      <c r="B160" s="19" t="s">
        <v>19</v>
      </c>
      <c r="C160" s="19">
        <v>1234.0</v>
      </c>
      <c r="D160" s="20" t="s">
        <v>20</v>
      </c>
      <c r="E160" s="21" t="s">
        <v>27</v>
      </c>
      <c r="F160" s="20" t="s">
        <v>28</v>
      </c>
      <c r="G160" s="24"/>
      <c r="H160" s="22">
        <v>202.0</v>
      </c>
      <c r="I160" s="24"/>
      <c r="J160" s="22">
        <v>134.0</v>
      </c>
      <c r="K160" s="23">
        <v>336.0</v>
      </c>
      <c r="L160" s="13">
        <f>IFERROR(VLOOKUP(E160,PRODUCTOS!$A$4:$F$28,6,FALSE()),0)</f>
        <v>1.7</v>
      </c>
      <c r="M160" s="13">
        <f t="shared" si="7"/>
        <v>571.2</v>
      </c>
      <c r="N160" s="14">
        <f>IFERROR(M160*CONFIG!$B$4,0)</f>
        <v>57.12</v>
      </c>
      <c r="O160" s="15">
        <f t="shared" si="8"/>
        <v>514.08</v>
      </c>
      <c r="P160" s="16" t="s">
        <v>23</v>
      </c>
      <c r="Q160" s="17"/>
    </row>
    <row r="161" ht="15.0" customHeight="1">
      <c r="A161" s="18">
        <v>46155.0</v>
      </c>
      <c r="B161" s="19" t="s">
        <v>19</v>
      </c>
      <c r="C161" s="19">
        <v>1234.0</v>
      </c>
      <c r="D161" s="20" t="s">
        <v>20</v>
      </c>
      <c r="E161" s="21" t="s">
        <v>25</v>
      </c>
      <c r="F161" s="20" t="s">
        <v>22</v>
      </c>
      <c r="G161" s="22">
        <v>63.0</v>
      </c>
      <c r="H161" s="22">
        <v>141.0</v>
      </c>
      <c r="I161" s="22">
        <v>133.0</v>
      </c>
      <c r="J161" s="22">
        <v>69.0</v>
      </c>
      <c r="K161" s="23">
        <v>406.0</v>
      </c>
      <c r="L161" s="13">
        <f>IFERROR(VLOOKUP(E161,PRODUCTOS!$A$4:$F$28,6,FALSE()),0)</f>
        <v>4</v>
      </c>
      <c r="M161" s="13">
        <f t="shared" si="7"/>
        <v>1624</v>
      </c>
      <c r="N161" s="14">
        <f>IFERROR(M161*CONFIG!$B$4,0)</f>
        <v>162.4</v>
      </c>
      <c r="O161" s="15">
        <f t="shared" si="8"/>
        <v>1461.6</v>
      </c>
      <c r="P161" s="16" t="s">
        <v>23</v>
      </c>
      <c r="Q161" s="17"/>
    </row>
    <row r="162" ht="15.0" customHeight="1">
      <c r="A162" s="18">
        <v>46155.0</v>
      </c>
      <c r="B162" s="19" t="s">
        <v>19</v>
      </c>
      <c r="C162" s="19">
        <v>1234.0</v>
      </c>
      <c r="D162" s="20" t="s">
        <v>20</v>
      </c>
      <c r="E162" s="21" t="s">
        <v>29</v>
      </c>
      <c r="F162" s="20" t="s">
        <v>34</v>
      </c>
      <c r="G162" s="22">
        <v>79.0</v>
      </c>
      <c r="H162" s="22">
        <v>7.0</v>
      </c>
      <c r="I162" s="24"/>
      <c r="J162" s="24"/>
      <c r="K162" s="23">
        <v>86.0</v>
      </c>
      <c r="L162" s="13">
        <f>IFERROR(VLOOKUP(E162,PRODUCTOS!$A$4:$F$28,6,FALSE()),0)</f>
        <v>1.7</v>
      </c>
      <c r="M162" s="13">
        <f t="shared" si="7"/>
        <v>146.2</v>
      </c>
      <c r="N162" s="14">
        <f>IFERROR(M162*CONFIG!$B$4,0)</f>
        <v>14.62</v>
      </c>
      <c r="O162" s="15">
        <f t="shared" si="8"/>
        <v>131.58</v>
      </c>
      <c r="P162" s="16" t="s">
        <v>23</v>
      </c>
      <c r="Q162" s="17"/>
    </row>
    <row r="163" ht="15.0" customHeight="1">
      <c r="A163" s="18"/>
      <c r="B163" s="19"/>
      <c r="C163" s="19"/>
      <c r="D163" s="20"/>
      <c r="E163" s="21"/>
      <c r="F163" s="20"/>
      <c r="G163" s="24"/>
      <c r="H163" s="22"/>
      <c r="I163" s="22"/>
      <c r="J163" s="24"/>
      <c r="K163" s="23"/>
      <c r="L163" s="13"/>
      <c r="M163" s="13"/>
      <c r="N163" s="14"/>
      <c r="O163" s="15"/>
      <c r="P163" s="16"/>
      <c r="Q163" s="17"/>
    </row>
    <row r="164" ht="15.0" customHeight="1">
      <c r="A164" s="18">
        <v>46156.0</v>
      </c>
      <c r="B164" s="19" t="s">
        <v>19</v>
      </c>
      <c r="C164" s="19">
        <v>1234.0</v>
      </c>
      <c r="D164" s="20" t="s">
        <v>31</v>
      </c>
      <c r="E164" s="21" t="s">
        <v>32</v>
      </c>
      <c r="F164" s="20" t="s">
        <v>35</v>
      </c>
      <c r="G164" s="24">
        <v>37.0</v>
      </c>
      <c r="H164" s="22"/>
      <c r="I164" s="22">
        <v>39.0</v>
      </c>
      <c r="J164" s="24"/>
      <c r="K164" s="23">
        <v>76.0</v>
      </c>
      <c r="L164" s="13">
        <f>IFERROR(VLOOKUP(E164,PRODUCTOS!$A$4:$F$28,6,FALSE()),0)</f>
        <v>6</v>
      </c>
      <c r="M164" s="13">
        <f t="shared" ref="M164:M505" si="9">IFERROR(K164*L164,0)</f>
        <v>456</v>
      </c>
      <c r="N164" s="14">
        <f>IFERROR(M164*CONFIG!$B$4,0)</f>
        <v>45.6</v>
      </c>
      <c r="O164" s="15">
        <f t="shared" ref="O164:O505" si="10">IFERROR(M164-N164,0)</f>
        <v>410.4</v>
      </c>
      <c r="P164" s="16" t="s">
        <v>23</v>
      </c>
      <c r="Q164" s="17"/>
    </row>
    <row r="165" ht="15.0" customHeight="1">
      <c r="A165" s="18">
        <v>46156.0</v>
      </c>
      <c r="B165" s="19" t="s">
        <v>19</v>
      </c>
      <c r="C165" s="19">
        <v>1234.0</v>
      </c>
      <c r="D165" s="20" t="s">
        <v>31</v>
      </c>
      <c r="E165" s="21" t="s">
        <v>32</v>
      </c>
      <c r="F165" s="20" t="s">
        <v>28</v>
      </c>
      <c r="G165" s="24">
        <v>15.0</v>
      </c>
      <c r="H165" s="24">
        <v>8.0</v>
      </c>
      <c r="I165" s="24">
        <v>15.0</v>
      </c>
      <c r="J165" s="22"/>
      <c r="K165" s="23">
        <v>38.0</v>
      </c>
      <c r="L165" s="13">
        <f>IFERROR(VLOOKUP(E165,PRODUCTOS!$A$4:$F$28,6,FALSE()),0)</f>
        <v>6</v>
      </c>
      <c r="M165" s="13">
        <f t="shared" si="9"/>
        <v>228</v>
      </c>
      <c r="N165" s="14">
        <f>IFERROR(M165*CONFIG!$B$4,0)</f>
        <v>22.8</v>
      </c>
      <c r="O165" s="15">
        <f t="shared" si="10"/>
        <v>205.2</v>
      </c>
      <c r="P165" s="16" t="s">
        <v>23</v>
      </c>
      <c r="Q165" s="17"/>
    </row>
    <row r="166" ht="15.0" customHeight="1">
      <c r="A166" s="18">
        <v>46156.0</v>
      </c>
      <c r="B166" s="19" t="s">
        <v>19</v>
      </c>
      <c r="C166" s="19">
        <v>1234.0</v>
      </c>
      <c r="D166" s="20" t="s">
        <v>20</v>
      </c>
      <c r="E166" s="21" t="s">
        <v>27</v>
      </c>
      <c r="F166" s="20" t="s">
        <v>28</v>
      </c>
      <c r="G166" s="24">
        <v>134.0</v>
      </c>
      <c r="H166" s="22"/>
      <c r="I166" s="24">
        <v>200.0</v>
      </c>
      <c r="J166" s="22"/>
      <c r="K166" s="23">
        <v>334.0</v>
      </c>
      <c r="L166" s="13">
        <f>IFERROR(VLOOKUP(E166,PRODUCTOS!$A$4:$F$28,6,FALSE()),0)</f>
        <v>1.7</v>
      </c>
      <c r="M166" s="13">
        <f t="shared" si="9"/>
        <v>567.8</v>
      </c>
      <c r="N166" s="14">
        <f>IFERROR(M166*CONFIG!$B$4,0)</f>
        <v>56.78</v>
      </c>
      <c r="O166" s="15">
        <f t="shared" si="10"/>
        <v>511.02</v>
      </c>
      <c r="P166" s="16" t="s">
        <v>23</v>
      </c>
      <c r="Q166" s="17"/>
    </row>
    <row r="167" ht="15.0" customHeight="1">
      <c r="A167" s="18">
        <v>46156.0</v>
      </c>
      <c r="B167" s="19" t="s">
        <v>19</v>
      </c>
      <c r="C167" s="19">
        <v>1234.0</v>
      </c>
      <c r="D167" s="20" t="s">
        <v>20</v>
      </c>
      <c r="E167" s="21" t="s">
        <v>27</v>
      </c>
      <c r="F167" s="20" t="s">
        <v>46</v>
      </c>
      <c r="G167" s="22">
        <v>98.0</v>
      </c>
      <c r="H167" s="22">
        <v>150.0</v>
      </c>
      <c r="I167" s="22">
        <v>149.0</v>
      </c>
      <c r="J167" s="22">
        <v>99.0</v>
      </c>
      <c r="K167" s="23">
        <v>496.0</v>
      </c>
      <c r="L167" s="13">
        <f>IFERROR(VLOOKUP(E167,PRODUCTOS!$A$4:$F$28,6,FALSE()),0)</f>
        <v>1.7</v>
      </c>
      <c r="M167" s="13">
        <f t="shared" si="9"/>
        <v>843.2</v>
      </c>
      <c r="N167" s="14">
        <f>IFERROR(M167*CONFIG!$B$4,0)</f>
        <v>84.32</v>
      </c>
      <c r="O167" s="15">
        <f t="shared" si="10"/>
        <v>758.88</v>
      </c>
      <c r="P167" s="16" t="s">
        <v>23</v>
      </c>
      <c r="Q167" s="17"/>
    </row>
    <row r="168" ht="15.0" customHeight="1">
      <c r="A168" s="18">
        <v>46156.0</v>
      </c>
      <c r="B168" s="19" t="s">
        <v>19</v>
      </c>
      <c r="C168" s="19">
        <v>1234.0</v>
      </c>
      <c r="D168" s="20" t="s">
        <v>20</v>
      </c>
      <c r="E168" s="21" t="s">
        <v>29</v>
      </c>
      <c r="F168" s="20" t="s">
        <v>24</v>
      </c>
      <c r="G168" s="22"/>
      <c r="H168" s="22">
        <v>113.0</v>
      </c>
      <c r="I168" s="24"/>
      <c r="J168" s="24"/>
      <c r="K168" s="23">
        <v>113.0</v>
      </c>
      <c r="L168" s="13">
        <f>IFERROR(VLOOKUP(E168,PRODUCTOS!$A$4:$F$28,6,FALSE()),0)</f>
        <v>1.7</v>
      </c>
      <c r="M168" s="13">
        <f t="shared" si="9"/>
        <v>192.1</v>
      </c>
      <c r="N168" s="14">
        <f>IFERROR(M168*CONFIG!$B$4,0)</f>
        <v>19.21</v>
      </c>
      <c r="O168" s="15">
        <f t="shared" si="10"/>
        <v>172.89</v>
      </c>
      <c r="P168" s="16" t="s">
        <v>23</v>
      </c>
      <c r="Q168" s="17"/>
    </row>
    <row r="169" ht="15.0" customHeight="1">
      <c r="A169" s="18">
        <v>46156.0</v>
      </c>
      <c r="B169" s="19" t="s">
        <v>19</v>
      </c>
      <c r="C169" s="19">
        <v>1234.0</v>
      </c>
      <c r="D169" s="20" t="s">
        <v>20</v>
      </c>
      <c r="E169" s="21" t="s">
        <v>27</v>
      </c>
      <c r="F169" s="20" t="s">
        <v>24</v>
      </c>
      <c r="G169" s="24">
        <v>134.0</v>
      </c>
      <c r="H169" s="22">
        <v>214.0</v>
      </c>
      <c r="I169" s="22">
        <v>210.0</v>
      </c>
      <c r="J169" s="24">
        <v>138.0</v>
      </c>
      <c r="K169" s="23">
        <v>696.0</v>
      </c>
      <c r="L169" s="13">
        <f>IFERROR(VLOOKUP(E169,PRODUCTOS!$A$4:$F$28,6,FALSE()),0)</f>
        <v>1.7</v>
      </c>
      <c r="M169" s="13">
        <f t="shared" si="9"/>
        <v>1183.2</v>
      </c>
      <c r="N169" s="14">
        <f>IFERROR(M169*CONFIG!$B$4,0)</f>
        <v>118.32</v>
      </c>
      <c r="O169" s="15">
        <f t="shared" si="10"/>
        <v>1064.88</v>
      </c>
      <c r="P169" s="16" t="s">
        <v>23</v>
      </c>
      <c r="Q169" s="17"/>
    </row>
    <row r="170" ht="15.0" customHeight="1">
      <c r="A170" s="18">
        <v>46156.0</v>
      </c>
      <c r="B170" s="19" t="s">
        <v>19</v>
      </c>
      <c r="C170" s="19">
        <v>1234.0</v>
      </c>
      <c r="D170" s="20" t="s">
        <v>20</v>
      </c>
      <c r="E170" s="21" t="s">
        <v>49</v>
      </c>
      <c r="F170" s="20" t="s">
        <v>24</v>
      </c>
      <c r="G170" s="24">
        <v>41.0</v>
      </c>
      <c r="H170" s="24"/>
      <c r="I170" s="24">
        <v>83.0</v>
      </c>
      <c r="J170" s="22"/>
      <c r="K170" s="23">
        <v>124.0</v>
      </c>
      <c r="L170" s="13">
        <f>IFERROR(VLOOKUP(E170,PRODUCTOS!$A$4:$F$28,6,FALSE()),0)</f>
        <v>2</v>
      </c>
      <c r="M170" s="13">
        <f t="shared" si="9"/>
        <v>248</v>
      </c>
      <c r="N170" s="14">
        <f>IFERROR(M170*CONFIG!$B$4,0)</f>
        <v>24.8</v>
      </c>
      <c r="O170" s="15">
        <f t="shared" si="10"/>
        <v>223.2</v>
      </c>
      <c r="P170" s="16" t="s">
        <v>23</v>
      </c>
      <c r="Q170" s="17"/>
    </row>
    <row r="171" ht="15.0" customHeight="1">
      <c r="A171" s="18">
        <v>46156.0</v>
      </c>
      <c r="B171" s="19" t="s">
        <v>19</v>
      </c>
      <c r="C171" s="19">
        <v>1234.0</v>
      </c>
      <c r="D171" s="9" t="s">
        <v>31</v>
      </c>
      <c r="E171" s="21" t="s">
        <v>32</v>
      </c>
      <c r="F171" s="20" t="s">
        <v>40</v>
      </c>
      <c r="G171" s="24">
        <v>18.0</v>
      </c>
      <c r="H171" s="22"/>
      <c r="I171" s="24">
        <v>18.0</v>
      </c>
      <c r="J171" s="22"/>
      <c r="K171" s="23">
        <v>36.0</v>
      </c>
      <c r="L171" s="13">
        <f>IFERROR(VLOOKUP(E171,PRODUCTOS!$A$4:$F$28,6,FALSE()),0)</f>
        <v>6</v>
      </c>
      <c r="M171" s="13">
        <f t="shared" si="9"/>
        <v>216</v>
      </c>
      <c r="N171" s="14">
        <f>IFERROR(M171*CONFIG!$B$4,0)</f>
        <v>21.6</v>
      </c>
      <c r="O171" s="15">
        <f t="shared" si="10"/>
        <v>194.4</v>
      </c>
      <c r="P171" s="16" t="s">
        <v>23</v>
      </c>
      <c r="Q171" s="17"/>
    </row>
    <row r="172" ht="15.0" customHeight="1">
      <c r="A172" s="18">
        <v>46156.0</v>
      </c>
      <c r="B172" s="19" t="s">
        <v>19</v>
      </c>
      <c r="C172" s="19">
        <v>1234.0</v>
      </c>
      <c r="D172" s="9" t="s">
        <v>31</v>
      </c>
      <c r="E172" s="21" t="s">
        <v>32</v>
      </c>
      <c r="F172" s="20" t="s">
        <v>35</v>
      </c>
      <c r="G172" s="22"/>
      <c r="H172" s="22">
        <v>20.0</v>
      </c>
      <c r="I172" s="22"/>
      <c r="J172" s="22"/>
      <c r="K172" s="23">
        <v>20.0</v>
      </c>
      <c r="L172" s="13">
        <f>IFERROR(VLOOKUP(E172,PRODUCTOS!$A$4:$F$28,6,FALSE()),0)</f>
        <v>6</v>
      </c>
      <c r="M172" s="13">
        <f t="shared" si="9"/>
        <v>120</v>
      </c>
      <c r="N172" s="14">
        <f>IFERROR(M172*CONFIG!$B$4,0)</f>
        <v>12</v>
      </c>
      <c r="O172" s="15">
        <f t="shared" si="10"/>
        <v>108</v>
      </c>
      <c r="P172" s="16" t="s">
        <v>23</v>
      </c>
      <c r="Q172" s="17"/>
    </row>
    <row r="173" ht="15.0" customHeight="1">
      <c r="A173" s="18">
        <v>46156.0</v>
      </c>
      <c r="B173" s="19" t="s">
        <v>19</v>
      </c>
      <c r="C173" s="19">
        <v>1234.0</v>
      </c>
      <c r="D173" s="9" t="s">
        <v>31</v>
      </c>
      <c r="E173" s="21" t="s">
        <v>32</v>
      </c>
      <c r="F173" s="20" t="s">
        <v>30</v>
      </c>
      <c r="G173" s="22">
        <v>43.0</v>
      </c>
      <c r="H173" s="22">
        <v>21.0</v>
      </c>
      <c r="I173" s="24">
        <v>41.0</v>
      </c>
      <c r="J173" s="24"/>
      <c r="K173" s="23">
        <v>105.0</v>
      </c>
      <c r="L173" s="13">
        <f>IFERROR(VLOOKUP(E173,PRODUCTOS!$A$4:$F$28,6,FALSE()),0)</f>
        <v>6</v>
      </c>
      <c r="M173" s="13">
        <f t="shared" si="9"/>
        <v>630</v>
      </c>
      <c r="N173" s="14">
        <f>IFERROR(M173*CONFIG!$B$4,0)</f>
        <v>63</v>
      </c>
      <c r="O173" s="15">
        <f t="shared" si="10"/>
        <v>567</v>
      </c>
      <c r="P173" s="16" t="s">
        <v>23</v>
      </c>
      <c r="Q173" s="17"/>
    </row>
    <row r="174" ht="15.0" customHeight="1">
      <c r="A174" s="26"/>
      <c r="B174" s="25"/>
      <c r="C174" s="25"/>
      <c r="D174" s="17"/>
      <c r="E174" s="17"/>
      <c r="F174" s="17"/>
      <c r="G174" s="27"/>
      <c r="H174" s="27"/>
      <c r="I174" s="27"/>
      <c r="J174" s="27"/>
      <c r="K174" s="28">
        <f>IFERROR(G174+H174+I174+J174,0)</f>
        <v>0</v>
      </c>
      <c r="L174" s="13">
        <f>IFERROR(VLOOKUP(E174,PRODUCTOS!$A$4:$F$28,6,FALSE()),0)</f>
        <v>0</v>
      </c>
      <c r="M174" s="13">
        <f t="shared" si="9"/>
        <v>0</v>
      </c>
      <c r="N174" s="14">
        <f>IFERROR(M174*CONFIG!$B$4,0)</f>
        <v>0</v>
      </c>
      <c r="O174" s="15">
        <f t="shared" si="10"/>
        <v>0</v>
      </c>
      <c r="P174" s="25"/>
      <c r="Q174" s="17"/>
    </row>
    <row r="175" ht="15.0" customHeight="1">
      <c r="A175" s="29">
        <v>46157.0</v>
      </c>
      <c r="B175" s="19" t="s">
        <v>19</v>
      </c>
      <c r="C175" s="19">
        <v>1234.0</v>
      </c>
      <c r="D175" s="9" t="s">
        <v>31</v>
      </c>
      <c r="E175" s="21" t="s">
        <v>32</v>
      </c>
      <c r="F175" s="21" t="s">
        <v>40</v>
      </c>
      <c r="G175" s="21"/>
      <c r="H175" s="21">
        <v>11.0</v>
      </c>
      <c r="I175" s="21"/>
      <c r="J175" s="21"/>
      <c r="K175" s="23">
        <v>11.0</v>
      </c>
      <c r="L175" s="13">
        <f>IFERROR(VLOOKUP(E175,PRODUCTOS!$A$4:$F$28,6,FALSE()),0)</f>
        <v>6</v>
      </c>
      <c r="M175" s="13">
        <f t="shared" si="9"/>
        <v>66</v>
      </c>
      <c r="N175" s="14">
        <f>IFERROR(M175*CONFIG!$B$4,0)</f>
        <v>6.6</v>
      </c>
      <c r="O175" s="15">
        <f t="shared" si="10"/>
        <v>59.4</v>
      </c>
      <c r="P175" s="16" t="s">
        <v>23</v>
      </c>
      <c r="Q175" s="17"/>
    </row>
    <row r="176" ht="15.0" customHeight="1">
      <c r="A176" s="29">
        <v>46157.0</v>
      </c>
      <c r="B176" s="19" t="s">
        <v>19</v>
      </c>
      <c r="C176" s="19">
        <v>1234.0</v>
      </c>
      <c r="D176" s="9" t="s">
        <v>31</v>
      </c>
      <c r="E176" s="21" t="s">
        <v>32</v>
      </c>
      <c r="F176" s="21" t="s">
        <v>46</v>
      </c>
      <c r="G176" s="21">
        <v>91.0</v>
      </c>
      <c r="H176" s="21">
        <v>45.0</v>
      </c>
      <c r="I176" s="21">
        <v>90.0</v>
      </c>
      <c r="J176" s="21"/>
      <c r="K176" s="23">
        <v>226.0</v>
      </c>
      <c r="L176" s="13">
        <f>IFERROR(VLOOKUP(E176,PRODUCTOS!$A$4:$F$28,6,FALSE()),0)</f>
        <v>6</v>
      </c>
      <c r="M176" s="13">
        <f t="shared" si="9"/>
        <v>1356</v>
      </c>
      <c r="N176" s="14">
        <f>IFERROR(M176*CONFIG!$B$4,0)</f>
        <v>135.6</v>
      </c>
      <c r="O176" s="15">
        <f t="shared" si="10"/>
        <v>1220.4</v>
      </c>
      <c r="P176" s="16" t="s">
        <v>23</v>
      </c>
      <c r="Q176" s="17"/>
    </row>
    <row r="177" ht="15.0" customHeight="1">
      <c r="A177" s="29">
        <v>46157.0</v>
      </c>
      <c r="B177" s="19" t="s">
        <v>19</v>
      </c>
      <c r="C177" s="19">
        <v>1234.0</v>
      </c>
      <c r="D177" s="9" t="s">
        <v>20</v>
      </c>
      <c r="E177" s="21" t="s">
        <v>49</v>
      </c>
      <c r="F177" s="21" t="s">
        <v>24</v>
      </c>
      <c r="G177" s="21"/>
      <c r="H177" s="21">
        <v>84.0</v>
      </c>
      <c r="I177" s="21"/>
      <c r="J177" s="21">
        <v>41.0</v>
      </c>
      <c r="K177" s="23">
        <v>125.0</v>
      </c>
      <c r="L177" s="13">
        <f>IFERROR(VLOOKUP(E177,PRODUCTOS!$A$4:$F$28,6,FALSE()),0)</f>
        <v>2</v>
      </c>
      <c r="M177" s="13">
        <f t="shared" si="9"/>
        <v>250</v>
      </c>
      <c r="N177" s="14">
        <f>IFERROR(M177*CONFIG!$B$4,0)</f>
        <v>25</v>
      </c>
      <c r="O177" s="15">
        <f t="shared" si="10"/>
        <v>225</v>
      </c>
      <c r="P177" s="16" t="s">
        <v>23</v>
      </c>
      <c r="Q177" s="17"/>
    </row>
    <row r="178" ht="15.0" customHeight="1">
      <c r="A178" s="29">
        <v>46157.0</v>
      </c>
      <c r="B178" s="19" t="s">
        <v>19</v>
      </c>
      <c r="C178" s="19">
        <v>1234.0</v>
      </c>
      <c r="D178" s="9" t="s">
        <v>20</v>
      </c>
      <c r="E178" s="21" t="s">
        <v>50</v>
      </c>
      <c r="F178" s="21" t="s">
        <v>30</v>
      </c>
      <c r="G178" s="21"/>
      <c r="H178" s="21"/>
      <c r="I178" s="21"/>
      <c r="J178" s="21"/>
      <c r="K178" s="23">
        <v>24.0</v>
      </c>
      <c r="L178" s="13">
        <f>IFERROR(VLOOKUP(E178,PRODUCTOS!$A$4:$F$28,6,FALSE()),0)</f>
        <v>1.1</v>
      </c>
      <c r="M178" s="13">
        <f t="shared" si="9"/>
        <v>26.4</v>
      </c>
      <c r="N178" s="14">
        <f>IFERROR(M178*CONFIG!$B$4,0)</f>
        <v>2.64</v>
      </c>
      <c r="O178" s="15">
        <f t="shared" si="10"/>
        <v>23.76</v>
      </c>
      <c r="P178" s="16" t="s">
        <v>23</v>
      </c>
      <c r="Q178" s="17"/>
    </row>
    <row r="179" ht="15.0" customHeight="1">
      <c r="A179" s="29">
        <v>46157.0</v>
      </c>
      <c r="B179" s="19" t="s">
        <v>19</v>
      </c>
      <c r="C179" s="19">
        <v>1234.0</v>
      </c>
      <c r="D179" s="9" t="s">
        <v>20</v>
      </c>
      <c r="E179" s="21" t="s">
        <v>50</v>
      </c>
      <c r="F179" s="21" t="s">
        <v>22</v>
      </c>
      <c r="G179" s="21"/>
      <c r="H179" s="21"/>
      <c r="I179" s="21"/>
      <c r="J179" s="21"/>
      <c r="K179" s="23">
        <v>62.0</v>
      </c>
      <c r="L179" s="13">
        <f>IFERROR(VLOOKUP(E179,PRODUCTOS!$A$4:$F$28,6,FALSE()),0)</f>
        <v>1.1</v>
      </c>
      <c r="M179" s="13">
        <f t="shared" si="9"/>
        <v>68.2</v>
      </c>
      <c r="N179" s="14">
        <f>IFERROR(M179*CONFIG!$B$4,0)</f>
        <v>6.82</v>
      </c>
      <c r="O179" s="15">
        <f t="shared" si="10"/>
        <v>61.38</v>
      </c>
      <c r="P179" s="16" t="s">
        <v>23</v>
      </c>
      <c r="Q179" s="17"/>
    </row>
    <row r="180" ht="15.0" customHeight="1">
      <c r="A180" s="29">
        <v>46157.0</v>
      </c>
      <c r="B180" s="19" t="s">
        <v>19</v>
      </c>
      <c r="C180" s="19">
        <v>1234.0</v>
      </c>
      <c r="D180" s="9" t="s">
        <v>20</v>
      </c>
      <c r="E180" s="21" t="s">
        <v>50</v>
      </c>
      <c r="F180" s="21" t="s">
        <v>28</v>
      </c>
      <c r="G180" s="21"/>
      <c r="H180" s="21"/>
      <c r="I180" s="21"/>
      <c r="J180" s="21"/>
      <c r="K180" s="23">
        <v>30.0</v>
      </c>
      <c r="L180" s="13">
        <f>IFERROR(VLOOKUP(E180,PRODUCTOS!$A$4:$F$28,6,FALSE()),0)</f>
        <v>1.1</v>
      </c>
      <c r="M180" s="13">
        <f t="shared" si="9"/>
        <v>33</v>
      </c>
      <c r="N180" s="14">
        <f>IFERROR(M180*CONFIG!$B$4,0)</f>
        <v>3.3</v>
      </c>
      <c r="O180" s="15">
        <f t="shared" si="10"/>
        <v>29.7</v>
      </c>
      <c r="P180" s="16" t="s">
        <v>23</v>
      </c>
      <c r="Q180" s="17"/>
    </row>
    <row r="181" ht="15.0" customHeight="1">
      <c r="A181" s="29">
        <v>46157.0</v>
      </c>
      <c r="B181" s="19" t="s">
        <v>19</v>
      </c>
      <c r="C181" s="19">
        <v>1234.0</v>
      </c>
      <c r="D181" s="9" t="s">
        <v>20</v>
      </c>
      <c r="E181" s="21" t="s">
        <v>50</v>
      </c>
      <c r="F181" s="21" t="s">
        <v>40</v>
      </c>
      <c r="G181" s="21"/>
      <c r="H181" s="21"/>
      <c r="I181" s="21"/>
      <c r="J181" s="21"/>
      <c r="K181" s="23">
        <v>23.0</v>
      </c>
      <c r="L181" s="13">
        <f>IFERROR(VLOOKUP(E181,PRODUCTOS!$A$4:$F$28,6,FALSE()),0)</f>
        <v>1.1</v>
      </c>
      <c r="M181" s="13">
        <f t="shared" si="9"/>
        <v>25.3</v>
      </c>
      <c r="N181" s="14">
        <f>IFERROR(M181*CONFIG!$B$4,0)</f>
        <v>2.53</v>
      </c>
      <c r="O181" s="15">
        <f t="shared" si="10"/>
        <v>22.77</v>
      </c>
      <c r="P181" s="16" t="s">
        <v>23</v>
      </c>
      <c r="Q181" s="17"/>
    </row>
    <row r="182" ht="15.0" customHeight="1">
      <c r="A182" s="29">
        <v>46157.0</v>
      </c>
      <c r="B182" s="19" t="s">
        <v>19</v>
      </c>
      <c r="C182" s="19">
        <v>1234.0</v>
      </c>
      <c r="D182" s="9" t="s">
        <v>20</v>
      </c>
      <c r="E182" s="21" t="s">
        <v>50</v>
      </c>
      <c r="F182" s="21" t="s">
        <v>44</v>
      </c>
      <c r="G182" s="21"/>
      <c r="H182" s="21"/>
      <c r="I182" s="21"/>
      <c r="J182" s="21"/>
      <c r="K182" s="23">
        <v>21.0</v>
      </c>
      <c r="L182" s="13">
        <f>IFERROR(VLOOKUP(E182,PRODUCTOS!$A$4:$F$28,6,FALSE()),0)</f>
        <v>1.1</v>
      </c>
      <c r="M182" s="13">
        <f t="shared" si="9"/>
        <v>23.1</v>
      </c>
      <c r="N182" s="14">
        <f>IFERROR(M182*CONFIG!$B$4,0)</f>
        <v>2.31</v>
      </c>
      <c r="O182" s="15">
        <f t="shared" si="10"/>
        <v>20.79</v>
      </c>
      <c r="P182" s="16" t="s">
        <v>23</v>
      </c>
      <c r="Q182" s="17"/>
    </row>
    <row r="183" ht="15.0" customHeight="1">
      <c r="A183" s="29">
        <v>46157.0</v>
      </c>
      <c r="B183" s="19" t="s">
        <v>19</v>
      </c>
      <c r="C183" s="19">
        <v>1234.0</v>
      </c>
      <c r="D183" s="9" t="s">
        <v>20</v>
      </c>
      <c r="E183" s="21" t="s">
        <v>51</v>
      </c>
      <c r="F183" s="21" t="s">
        <v>40</v>
      </c>
      <c r="G183" s="21">
        <v>10.0</v>
      </c>
      <c r="H183" s="21">
        <v>24.0</v>
      </c>
      <c r="I183" s="21">
        <v>24.0</v>
      </c>
      <c r="J183" s="21">
        <v>12.0</v>
      </c>
      <c r="K183" s="23">
        <v>70.0</v>
      </c>
      <c r="L183" s="13" t="str">
        <f>IFERROR(VLOOKUP(E183,PRODUCTOS!$A$4:$F$28,6,FALSE()),0)</f>
        <v/>
      </c>
      <c r="M183" s="13">
        <f t="shared" si="9"/>
        <v>0</v>
      </c>
      <c r="N183" s="14">
        <f>IFERROR(M183*CONFIG!$B$4,0)</f>
        <v>0</v>
      </c>
      <c r="O183" s="15">
        <f t="shared" si="10"/>
        <v>0</v>
      </c>
      <c r="P183" s="16" t="s">
        <v>23</v>
      </c>
      <c r="Q183" s="17"/>
    </row>
    <row r="184" ht="15.0" customHeight="1">
      <c r="A184" s="29">
        <v>46157.0</v>
      </c>
      <c r="B184" s="19" t="s">
        <v>19</v>
      </c>
      <c r="C184" s="19">
        <v>1234.0</v>
      </c>
      <c r="D184" s="9" t="s">
        <v>20</v>
      </c>
      <c r="E184" s="21" t="s">
        <v>49</v>
      </c>
      <c r="F184" s="21" t="s">
        <v>39</v>
      </c>
      <c r="G184" s="21"/>
      <c r="H184" s="21">
        <v>81.0</v>
      </c>
      <c r="I184" s="21">
        <v>38.0</v>
      </c>
      <c r="J184" s="21"/>
      <c r="K184" s="23">
        <v>119.0</v>
      </c>
      <c r="L184" s="13">
        <f>IFERROR(VLOOKUP(E184,PRODUCTOS!$A$4:$F$28,6,FALSE()),0)</f>
        <v>2</v>
      </c>
      <c r="M184" s="13">
        <f t="shared" si="9"/>
        <v>238</v>
      </c>
      <c r="N184" s="14">
        <f>IFERROR(M184*CONFIG!$B$4,0)</f>
        <v>23.8</v>
      </c>
      <c r="O184" s="15">
        <f t="shared" si="10"/>
        <v>214.2</v>
      </c>
      <c r="P184" s="16" t="s">
        <v>23</v>
      </c>
      <c r="Q184" s="17"/>
    </row>
    <row r="185" ht="15.0" customHeight="1">
      <c r="A185" s="29">
        <v>46157.0</v>
      </c>
      <c r="B185" s="19" t="s">
        <v>19</v>
      </c>
      <c r="C185" s="19">
        <v>1234.0</v>
      </c>
      <c r="D185" s="9" t="s">
        <v>20</v>
      </c>
      <c r="E185" s="21" t="s">
        <v>49</v>
      </c>
      <c r="F185" s="21" t="s">
        <v>26</v>
      </c>
      <c r="G185" s="21">
        <v>40.0</v>
      </c>
      <c r="H185" s="21">
        <v>85.0</v>
      </c>
      <c r="I185" s="21">
        <v>84.0</v>
      </c>
      <c r="J185" s="21">
        <v>42.0</v>
      </c>
      <c r="K185" s="23">
        <v>251.0</v>
      </c>
      <c r="L185" s="13">
        <f>IFERROR(VLOOKUP(E185,PRODUCTOS!$A$4:$F$28,6,FALSE()),0)</f>
        <v>2</v>
      </c>
      <c r="M185" s="13">
        <f t="shared" si="9"/>
        <v>502</v>
      </c>
      <c r="N185" s="14">
        <f>IFERROR(M185*CONFIG!$B$4,0)</f>
        <v>50.2</v>
      </c>
      <c r="O185" s="15">
        <f t="shared" si="10"/>
        <v>451.8</v>
      </c>
      <c r="P185" s="16" t="s">
        <v>23</v>
      </c>
      <c r="Q185" s="17"/>
    </row>
    <row r="186" ht="15.0" customHeight="1">
      <c r="A186" s="29">
        <v>46157.0</v>
      </c>
      <c r="B186" s="19" t="s">
        <v>19</v>
      </c>
      <c r="C186" s="19">
        <v>1234.0</v>
      </c>
      <c r="D186" s="9" t="s">
        <v>31</v>
      </c>
      <c r="E186" s="21" t="s">
        <v>48</v>
      </c>
      <c r="F186" s="21" t="s">
        <v>34</v>
      </c>
      <c r="G186" s="21">
        <v>1.0</v>
      </c>
      <c r="H186" s="21">
        <v>2.0</v>
      </c>
      <c r="I186" s="21"/>
      <c r="J186" s="21"/>
      <c r="K186" s="23">
        <v>3.0</v>
      </c>
      <c r="L186" s="13">
        <f>IFERROR(VLOOKUP(E186,PRODUCTOS!$A$4:$F$28,6,FALSE()),0)</f>
        <v>0</v>
      </c>
      <c r="M186" s="13">
        <f t="shared" si="9"/>
        <v>0</v>
      </c>
      <c r="N186" s="14">
        <f>IFERROR(M186*CONFIG!$B$4,0)</f>
        <v>0</v>
      </c>
      <c r="O186" s="15">
        <f t="shared" si="10"/>
        <v>0</v>
      </c>
      <c r="P186" s="16" t="s">
        <v>23</v>
      </c>
      <c r="Q186" s="17"/>
    </row>
    <row r="187" ht="15.0" customHeight="1">
      <c r="A187" s="29">
        <v>46157.0</v>
      </c>
      <c r="B187" s="19" t="s">
        <v>19</v>
      </c>
      <c r="C187" s="19">
        <v>1234.0</v>
      </c>
      <c r="D187" s="9" t="s">
        <v>20</v>
      </c>
      <c r="E187" s="21" t="s">
        <v>43</v>
      </c>
      <c r="F187" s="21" t="s">
        <v>46</v>
      </c>
      <c r="G187" s="21">
        <v>42.0</v>
      </c>
      <c r="H187" s="21">
        <v>84.0</v>
      </c>
      <c r="I187" s="21">
        <v>84.0</v>
      </c>
      <c r="J187" s="21">
        <v>42.0</v>
      </c>
      <c r="K187" s="23">
        <v>252.0</v>
      </c>
      <c r="L187" s="13">
        <f>IFERROR(VLOOKUP(E187,PRODUCTOS!$A$4:$F$28,6,FALSE()),0)</f>
        <v>2</v>
      </c>
      <c r="M187" s="13">
        <f t="shared" si="9"/>
        <v>504</v>
      </c>
      <c r="N187" s="14">
        <f>IFERROR(M187*CONFIG!$B$4,0)</f>
        <v>50.4</v>
      </c>
      <c r="O187" s="15">
        <f t="shared" si="10"/>
        <v>453.6</v>
      </c>
      <c r="P187" s="16" t="s">
        <v>23</v>
      </c>
      <c r="Q187" s="17"/>
    </row>
    <row r="188" ht="15.0" customHeight="1">
      <c r="A188" s="29">
        <v>46157.0</v>
      </c>
      <c r="B188" s="19" t="s">
        <v>19</v>
      </c>
      <c r="C188" s="19">
        <v>1234.0</v>
      </c>
      <c r="D188" s="9" t="s">
        <v>20</v>
      </c>
      <c r="E188" s="21" t="s">
        <v>50</v>
      </c>
      <c r="F188" s="21" t="s">
        <v>26</v>
      </c>
      <c r="G188" s="21"/>
      <c r="H188" s="21"/>
      <c r="I188" s="21"/>
      <c r="J188" s="21"/>
      <c r="K188" s="23">
        <v>53.0</v>
      </c>
      <c r="L188" s="13">
        <f>IFERROR(VLOOKUP(E188,PRODUCTOS!$A$4:$F$28,6,FALSE()),0)</f>
        <v>1.1</v>
      </c>
      <c r="M188" s="13">
        <f t="shared" si="9"/>
        <v>58.3</v>
      </c>
      <c r="N188" s="14">
        <f>IFERROR(M188*CONFIG!$B$4,0)</f>
        <v>5.83</v>
      </c>
      <c r="O188" s="15">
        <f t="shared" si="10"/>
        <v>52.47</v>
      </c>
      <c r="P188" s="16" t="s">
        <v>23</v>
      </c>
      <c r="Q188" s="17"/>
    </row>
    <row r="189" ht="15.0" customHeight="1">
      <c r="A189" s="29">
        <v>46157.0</v>
      </c>
      <c r="B189" s="19" t="s">
        <v>19</v>
      </c>
      <c r="C189" s="19">
        <v>1234.0</v>
      </c>
      <c r="D189" s="9" t="s">
        <v>20</v>
      </c>
      <c r="E189" s="21" t="s">
        <v>50</v>
      </c>
      <c r="F189" s="21" t="s">
        <v>24</v>
      </c>
      <c r="G189" s="21"/>
      <c r="H189" s="21"/>
      <c r="I189" s="21"/>
      <c r="J189" s="21"/>
      <c r="K189" s="23">
        <v>24.0</v>
      </c>
      <c r="L189" s="13">
        <f>IFERROR(VLOOKUP(E189,PRODUCTOS!$A$4:$F$28,6,FALSE()),0)</f>
        <v>1.1</v>
      </c>
      <c r="M189" s="13">
        <f t="shared" si="9"/>
        <v>26.4</v>
      </c>
      <c r="N189" s="14">
        <f>IFERROR(M189*CONFIG!$B$4,0)</f>
        <v>2.64</v>
      </c>
      <c r="O189" s="15">
        <f t="shared" si="10"/>
        <v>23.76</v>
      </c>
      <c r="P189" s="16" t="s">
        <v>23</v>
      </c>
      <c r="Q189" s="17"/>
    </row>
    <row r="190" ht="15.0" customHeight="1">
      <c r="A190" s="29">
        <v>46157.0</v>
      </c>
      <c r="B190" s="19" t="s">
        <v>19</v>
      </c>
      <c r="C190" s="19">
        <v>1234.0</v>
      </c>
      <c r="D190" s="9" t="s">
        <v>20</v>
      </c>
      <c r="E190" s="21" t="s">
        <v>50</v>
      </c>
      <c r="F190" s="21" t="s">
        <v>35</v>
      </c>
      <c r="G190" s="21"/>
      <c r="H190" s="21"/>
      <c r="I190" s="21"/>
      <c r="J190" s="21"/>
      <c r="K190" s="23">
        <v>28.0</v>
      </c>
      <c r="L190" s="13">
        <f>IFERROR(VLOOKUP(E190,PRODUCTOS!$A$4:$F$28,6,FALSE()),0)</f>
        <v>1.1</v>
      </c>
      <c r="M190" s="13">
        <f t="shared" si="9"/>
        <v>30.8</v>
      </c>
      <c r="N190" s="14">
        <f>IFERROR(M190*CONFIG!$B$4,0)</f>
        <v>3.08</v>
      </c>
      <c r="O190" s="15">
        <f t="shared" si="10"/>
        <v>27.72</v>
      </c>
      <c r="P190" s="16" t="s">
        <v>23</v>
      </c>
      <c r="Q190" s="17"/>
    </row>
    <row r="191" ht="15.0" customHeight="1">
      <c r="A191" s="29">
        <v>46157.0</v>
      </c>
      <c r="B191" s="19" t="s">
        <v>19</v>
      </c>
      <c r="C191" s="19">
        <v>1234.0</v>
      </c>
      <c r="D191" s="9" t="s">
        <v>20</v>
      </c>
      <c r="E191" s="21" t="s">
        <v>50</v>
      </c>
      <c r="F191" s="21" t="s">
        <v>34</v>
      </c>
      <c r="G191" s="21"/>
      <c r="H191" s="21"/>
      <c r="I191" s="21"/>
      <c r="J191" s="21"/>
      <c r="K191" s="23">
        <v>87.0</v>
      </c>
      <c r="L191" s="13">
        <f>IFERROR(VLOOKUP(E191,PRODUCTOS!$A$4:$F$28,6,FALSE()),0)</f>
        <v>1.1</v>
      </c>
      <c r="M191" s="13">
        <f t="shared" si="9"/>
        <v>95.7</v>
      </c>
      <c r="N191" s="14">
        <f>IFERROR(M191*CONFIG!$B$4,0)</f>
        <v>9.57</v>
      </c>
      <c r="O191" s="15">
        <f t="shared" si="10"/>
        <v>86.13</v>
      </c>
      <c r="P191" s="16" t="s">
        <v>23</v>
      </c>
      <c r="Q191" s="17"/>
    </row>
    <row r="192" ht="15.0" customHeight="1">
      <c r="A192" s="29">
        <v>46157.0</v>
      </c>
      <c r="B192" s="19" t="s">
        <v>19</v>
      </c>
      <c r="C192" s="19">
        <v>1234.0</v>
      </c>
      <c r="D192" s="9" t="s">
        <v>20</v>
      </c>
      <c r="E192" s="21" t="s">
        <v>51</v>
      </c>
      <c r="F192" s="21" t="s">
        <v>24</v>
      </c>
      <c r="G192" s="21">
        <v>13.0</v>
      </c>
      <c r="H192" s="21">
        <v>25.0</v>
      </c>
      <c r="I192" s="21">
        <v>24.0</v>
      </c>
      <c r="J192" s="21">
        <v>15.0</v>
      </c>
      <c r="K192" s="23">
        <v>77.0</v>
      </c>
      <c r="L192" s="13" t="str">
        <f>IFERROR(VLOOKUP(E192,PRODUCTOS!$A$4:$F$28,6,FALSE()),0)</f>
        <v/>
      </c>
      <c r="M192" s="13">
        <f t="shared" si="9"/>
        <v>0</v>
      </c>
      <c r="N192" s="14">
        <f>IFERROR(M192*CONFIG!$B$4,0)</f>
        <v>0</v>
      </c>
      <c r="O192" s="15">
        <f t="shared" si="10"/>
        <v>0</v>
      </c>
      <c r="P192" s="16" t="s">
        <v>23</v>
      </c>
      <c r="Q192" s="17"/>
    </row>
    <row r="193" ht="15.0" customHeight="1">
      <c r="A193" s="29">
        <v>46157.0</v>
      </c>
      <c r="B193" s="19" t="s">
        <v>19</v>
      </c>
      <c r="C193" s="19">
        <v>1234.0</v>
      </c>
      <c r="D193" s="9" t="s">
        <v>20</v>
      </c>
      <c r="E193" s="21" t="s">
        <v>51</v>
      </c>
      <c r="F193" s="21" t="s">
        <v>28</v>
      </c>
      <c r="G193" s="21">
        <v>10.0</v>
      </c>
      <c r="H193" s="21">
        <v>25.0</v>
      </c>
      <c r="I193" s="21">
        <v>23.0</v>
      </c>
      <c r="J193" s="21">
        <v>12.0</v>
      </c>
      <c r="K193" s="23">
        <v>70.0</v>
      </c>
      <c r="L193" s="13" t="str">
        <f>IFERROR(VLOOKUP(E193,PRODUCTOS!$A$4:$F$28,6,FALSE()),0)</f>
        <v/>
      </c>
      <c r="M193" s="13">
        <f t="shared" si="9"/>
        <v>0</v>
      </c>
      <c r="N193" s="14">
        <f>IFERROR(M193*CONFIG!$B$4,0)</f>
        <v>0</v>
      </c>
      <c r="O193" s="15">
        <f t="shared" si="10"/>
        <v>0</v>
      </c>
      <c r="P193" s="16" t="s">
        <v>23</v>
      </c>
      <c r="Q193" s="17"/>
    </row>
    <row r="194" ht="15.0" customHeight="1">
      <c r="A194" s="29">
        <v>46157.0</v>
      </c>
      <c r="B194" s="19" t="s">
        <v>19</v>
      </c>
      <c r="C194" s="19">
        <v>1234.0</v>
      </c>
      <c r="D194" s="9" t="s">
        <v>20</v>
      </c>
      <c r="E194" s="21" t="s">
        <v>51</v>
      </c>
      <c r="F194" s="21" t="s">
        <v>44</v>
      </c>
      <c r="G194" s="21">
        <v>11.0</v>
      </c>
      <c r="H194" s="21">
        <v>20.0</v>
      </c>
      <c r="I194" s="21">
        <v>22.0</v>
      </c>
      <c r="J194" s="21">
        <v>11.0</v>
      </c>
      <c r="K194" s="23">
        <v>64.0</v>
      </c>
      <c r="L194" s="13" t="str">
        <f>IFERROR(VLOOKUP(E194,PRODUCTOS!$A$4:$F$28,6,FALSE()),0)</f>
        <v/>
      </c>
      <c r="M194" s="13">
        <f t="shared" si="9"/>
        <v>0</v>
      </c>
      <c r="N194" s="14">
        <f>IFERROR(M194*CONFIG!$B$4,0)</f>
        <v>0</v>
      </c>
      <c r="O194" s="15">
        <f t="shared" si="10"/>
        <v>0</v>
      </c>
      <c r="P194" s="16" t="s">
        <v>23</v>
      </c>
      <c r="Q194" s="17"/>
    </row>
    <row r="195" ht="15.0" customHeight="1">
      <c r="A195" s="29">
        <v>46157.0</v>
      </c>
      <c r="B195" s="19" t="s">
        <v>19</v>
      </c>
      <c r="C195" s="19">
        <v>1234.0</v>
      </c>
      <c r="D195" s="9" t="s">
        <v>20</v>
      </c>
      <c r="E195" s="21" t="s">
        <v>29</v>
      </c>
      <c r="F195" s="21" t="s">
        <v>34</v>
      </c>
      <c r="G195" s="21">
        <v>103.0</v>
      </c>
      <c r="H195" s="21"/>
      <c r="I195" s="21">
        <v>68.0</v>
      </c>
      <c r="J195" s="21"/>
      <c r="K195" s="23">
        <v>171.0</v>
      </c>
      <c r="L195" s="13">
        <f>IFERROR(VLOOKUP(E195,PRODUCTOS!$A$4:$F$28,6,FALSE()),0)</f>
        <v>1.7</v>
      </c>
      <c r="M195" s="13">
        <f t="shared" si="9"/>
        <v>290.7</v>
      </c>
      <c r="N195" s="14">
        <f>IFERROR(M195*CONFIG!$B$4,0)</f>
        <v>29.07</v>
      </c>
      <c r="O195" s="15">
        <f t="shared" si="10"/>
        <v>261.63</v>
      </c>
      <c r="P195" s="16" t="s">
        <v>23</v>
      </c>
      <c r="Q195" s="17"/>
    </row>
    <row r="196" ht="15.0" customHeight="1">
      <c r="A196" s="29">
        <v>46157.0</v>
      </c>
      <c r="B196" s="19" t="s">
        <v>19</v>
      </c>
      <c r="C196" s="19">
        <v>1234.0</v>
      </c>
      <c r="D196" s="9" t="s">
        <v>20</v>
      </c>
      <c r="E196" s="21" t="s">
        <v>43</v>
      </c>
      <c r="F196" s="21" t="s">
        <v>39</v>
      </c>
      <c r="G196" s="21">
        <v>80.0</v>
      </c>
      <c r="H196" s="21">
        <v>78.0</v>
      </c>
      <c r="I196" s="21">
        <v>120.0</v>
      </c>
      <c r="J196" s="21">
        <v>79.0</v>
      </c>
      <c r="K196" s="23">
        <v>357.0</v>
      </c>
      <c r="L196" s="13">
        <f>IFERROR(VLOOKUP(E196,PRODUCTOS!$A$4:$F$28,6,FALSE()),0)</f>
        <v>2</v>
      </c>
      <c r="M196" s="13">
        <f t="shared" si="9"/>
        <v>714</v>
      </c>
      <c r="N196" s="14">
        <f>IFERROR(M196*CONFIG!$B$4,0)</f>
        <v>71.4</v>
      </c>
      <c r="O196" s="15">
        <f t="shared" si="10"/>
        <v>642.6</v>
      </c>
      <c r="P196" s="16" t="s">
        <v>23</v>
      </c>
      <c r="Q196" s="17"/>
    </row>
    <row r="197" ht="15.0" customHeight="1">
      <c r="A197" s="29">
        <v>46157.0</v>
      </c>
      <c r="B197" s="19" t="s">
        <v>19</v>
      </c>
      <c r="C197" s="19">
        <v>1234.0</v>
      </c>
      <c r="D197" s="9" t="s">
        <v>20</v>
      </c>
      <c r="E197" s="21" t="s">
        <v>49</v>
      </c>
      <c r="F197" s="21" t="s">
        <v>30</v>
      </c>
      <c r="G197" s="21">
        <v>53.0</v>
      </c>
      <c r="H197" s="21">
        <v>108.0</v>
      </c>
      <c r="I197" s="21">
        <v>110.0</v>
      </c>
      <c r="J197" s="21">
        <v>52.0</v>
      </c>
      <c r="K197" s="23">
        <v>323.0</v>
      </c>
      <c r="L197" s="13">
        <f>IFERROR(VLOOKUP(E197,PRODUCTOS!$A$4:$F$28,6,FALSE()),0)</f>
        <v>2</v>
      </c>
      <c r="M197" s="13">
        <f t="shared" si="9"/>
        <v>646</v>
      </c>
      <c r="N197" s="14">
        <f>IFERROR(M197*CONFIG!$B$4,0)</f>
        <v>64.6</v>
      </c>
      <c r="O197" s="15">
        <f t="shared" si="10"/>
        <v>581.4</v>
      </c>
      <c r="P197" s="16" t="s">
        <v>23</v>
      </c>
      <c r="Q197" s="17"/>
    </row>
    <row r="198" ht="15.0" customHeight="1">
      <c r="A198" s="29">
        <v>46157.0</v>
      </c>
      <c r="B198" s="19" t="s">
        <v>19</v>
      </c>
      <c r="C198" s="19">
        <v>1234.0</v>
      </c>
      <c r="D198" s="9" t="s">
        <v>20</v>
      </c>
      <c r="E198" s="21" t="s">
        <v>27</v>
      </c>
      <c r="F198" s="21" t="s">
        <v>34</v>
      </c>
      <c r="G198" s="21"/>
      <c r="H198" s="21">
        <v>217.0</v>
      </c>
      <c r="I198" s="21"/>
      <c r="J198" s="21">
        <v>145.0</v>
      </c>
      <c r="K198" s="23">
        <v>362.0</v>
      </c>
      <c r="L198" s="13">
        <f>IFERROR(VLOOKUP(E198,PRODUCTOS!$A$4:$F$28,6,FALSE()),0)</f>
        <v>1.7</v>
      </c>
      <c r="M198" s="13">
        <f t="shared" si="9"/>
        <v>615.4</v>
      </c>
      <c r="N198" s="14">
        <f>IFERROR(M198*CONFIG!$B$4,0)</f>
        <v>61.54</v>
      </c>
      <c r="O198" s="15">
        <f t="shared" si="10"/>
        <v>553.86</v>
      </c>
      <c r="P198" s="16" t="s">
        <v>23</v>
      </c>
      <c r="Q198" s="17"/>
    </row>
    <row r="199" ht="15.0" customHeight="1">
      <c r="A199" s="29">
        <v>46157.0</v>
      </c>
      <c r="B199" s="19" t="s">
        <v>19</v>
      </c>
      <c r="C199" s="19">
        <v>1234.0</v>
      </c>
      <c r="D199" s="9" t="s">
        <v>20</v>
      </c>
      <c r="E199" s="21" t="s">
        <v>45</v>
      </c>
      <c r="F199" s="21" t="s">
        <v>26</v>
      </c>
      <c r="G199" s="21"/>
      <c r="H199" s="21"/>
      <c r="I199" s="21">
        <v>11.0</v>
      </c>
      <c r="J199" s="21"/>
      <c r="K199" s="23">
        <v>11.0</v>
      </c>
      <c r="L199" s="13">
        <f>IFERROR(VLOOKUP(E199,PRODUCTOS!$A$4:$F$28,6,FALSE()),0)</f>
        <v>4</v>
      </c>
      <c r="M199" s="13">
        <f t="shared" si="9"/>
        <v>44</v>
      </c>
      <c r="N199" s="14">
        <f>IFERROR(M199*CONFIG!$B$4,0)</f>
        <v>4.4</v>
      </c>
      <c r="O199" s="15">
        <f t="shared" si="10"/>
        <v>39.6</v>
      </c>
      <c r="P199" s="16" t="s">
        <v>23</v>
      </c>
      <c r="Q199" s="17"/>
    </row>
    <row r="200" ht="15.0" customHeight="1">
      <c r="A200" s="29">
        <v>46157.0</v>
      </c>
      <c r="B200" s="19" t="s">
        <v>19</v>
      </c>
      <c r="C200" s="19">
        <v>1234.0</v>
      </c>
      <c r="D200" s="9" t="s">
        <v>20</v>
      </c>
      <c r="E200" s="21" t="s">
        <v>27</v>
      </c>
      <c r="F200" s="21" t="s">
        <v>30</v>
      </c>
      <c r="G200" s="21"/>
      <c r="H200" s="21"/>
      <c r="I200" s="21">
        <v>6.0</v>
      </c>
      <c r="J200" s="21"/>
      <c r="K200" s="23">
        <v>6.0</v>
      </c>
      <c r="L200" s="13">
        <f>IFERROR(VLOOKUP(E200,PRODUCTOS!$A$4:$F$28,6,FALSE()),0)</f>
        <v>1.7</v>
      </c>
      <c r="M200" s="13">
        <f t="shared" si="9"/>
        <v>10.2</v>
      </c>
      <c r="N200" s="14">
        <f>IFERROR(M200*CONFIG!$B$4,0)</f>
        <v>1.02</v>
      </c>
      <c r="O200" s="15">
        <f t="shared" si="10"/>
        <v>9.18</v>
      </c>
      <c r="P200" s="16" t="s">
        <v>23</v>
      </c>
      <c r="Q200" s="17"/>
    </row>
    <row r="201" ht="15.0" customHeight="1">
      <c r="A201" s="29">
        <v>46157.0</v>
      </c>
      <c r="B201" s="19" t="s">
        <v>19</v>
      </c>
      <c r="C201" s="19">
        <v>1234.0</v>
      </c>
      <c r="D201" s="9" t="s">
        <v>20</v>
      </c>
      <c r="E201" s="21" t="s">
        <v>27</v>
      </c>
      <c r="F201" s="21" t="s">
        <v>24</v>
      </c>
      <c r="G201" s="21">
        <v>1.0</v>
      </c>
      <c r="H201" s="21">
        <v>2.0</v>
      </c>
      <c r="I201" s="21"/>
      <c r="J201" s="21"/>
      <c r="K201" s="23">
        <v>3.0</v>
      </c>
      <c r="L201" s="13">
        <f>IFERROR(VLOOKUP(E201,PRODUCTOS!$A$4:$F$28,6,FALSE()),0)</f>
        <v>1.7</v>
      </c>
      <c r="M201" s="13">
        <f t="shared" si="9"/>
        <v>5.1</v>
      </c>
      <c r="N201" s="14">
        <f>IFERROR(M201*CONFIG!$B$4,0)</f>
        <v>0.51</v>
      </c>
      <c r="O201" s="15">
        <f t="shared" si="10"/>
        <v>4.59</v>
      </c>
      <c r="P201" s="16" t="s">
        <v>23</v>
      </c>
      <c r="Q201" s="17"/>
    </row>
    <row r="202" ht="15.0" customHeight="1">
      <c r="A202" s="29">
        <v>46157.0</v>
      </c>
      <c r="B202" s="19" t="s">
        <v>19</v>
      </c>
      <c r="C202" s="19">
        <v>1234.0</v>
      </c>
      <c r="D202" s="9" t="s">
        <v>20</v>
      </c>
      <c r="E202" s="21" t="s">
        <v>29</v>
      </c>
      <c r="F202" s="21" t="s">
        <v>24</v>
      </c>
      <c r="G202" s="21"/>
      <c r="H202" s="21"/>
      <c r="I202" s="21"/>
      <c r="J202" s="21">
        <v>4.0</v>
      </c>
      <c r="K202" s="23">
        <v>4.0</v>
      </c>
      <c r="L202" s="13">
        <f>IFERROR(VLOOKUP(E202,PRODUCTOS!$A$4:$F$28,6,FALSE()),0)</f>
        <v>1.7</v>
      </c>
      <c r="M202" s="13">
        <f t="shared" si="9"/>
        <v>6.8</v>
      </c>
      <c r="N202" s="14">
        <f>IFERROR(M202*CONFIG!$B$4,0)</f>
        <v>0.68</v>
      </c>
      <c r="O202" s="15">
        <f t="shared" si="10"/>
        <v>6.12</v>
      </c>
      <c r="P202" s="16" t="s">
        <v>23</v>
      </c>
      <c r="Q202" s="17"/>
    </row>
    <row r="203" ht="15.0" customHeight="1">
      <c r="A203" s="29">
        <v>46157.0</v>
      </c>
      <c r="B203" s="19" t="s">
        <v>19</v>
      </c>
      <c r="C203" s="19">
        <v>1234.0</v>
      </c>
      <c r="D203" s="9" t="s">
        <v>20</v>
      </c>
      <c r="E203" s="21" t="s">
        <v>51</v>
      </c>
      <c r="F203" s="21" t="s">
        <v>35</v>
      </c>
      <c r="G203" s="21">
        <v>11.0</v>
      </c>
      <c r="H203" s="21">
        <v>22.0</v>
      </c>
      <c r="I203" s="21">
        <v>23.0</v>
      </c>
      <c r="J203" s="21">
        <v>12.0</v>
      </c>
      <c r="K203" s="23">
        <v>68.0</v>
      </c>
      <c r="L203" s="13" t="str">
        <f>IFERROR(VLOOKUP(E203,PRODUCTOS!$A$4:$F$28,6,FALSE()),0)</f>
        <v/>
      </c>
      <c r="M203" s="13">
        <f t="shared" si="9"/>
        <v>0</v>
      </c>
      <c r="N203" s="14">
        <f>IFERROR(M203*CONFIG!$B$4,0)</f>
        <v>0</v>
      </c>
      <c r="O203" s="15">
        <f t="shared" si="10"/>
        <v>0</v>
      </c>
      <c r="P203" s="16" t="s">
        <v>23</v>
      </c>
      <c r="Q203" s="17"/>
    </row>
    <row r="204" ht="15.0" customHeight="1">
      <c r="A204" s="26"/>
      <c r="B204" s="25"/>
      <c r="C204" s="25"/>
      <c r="D204" s="17"/>
      <c r="E204" s="17"/>
      <c r="F204" s="17"/>
      <c r="G204" s="27"/>
      <c r="H204" s="27"/>
      <c r="I204" s="27"/>
      <c r="J204" s="27"/>
      <c r="K204" s="28">
        <f t="shared" ref="K204:K232" si="11">IFERROR(G204+H204+I204+J204,0)</f>
        <v>0</v>
      </c>
      <c r="L204" s="13">
        <f>IFERROR(VLOOKUP(E204,PRODUCTOS!$A$4:$F$28,6,FALSE()),0)</f>
        <v>0</v>
      </c>
      <c r="M204" s="13">
        <f t="shared" si="9"/>
        <v>0</v>
      </c>
      <c r="N204" s="14">
        <f>IFERROR(M204*CONFIG!$B$4,0)</f>
        <v>0</v>
      </c>
      <c r="O204" s="15">
        <f t="shared" si="10"/>
        <v>0</v>
      </c>
      <c r="P204" s="25"/>
      <c r="Q204" s="17"/>
    </row>
    <row r="205" ht="15.0" customHeight="1">
      <c r="A205" s="29">
        <v>46158.0</v>
      </c>
      <c r="B205" s="19" t="s">
        <v>19</v>
      </c>
      <c r="C205" s="19">
        <v>1234.0</v>
      </c>
      <c r="D205" s="9" t="s">
        <v>20</v>
      </c>
      <c r="E205" s="9" t="s">
        <v>29</v>
      </c>
      <c r="F205" s="9" t="s">
        <v>36</v>
      </c>
      <c r="G205" s="30">
        <v>100.0</v>
      </c>
      <c r="H205" s="30">
        <v>150.0</v>
      </c>
      <c r="I205" s="30">
        <v>147.0</v>
      </c>
      <c r="J205" s="30">
        <v>98.0</v>
      </c>
      <c r="K205" s="28">
        <f t="shared" si="11"/>
        <v>495</v>
      </c>
      <c r="L205" s="13">
        <f>IFERROR(VLOOKUP(E205,PRODUCTOS!$A$4:$F$28,6,FALSE()),0)</f>
        <v>1.7</v>
      </c>
      <c r="M205" s="13">
        <f t="shared" si="9"/>
        <v>841.5</v>
      </c>
      <c r="N205" s="14">
        <f>IFERROR(M205*CONFIG!$B$4,0)</f>
        <v>84.15</v>
      </c>
      <c r="O205" s="15">
        <f t="shared" si="10"/>
        <v>757.35</v>
      </c>
      <c r="P205" s="16" t="s">
        <v>23</v>
      </c>
      <c r="Q205" s="17"/>
    </row>
    <row r="206" ht="15.0" customHeight="1">
      <c r="A206" s="29">
        <v>46158.0</v>
      </c>
      <c r="B206" s="19" t="s">
        <v>19</v>
      </c>
      <c r="C206" s="19">
        <v>1234.0</v>
      </c>
      <c r="D206" s="9" t="s">
        <v>20</v>
      </c>
      <c r="E206" s="9" t="s">
        <v>29</v>
      </c>
      <c r="F206" s="9" t="s">
        <v>26</v>
      </c>
      <c r="G206" s="30">
        <v>98.0</v>
      </c>
      <c r="H206" s="30">
        <v>154.0</v>
      </c>
      <c r="I206" s="30">
        <v>155.0</v>
      </c>
      <c r="J206" s="30">
        <v>104.0</v>
      </c>
      <c r="K206" s="28">
        <f t="shared" si="11"/>
        <v>511</v>
      </c>
      <c r="L206" s="13">
        <f>IFERROR(VLOOKUP(E206,PRODUCTOS!$A$4:$F$28,6,FALSE()),0)</f>
        <v>1.7</v>
      </c>
      <c r="M206" s="13">
        <f t="shared" si="9"/>
        <v>868.7</v>
      </c>
      <c r="N206" s="14">
        <f>IFERROR(M206*CONFIG!$B$4,0)</f>
        <v>86.87</v>
      </c>
      <c r="O206" s="15">
        <f t="shared" si="10"/>
        <v>781.83</v>
      </c>
      <c r="P206" s="16" t="s">
        <v>23</v>
      </c>
      <c r="Q206" s="17"/>
    </row>
    <row r="207" ht="15.0" customHeight="1">
      <c r="A207" s="29">
        <v>46158.0</v>
      </c>
      <c r="B207" s="19" t="s">
        <v>19</v>
      </c>
      <c r="C207" s="19">
        <v>1234.0</v>
      </c>
      <c r="D207" s="9" t="s">
        <v>20</v>
      </c>
      <c r="E207" s="9" t="s">
        <v>29</v>
      </c>
      <c r="F207" s="9" t="s">
        <v>52</v>
      </c>
      <c r="G207" s="30">
        <v>40.0</v>
      </c>
      <c r="H207" s="30">
        <v>59.0</v>
      </c>
      <c r="I207" s="30">
        <v>60.0</v>
      </c>
      <c r="J207" s="30">
        <v>39.0</v>
      </c>
      <c r="K207" s="28">
        <f t="shared" si="11"/>
        <v>198</v>
      </c>
      <c r="L207" s="13">
        <f>IFERROR(VLOOKUP(E207,PRODUCTOS!$A$4:$F$28,6,FALSE()),0)</f>
        <v>1.7</v>
      </c>
      <c r="M207" s="13">
        <f t="shared" si="9"/>
        <v>336.6</v>
      </c>
      <c r="N207" s="14">
        <f>IFERROR(M207*CONFIG!$B$4,0)</f>
        <v>33.66</v>
      </c>
      <c r="O207" s="15">
        <f t="shared" si="10"/>
        <v>302.94</v>
      </c>
      <c r="P207" s="16" t="s">
        <v>23</v>
      </c>
      <c r="Q207" s="17"/>
    </row>
    <row r="208" ht="15.0" customHeight="1">
      <c r="A208" s="29">
        <v>46158.0</v>
      </c>
      <c r="B208" s="19" t="s">
        <v>19</v>
      </c>
      <c r="C208" s="19">
        <v>1234.0</v>
      </c>
      <c r="D208" s="9" t="s">
        <v>20</v>
      </c>
      <c r="E208" s="9" t="s">
        <v>29</v>
      </c>
      <c r="F208" s="9" t="s">
        <v>24</v>
      </c>
      <c r="G208" s="30">
        <v>76.0</v>
      </c>
      <c r="H208" s="27"/>
      <c r="I208" s="27"/>
      <c r="J208" s="30">
        <v>75.0</v>
      </c>
      <c r="K208" s="28">
        <f t="shared" si="11"/>
        <v>151</v>
      </c>
      <c r="L208" s="13">
        <f>IFERROR(VLOOKUP(E208,PRODUCTOS!$A$4:$F$28,6,FALSE()),0)</f>
        <v>1.7</v>
      </c>
      <c r="M208" s="13">
        <f t="shared" si="9"/>
        <v>256.7</v>
      </c>
      <c r="N208" s="14">
        <f>IFERROR(M208*CONFIG!$B$4,0)</f>
        <v>25.67</v>
      </c>
      <c r="O208" s="15">
        <f t="shared" si="10"/>
        <v>231.03</v>
      </c>
      <c r="P208" s="16" t="s">
        <v>23</v>
      </c>
      <c r="Q208" s="17"/>
    </row>
    <row r="209" ht="15.0" customHeight="1">
      <c r="A209" s="29">
        <v>46158.0</v>
      </c>
      <c r="B209" s="19" t="s">
        <v>19</v>
      </c>
      <c r="C209" s="19">
        <v>1234.0</v>
      </c>
      <c r="D209" s="9" t="s">
        <v>20</v>
      </c>
      <c r="E209" s="9" t="s">
        <v>29</v>
      </c>
      <c r="F209" s="9" t="s">
        <v>34</v>
      </c>
      <c r="G209" s="30">
        <v>128.0</v>
      </c>
      <c r="H209" s="30">
        <v>156.0</v>
      </c>
      <c r="I209" s="30">
        <v>88.0</v>
      </c>
      <c r="J209" s="30">
        <v>103.0</v>
      </c>
      <c r="K209" s="28">
        <f t="shared" si="11"/>
        <v>475</v>
      </c>
      <c r="L209" s="13">
        <f>IFERROR(VLOOKUP(E209,PRODUCTOS!$A$4:$F$28,6,FALSE()),0)</f>
        <v>1.7</v>
      </c>
      <c r="M209" s="13">
        <f t="shared" si="9"/>
        <v>807.5</v>
      </c>
      <c r="N209" s="14">
        <f>IFERROR(M209*CONFIG!$B$4,0)</f>
        <v>80.75</v>
      </c>
      <c r="O209" s="15">
        <f t="shared" si="10"/>
        <v>726.75</v>
      </c>
      <c r="P209" s="16" t="s">
        <v>23</v>
      </c>
      <c r="Q209" s="17"/>
    </row>
    <row r="210" ht="15.0" customHeight="1">
      <c r="A210" s="29">
        <v>46158.0</v>
      </c>
      <c r="B210" s="19" t="s">
        <v>19</v>
      </c>
      <c r="C210" s="19">
        <v>1234.0</v>
      </c>
      <c r="D210" s="9" t="s">
        <v>20</v>
      </c>
      <c r="E210" s="9" t="s">
        <v>25</v>
      </c>
      <c r="F210" s="9" t="s">
        <v>26</v>
      </c>
      <c r="G210" s="30">
        <v>128.0</v>
      </c>
      <c r="H210" s="30">
        <v>128.0</v>
      </c>
      <c r="I210" s="30">
        <v>131.0</v>
      </c>
      <c r="J210" s="30">
        <v>63.0</v>
      </c>
      <c r="K210" s="28">
        <f t="shared" si="11"/>
        <v>450</v>
      </c>
      <c r="L210" s="13">
        <f>IFERROR(VLOOKUP(E210,PRODUCTOS!$A$4:$F$28,6,FALSE()),0)</f>
        <v>4</v>
      </c>
      <c r="M210" s="13">
        <f t="shared" si="9"/>
        <v>1800</v>
      </c>
      <c r="N210" s="14">
        <f>IFERROR(M210*CONFIG!$B$4,0)</f>
        <v>180</v>
      </c>
      <c r="O210" s="15">
        <f t="shared" si="10"/>
        <v>1620</v>
      </c>
      <c r="P210" s="16" t="s">
        <v>23</v>
      </c>
      <c r="Q210" s="17"/>
    </row>
    <row r="211" ht="15.0" customHeight="1">
      <c r="A211" s="29">
        <v>46158.0</v>
      </c>
      <c r="B211" s="19" t="s">
        <v>19</v>
      </c>
      <c r="C211" s="19">
        <v>1234.0</v>
      </c>
      <c r="D211" s="9" t="s">
        <v>31</v>
      </c>
      <c r="E211" s="9" t="s">
        <v>32</v>
      </c>
      <c r="F211" s="9" t="s">
        <v>26</v>
      </c>
      <c r="G211" s="30">
        <v>33.0</v>
      </c>
      <c r="H211" s="27"/>
      <c r="I211" s="27"/>
      <c r="J211" s="27"/>
      <c r="K211" s="28">
        <f t="shared" si="11"/>
        <v>33</v>
      </c>
      <c r="L211" s="13">
        <f>IFERROR(VLOOKUP(E211,PRODUCTOS!$A$4:$F$28,6,FALSE()),0)</f>
        <v>6</v>
      </c>
      <c r="M211" s="13">
        <f t="shared" si="9"/>
        <v>198</v>
      </c>
      <c r="N211" s="14">
        <f>IFERROR(M211*CONFIG!$B$4,0)</f>
        <v>19.8</v>
      </c>
      <c r="O211" s="15">
        <f t="shared" si="10"/>
        <v>178.2</v>
      </c>
      <c r="P211" s="16" t="s">
        <v>23</v>
      </c>
      <c r="Q211" s="17"/>
    </row>
    <row r="212" ht="15.0" customHeight="1">
      <c r="A212" s="29">
        <v>46158.0</v>
      </c>
      <c r="B212" s="19" t="s">
        <v>19</v>
      </c>
      <c r="C212" s="19">
        <v>1234.0</v>
      </c>
      <c r="D212" s="9" t="s">
        <v>31</v>
      </c>
      <c r="E212" s="9" t="s">
        <v>32</v>
      </c>
      <c r="F212" s="9" t="s">
        <v>34</v>
      </c>
      <c r="G212" s="27"/>
      <c r="H212" s="30">
        <v>40.0</v>
      </c>
      <c r="I212" s="27"/>
      <c r="J212" s="27"/>
      <c r="K212" s="28">
        <f t="shared" si="11"/>
        <v>40</v>
      </c>
      <c r="L212" s="13">
        <f>IFERROR(VLOOKUP(E212,PRODUCTOS!$A$4:$F$28,6,FALSE()),0)</f>
        <v>6</v>
      </c>
      <c r="M212" s="13">
        <f t="shared" si="9"/>
        <v>240</v>
      </c>
      <c r="N212" s="14">
        <f>IFERROR(M212*CONFIG!$B$4,0)</f>
        <v>24</v>
      </c>
      <c r="O212" s="15">
        <f t="shared" si="10"/>
        <v>216</v>
      </c>
      <c r="P212" s="16" t="s">
        <v>23</v>
      </c>
      <c r="Q212" s="17"/>
    </row>
    <row r="213" ht="15.0" customHeight="1">
      <c r="A213" s="26"/>
      <c r="B213" s="25"/>
      <c r="C213" s="25"/>
      <c r="D213" s="17"/>
      <c r="E213" s="17"/>
      <c r="F213" s="17"/>
      <c r="G213" s="27"/>
      <c r="H213" s="27"/>
      <c r="I213" s="27"/>
      <c r="J213" s="27"/>
      <c r="K213" s="28">
        <f t="shared" si="11"/>
        <v>0</v>
      </c>
      <c r="L213" s="13">
        <f>IFERROR(VLOOKUP(E213,PRODUCTOS!$A$4:$F$28,6,FALSE()),0)</f>
        <v>0</v>
      </c>
      <c r="M213" s="13">
        <f t="shared" si="9"/>
        <v>0</v>
      </c>
      <c r="N213" s="14">
        <f>IFERROR(M213*CONFIG!$B$4,0)</f>
        <v>0</v>
      </c>
      <c r="O213" s="15">
        <f t="shared" si="10"/>
        <v>0</v>
      </c>
      <c r="P213" s="25"/>
      <c r="Q213" s="17"/>
    </row>
    <row r="214" ht="15.0" customHeight="1">
      <c r="A214" s="29">
        <v>46160.0</v>
      </c>
      <c r="B214" s="19" t="s">
        <v>19</v>
      </c>
      <c r="C214" s="19">
        <v>1234.0</v>
      </c>
      <c r="D214" s="9" t="s">
        <v>31</v>
      </c>
      <c r="E214" s="9" t="s">
        <v>32</v>
      </c>
      <c r="F214" s="9" t="s">
        <v>26</v>
      </c>
      <c r="G214" s="27"/>
      <c r="H214" s="30">
        <v>32.0</v>
      </c>
      <c r="I214" s="30">
        <v>24.0</v>
      </c>
      <c r="J214" s="27"/>
      <c r="K214" s="28">
        <f t="shared" si="11"/>
        <v>56</v>
      </c>
      <c r="L214" s="13">
        <f>IFERROR(VLOOKUP(E214,PRODUCTOS!$A$4:$F$28,6,FALSE()),0)</f>
        <v>6</v>
      </c>
      <c r="M214" s="13">
        <f t="shared" si="9"/>
        <v>336</v>
      </c>
      <c r="N214" s="14">
        <f>IFERROR(M214*CONFIG!$B$4,0)</f>
        <v>33.6</v>
      </c>
      <c r="O214" s="15">
        <f t="shared" si="10"/>
        <v>302.4</v>
      </c>
      <c r="P214" s="16" t="s">
        <v>23</v>
      </c>
      <c r="Q214" s="17"/>
    </row>
    <row r="215" ht="15.0" customHeight="1">
      <c r="A215" s="29">
        <v>46160.0</v>
      </c>
      <c r="B215" s="19" t="s">
        <v>19</v>
      </c>
      <c r="C215" s="19">
        <v>1234.0</v>
      </c>
      <c r="D215" s="9" t="s">
        <v>31</v>
      </c>
      <c r="E215" s="9" t="s">
        <v>32</v>
      </c>
      <c r="F215" s="9" t="s">
        <v>34</v>
      </c>
      <c r="G215" s="27"/>
      <c r="H215" s="27"/>
      <c r="I215" s="30">
        <v>74.0</v>
      </c>
      <c r="J215" s="27"/>
      <c r="K215" s="28">
        <f t="shared" si="11"/>
        <v>74</v>
      </c>
      <c r="L215" s="13">
        <f>IFERROR(VLOOKUP(E215,PRODUCTOS!$A$4:$F$28,6,FALSE()),0)</f>
        <v>6</v>
      </c>
      <c r="M215" s="13">
        <f t="shared" si="9"/>
        <v>444</v>
      </c>
      <c r="N215" s="14">
        <f>IFERROR(M215*CONFIG!$B$4,0)</f>
        <v>44.4</v>
      </c>
      <c r="O215" s="15">
        <f t="shared" si="10"/>
        <v>399.6</v>
      </c>
      <c r="P215" s="16" t="s">
        <v>23</v>
      </c>
      <c r="Q215" s="17"/>
    </row>
    <row r="216" ht="15.0" customHeight="1">
      <c r="A216" s="29">
        <v>46160.0</v>
      </c>
      <c r="B216" s="19" t="s">
        <v>19</v>
      </c>
      <c r="C216" s="19">
        <v>1234.0</v>
      </c>
      <c r="D216" s="9" t="s">
        <v>31</v>
      </c>
      <c r="E216" s="9" t="s">
        <v>32</v>
      </c>
      <c r="F216" s="9" t="s">
        <v>34</v>
      </c>
      <c r="G216" s="30">
        <v>76.0</v>
      </c>
      <c r="H216" s="27"/>
      <c r="I216" s="30">
        <v>68.0</v>
      </c>
      <c r="J216" s="27"/>
      <c r="K216" s="28">
        <f t="shared" si="11"/>
        <v>144</v>
      </c>
      <c r="L216" s="13">
        <f>IFERROR(VLOOKUP(E216,PRODUCTOS!$A$4:$F$28,6,FALSE()),0)</f>
        <v>6</v>
      </c>
      <c r="M216" s="13">
        <f t="shared" si="9"/>
        <v>864</v>
      </c>
      <c r="N216" s="14">
        <f>IFERROR(M216*CONFIG!$B$4,0)</f>
        <v>86.4</v>
      </c>
      <c r="O216" s="15">
        <f t="shared" si="10"/>
        <v>777.6</v>
      </c>
      <c r="P216" s="16" t="s">
        <v>23</v>
      </c>
      <c r="Q216" s="17"/>
    </row>
    <row r="217" ht="15.0" customHeight="1">
      <c r="A217" s="29">
        <v>46160.0</v>
      </c>
      <c r="B217" s="19" t="s">
        <v>19</v>
      </c>
      <c r="C217" s="19">
        <v>1234.0</v>
      </c>
      <c r="D217" s="9" t="s">
        <v>31</v>
      </c>
      <c r="E217" s="9" t="s">
        <v>32</v>
      </c>
      <c r="F217" s="9" t="s">
        <v>39</v>
      </c>
      <c r="G217" s="27"/>
      <c r="H217" s="27"/>
      <c r="I217" s="30">
        <v>75.0</v>
      </c>
      <c r="J217" s="27"/>
      <c r="K217" s="28">
        <f t="shared" si="11"/>
        <v>75</v>
      </c>
      <c r="L217" s="13">
        <f>IFERROR(VLOOKUP(E217,PRODUCTOS!$A$4:$F$28,6,FALSE()),0)</f>
        <v>6</v>
      </c>
      <c r="M217" s="13">
        <f t="shared" si="9"/>
        <v>450</v>
      </c>
      <c r="N217" s="14">
        <f>IFERROR(M217*CONFIG!$B$4,0)</f>
        <v>45</v>
      </c>
      <c r="O217" s="15">
        <f t="shared" si="10"/>
        <v>405</v>
      </c>
      <c r="P217" s="16" t="s">
        <v>23</v>
      </c>
      <c r="Q217" s="17"/>
    </row>
    <row r="218" ht="15.0" customHeight="1">
      <c r="A218" s="29">
        <v>46160.0</v>
      </c>
      <c r="B218" s="19" t="s">
        <v>19</v>
      </c>
      <c r="C218" s="19">
        <v>1234.0</v>
      </c>
      <c r="D218" s="9" t="s">
        <v>20</v>
      </c>
      <c r="E218" s="9" t="s">
        <v>29</v>
      </c>
      <c r="F218" s="9" t="s">
        <v>22</v>
      </c>
      <c r="G218" s="27"/>
      <c r="H218" s="27"/>
      <c r="I218" s="30">
        <v>150.0</v>
      </c>
      <c r="J218" s="27"/>
      <c r="K218" s="28">
        <f t="shared" si="11"/>
        <v>150</v>
      </c>
      <c r="L218" s="13">
        <f>IFERROR(VLOOKUP(E218,PRODUCTOS!$A$4:$F$28,6,FALSE()),0)</f>
        <v>1.7</v>
      </c>
      <c r="M218" s="13">
        <f t="shared" si="9"/>
        <v>255</v>
      </c>
      <c r="N218" s="14">
        <f>IFERROR(M218*CONFIG!$B$4,0)</f>
        <v>25.5</v>
      </c>
      <c r="O218" s="15">
        <f t="shared" si="10"/>
        <v>229.5</v>
      </c>
      <c r="P218" s="16" t="s">
        <v>23</v>
      </c>
      <c r="Q218" s="17"/>
    </row>
    <row r="219" ht="15.0" customHeight="1">
      <c r="A219" s="26"/>
      <c r="B219" s="25"/>
      <c r="C219" s="25"/>
      <c r="D219" s="17"/>
      <c r="E219" s="17"/>
      <c r="F219" s="17"/>
      <c r="G219" s="27"/>
      <c r="H219" s="27"/>
      <c r="I219" s="27"/>
      <c r="J219" s="27"/>
      <c r="K219" s="28">
        <f t="shared" si="11"/>
        <v>0</v>
      </c>
      <c r="L219" s="13">
        <f>IFERROR(VLOOKUP(E219,PRODUCTOS!$A$4:$F$28,6,FALSE()),0)</f>
        <v>0</v>
      </c>
      <c r="M219" s="13">
        <f t="shared" si="9"/>
        <v>0</v>
      </c>
      <c r="N219" s="14">
        <f>IFERROR(M219*CONFIG!$B$4,0)</f>
        <v>0</v>
      </c>
      <c r="O219" s="15">
        <f t="shared" si="10"/>
        <v>0</v>
      </c>
      <c r="P219" s="25"/>
      <c r="Q219" s="17"/>
    </row>
    <row r="220" ht="15.0" customHeight="1">
      <c r="A220" s="29">
        <v>46161.0</v>
      </c>
      <c r="B220" s="19" t="s">
        <v>19</v>
      </c>
      <c r="C220" s="19">
        <v>1234.0</v>
      </c>
      <c r="D220" s="9" t="s">
        <v>20</v>
      </c>
      <c r="E220" s="9" t="s">
        <v>25</v>
      </c>
      <c r="F220" s="9" t="s">
        <v>30</v>
      </c>
      <c r="G220" s="30">
        <v>62.0</v>
      </c>
      <c r="H220" s="27"/>
      <c r="I220" s="27"/>
      <c r="J220" s="30">
        <v>62.0</v>
      </c>
      <c r="K220" s="28">
        <f t="shared" si="11"/>
        <v>124</v>
      </c>
      <c r="L220" s="13">
        <f>IFERROR(VLOOKUP(E220,PRODUCTOS!$A$4:$F$28,6,FALSE()),0)</f>
        <v>4</v>
      </c>
      <c r="M220" s="13">
        <f t="shared" si="9"/>
        <v>496</v>
      </c>
      <c r="N220" s="14">
        <f>IFERROR(M220*CONFIG!$B$4,0)</f>
        <v>49.6</v>
      </c>
      <c r="O220" s="15">
        <f t="shared" si="10"/>
        <v>446.4</v>
      </c>
      <c r="P220" s="16" t="s">
        <v>23</v>
      </c>
      <c r="Q220" s="17"/>
    </row>
    <row r="221" ht="15.0" customHeight="1">
      <c r="A221" s="29">
        <v>46161.0</v>
      </c>
      <c r="B221" s="19" t="s">
        <v>19</v>
      </c>
      <c r="C221" s="19">
        <v>1234.0</v>
      </c>
      <c r="D221" s="9" t="s">
        <v>31</v>
      </c>
      <c r="E221" s="9" t="s">
        <v>32</v>
      </c>
      <c r="F221" s="9" t="s">
        <v>26</v>
      </c>
      <c r="G221" s="30">
        <v>55.0</v>
      </c>
      <c r="H221" s="27"/>
      <c r="I221" s="27"/>
      <c r="J221" s="27"/>
      <c r="K221" s="28">
        <f t="shared" si="11"/>
        <v>55</v>
      </c>
      <c r="L221" s="13">
        <f>IFERROR(VLOOKUP(E221,PRODUCTOS!$A$4:$F$28,6,FALSE()),0)</f>
        <v>6</v>
      </c>
      <c r="M221" s="13">
        <f t="shared" si="9"/>
        <v>330</v>
      </c>
      <c r="N221" s="14">
        <f>IFERROR(M221*CONFIG!$B$4,0)</f>
        <v>33</v>
      </c>
      <c r="O221" s="15">
        <f t="shared" si="10"/>
        <v>297</v>
      </c>
      <c r="P221" s="16" t="s">
        <v>23</v>
      </c>
      <c r="Q221" s="17"/>
    </row>
    <row r="222" ht="15.0" customHeight="1">
      <c r="A222" s="29">
        <v>46161.0</v>
      </c>
      <c r="B222" s="19" t="s">
        <v>19</v>
      </c>
      <c r="C222" s="19">
        <v>1234.0</v>
      </c>
      <c r="D222" s="9" t="s">
        <v>20</v>
      </c>
      <c r="E222" s="9" t="s">
        <v>51</v>
      </c>
      <c r="F222" s="9" t="s">
        <v>26</v>
      </c>
      <c r="G222" s="30">
        <v>11.0</v>
      </c>
      <c r="H222" s="30">
        <v>24.0</v>
      </c>
      <c r="I222" s="30">
        <v>24.0</v>
      </c>
      <c r="J222" s="30">
        <v>12.0</v>
      </c>
      <c r="K222" s="28">
        <f t="shared" si="11"/>
        <v>71</v>
      </c>
      <c r="L222" s="13" t="str">
        <f>IFERROR(VLOOKUP(E222,PRODUCTOS!$A$4:$F$28,6,FALSE()),0)</f>
        <v/>
      </c>
      <c r="M222" s="13">
        <f t="shared" si="9"/>
        <v>0</v>
      </c>
      <c r="N222" s="14">
        <f>IFERROR(M222*CONFIG!$B$4,0)</f>
        <v>0</v>
      </c>
      <c r="O222" s="15">
        <f t="shared" si="10"/>
        <v>0</v>
      </c>
      <c r="P222" s="16" t="s">
        <v>23</v>
      </c>
      <c r="Q222" s="17"/>
    </row>
    <row r="223" ht="15.0" customHeight="1">
      <c r="A223" s="29">
        <v>46161.0</v>
      </c>
      <c r="B223" s="19" t="s">
        <v>19</v>
      </c>
      <c r="C223" s="19">
        <v>1234.0</v>
      </c>
      <c r="D223" s="9" t="s">
        <v>20</v>
      </c>
      <c r="E223" s="9" t="s">
        <v>29</v>
      </c>
      <c r="F223" s="9" t="s">
        <v>24</v>
      </c>
      <c r="G223" s="27"/>
      <c r="H223" s="27"/>
      <c r="I223" s="30">
        <v>114.0</v>
      </c>
      <c r="J223" s="27"/>
      <c r="K223" s="28">
        <f t="shared" si="11"/>
        <v>114</v>
      </c>
      <c r="L223" s="13">
        <f>IFERROR(VLOOKUP(E223,PRODUCTOS!$A$4:$F$28,6,FALSE()),0)</f>
        <v>1.7</v>
      </c>
      <c r="M223" s="13">
        <f t="shared" si="9"/>
        <v>193.8</v>
      </c>
      <c r="N223" s="14">
        <f>IFERROR(M223*CONFIG!$B$4,0)</f>
        <v>19.38</v>
      </c>
      <c r="O223" s="15">
        <f t="shared" si="10"/>
        <v>174.42</v>
      </c>
      <c r="P223" s="16" t="s">
        <v>23</v>
      </c>
      <c r="Q223" s="17"/>
    </row>
    <row r="224" ht="15.0" customHeight="1">
      <c r="A224" s="29">
        <v>46161.0</v>
      </c>
      <c r="B224" s="19" t="s">
        <v>19</v>
      </c>
      <c r="C224" s="19">
        <v>1234.0</v>
      </c>
      <c r="D224" s="9" t="s">
        <v>31</v>
      </c>
      <c r="E224" s="9" t="s">
        <v>32</v>
      </c>
      <c r="F224" s="9" t="s">
        <v>39</v>
      </c>
      <c r="G224" s="30">
        <v>76.0</v>
      </c>
      <c r="H224" s="27"/>
      <c r="I224" s="27"/>
      <c r="J224" s="27"/>
      <c r="K224" s="28">
        <f t="shared" si="11"/>
        <v>76</v>
      </c>
      <c r="L224" s="13">
        <f>IFERROR(VLOOKUP(E224,PRODUCTOS!$A$4:$F$28,6,FALSE()),0)</f>
        <v>6</v>
      </c>
      <c r="M224" s="13">
        <f t="shared" si="9"/>
        <v>456</v>
      </c>
      <c r="N224" s="14">
        <f>IFERROR(M224*CONFIG!$B$4,0)</f>
        <v>45.6</v>
      </c>
      <c r="O224" s="15">
        <f t="shared" si="10"/>
        <v>410.4</v>
      </c>
      <c r="P224" s="16" t="s">
        <v>23</v>
      </c>
      <c r="Q224" s="17"/>
    </row>
    <row r="225" ht="15.0" customHeight="1">
      <c r="A225" s="29">
        <v>46161.0</v>
      </c>
      <c r="B225" s="19" t="s">
        <v>19</v>
      </c>
      <c r="C225" s="19">
        <v>1234.0</v>
      </c>
      <c r="D225" s="9" t="s">
        <v>20</v>
      </c>
      <c r="E225" s="9" t="s">
        <v>29</v>
      </c>
      <c r="F225" s="9" t="s">
        <v>22</v>
      </c>
      <c r="G225" s="30">
        <v>100.0</v>
      </c>
      <c r="H225" s="30">
        <v>146.0</v>
      </c>
      <c r="I225" s="27"/>
      <c r="J225" s="30">
        <v>98.0</v>
      </c>
      <c r="K225" s="28">
        <f t="shared" si="11"/>
        <v>344</v>
      </c>
      <c r="L225" s="13">
        <f>IFERROR(VLOOKUP(E225,PRODUCTOS!$A$4:$F$28,6,FALSE()),0)</f>
        <v>1.7</v>
      </c>
      <c r="M225" s="13">
        <f t="shared" si="9"/>
        <v>584.8</v>
      </c>
      <c r="N225" s="14">
        <f>IFERROR(M225*CONFIG!$B$4,0)</f>
        <v>58.48</v>
      </c>
      <c r="O225" s="15">
        <f t="shared" si="10"/>
        <v>526.32</v>
      </c>
      <c r="P225" s="16" t="s">
        <v>23</v>
      </c>
      <c r="Q225" s="17"/>
    </row>
    <row r="226" ht="15.0" customHeight="1">
      <c r="A226" s="29">
        <v>46161.0</v>
      </c>
      <c r="B226" s="19" t="s">
        <v>19</v>
      </c>
      <c r="C226" s="19">
        <v>1234.0</v>
      </c>
      <c r="D226" s="9" t="s">
        <v>20</v>
      </c>
      <c r="E226" s="9" t="s">
        <v>53</v>
      </c>
      <c r="F226" s="9" t="s">
        <v>30</v>
      </c>
      <c r="G226" s="30">
        <v>63.0</v>
      </c>
      <c r="H226" s="30">
        <v>64.0</v>
      </c>
      <c r="I226" s="30">
        <v>62.0</v>
      </c>
      <c r="J226" s="27"/>
      <c r="K226" s="28">
        <f t="shared" si="11"/>
        <v>189</v>
      </c>
      <c r="L226" s="13">
        <f>IFERROR(VLOOKUP(E226,PRODUCTOS!$A$4:$F$28,6,FALSE()),0)</f>
        <v>1.7</v>
      </c>
      <c r="M226" s="13">
        <f t="shared" si="9"/>
        <v>321.3</v>
      </c>
      <c r="N226" s="14">
        <f>IFERROR(M226*CONFIG!$B$4,0)</f>
        <v>32.13</v>
      </c>
      <c r="O226" s="15">
        <f t="shared" si="10"/>
        <v>289.17</v>
      </c>
      <c r="P226" s="16" t="s">
        <v>23</v>
      </c>
      <c r="Q226" s="17"/>
    </row>
    <row r="227" ht="15.0" customHeight="1">
      <c r="A227" s="29">
        <v>46161.0</v>
      </c>
      <c r="B227" s="19" t="s">
        <v>19</v>
      </c>
      <c r="C227" s="19">
        <v>1234.0</v>
      </c>
      <c r="D227" s="9" t="s">
        <v>20</v>
      </c>
      <c r="E227" s="9" t="s">
        <v>21</v>
      </c>
      <c r="F227" s="9" t="s">
        <v>30</v>
      </c>
      <c r="G227" s="30">
        <v>32.0</v>
      </c>
      <c r="H227" s="30">
        <v>32.0</v>
      </c>
      <c r="I227" s="30">
        <v>32.0</v>
      </c>
      <c r="J227" s="27"/>
      <c r="K227" s="28">
        <f t="shared" si="11"/>
        <v>96</v>
      </c>
      <c r="L227" s="13">
        <f>IFERROR(VLOOKUP(E227,PRODUCTOS!$A$4:$F$28,6,FALSE()),0)</f>
        <v>1.7</v>
      </c>
      <c r="M227" s="13">
        <f t="shared" si="9"/>
        <v>163.2</v>
      </c>
      <c r="N227" s="14">
        <f>IFERROR(M227*CONFIG!$B$4,0)</f>
        <v>16.32</v>
      </c>
      <c r="O227" s="15">
        <f t="shared" si="10"/>
        <v>146.88</v>
      </c>
      <c r="P227" s="16" t="s">
        <v>23</v>
      </c>
      <c r="Q227" s="17"/>
    </row>
    <row r="228" ht="15.0" customHeight="1">
      <c r="A228" s="29">
        <v>46161.0</v>
      </c>
      <c r="B228" s="19" t="s">
        <v>19</v>
      </c>
      <c r="C228" s="19">
        <v>1234.0</v>
      </c>
      <c r="D228" s="9" t="s">
        <v>20</v>
      </c>
      <c r="E228" s="9" t="s">
        <v>51</v>
      </c>
      <c r="F228" s="9" t="s">
        <v>34</v>
      </c>
      <c r="G228" s="30">
        <v>21.0</v>
      </c>
      <c r="H228" s="30">
        <v>43.0</v>
      </c>
      <c r="I228" s="30">
        <v>44.0</v>
      </c>
      <c r="J228" s="30">
        <v>22.0</v>
      </c>
      <c r="K228" s="28">
        <f t="shared" si="11"/>
        <v>130</v>
      </c>
      <c r="L228" s="13" t="str">
        <f>IFERROR(VLOOKUP(E228,PRODUCTOS!$A$4:$F$28,6,FALSE()),0)</f>
        <v/>
      </c>
      <c r="M228" s="13">
        <f t="shared" si="9"/>
        <v>0</v>
      </c>
      <c r="N228" s="14">
        <f>IFERROR(M228*CONFIG!$B$4,0)</f>
        <v>0</v>
      </c>
      <c r="O228" s="15">
        <f t="shared" si="10"/>
        <v>0</v>
      </c>
      <c r="P228" s="16" t="s">
        <v>23</v>
      </c>
      <c r="Q228" s="17"/>
    </row>
    <row r="229" ht="15.0" customHeight="1">
      <c r="A229" s="29">
        <v>46161.0</v>
      </c>
      <c r="B229" s="19" t="s">
        <v>19</v>
      </c>
      <c r="C229" s="19">
        <v>1234.0</v>
      </c>
      <c r="D229" s="9" t="s">
        <v>20</v>
      </c>
      <c r="E229" s="9" t="s">
        <v>29</v>
      </c>
      <c r="F229" s="9" t="s">
        <v>26</v>
      </c>
      <c r="G229" s="30">
        <v>6.0</v>
      </c>
      <c r="H229" s="27"/>
      <c r="I229" s="27"/>
      <c r="J229" s="27"/>
      <c r="K229" s="28">
        <f t="shared" si="11"/>
        <v>6</v>
      </c>
      <c r="L229" s="13">
        <f>IFERROR(VLOOKUP(E229,PRODUCTOS!$A$4:$F$28,6,FALSE()),0)</f>
        <v>1.7</v>
      </c>
      <c r="M229" s="13">
        <f t="shared" si="9"/>
        <v>10.2</v>
      </c>
      <c r="N229" s="14">
        <f>IFERROR(M229*CONFIG!$B$4,0)</f>
        <v>1.02</v>
      </c>
      <c r="O229" s="15">
        <f t="shared" si="10"/>
        <v>9.18</v>
      </c>
      <c r="P229" s="16" t="s">
        <v>23</v>
      </c>
      <c r="Q229" s="17"/>
    </row>
    <row r="230" ht="15.0" customHeight="1">
      <c r="A230" s="29">
        <v>46161.0</v>
      </c>
      <c r="B230" s="19" t="s">
        <v>19</v>
      </c>
      <c r="C230" s="19">
        <v>1234.0</v>
      </c>
      <c r="D230" s="9" t="s">
        <v>20</v>
      </c>
      <c r="E230" s="9" t="s">
        <v>53</v>
      </c>
      <c r="F230" s="9" t="s">
        <v>22</v>
      </c>
      <c r="G230" s="30">
        <v>90.0</v>
      </c>
      <c r="H230" s="30">
        <v>126.0</v>
      </c>
      <c r="I230" s="27"/>
      <c r="J230" s="27"/>
      <c r="K230" s="28">
        <f t="shared" si="11"/>
        <v>216</v>
      </c>
      <c r="L230" s="13">
        <f>IFERROR(VLOOKUP(E230,PRODUCTOS!$A$4:$F$28,6,FALSE()),0)</f>
        <v>1.7</v>
      </c>
      <c r="M230" s="13">
        <f t="shared" si="9"/>
        <v>367.2</v>
      </c>
      <c r="N230" s="14">
        <f>IFERROR(M230*CONFIG!$B$4,0)</f>
        <v>36.72</v>
      </c>
      <c r="O230" s="15">
        <f t="shared" si="10"/>
        <v>330.48</v>
      </c>
      <c r="P230" s="16" t="s">
        <v>23</v>
      </c>
      <c r="Q230" s="17"/>
    </row>
    <row r="231" ht="15.0" customHeight="1">
      <c r="A231" s="29">
        <v>46161.0</v>
      </c>
      <c r="B231" s="19" t="s">
        <v>19</v>
      </c>
      <c r="C231" s="19">
        <v>1234.0</v>
      </c>
      <c r="D231" s="9" t="s">
        <v>20</v>
      </c>
      <c r="E231" s="9" t="s">
        <v>21</v>
      </c>
      <c r="F231" s="9" t="s">
        <v>22</v>
      </c>
      <c r="G231" s="30">
        <v>64.0</v>
      </c>
      <c r="H231" s="30">
        <v>64.0</v>
      </c>
      <c r="I231" s="30">
        <v>63.0</v>
      </c>
      <c r="J231" s="27"/>
      <c r="K231" s="28">
        <f t="shared" si="11"/>
        <v>191</v>
      </c>
      <c r="L231" s="13">
        <f>IFERROR(VLOOKUP(E231,PRODUCTOS!$A$4:$F$28,6,FALSE()),0)</f>
        <v>1.7</v>
      </c>
      <c r="M231" s="13">
        <f t="shared" si="9"/>
        <v>324.7</v>
      </c>
      <c r="N231" s="14">
        <f>IFERROR(M231*CONFIG!$B$4,0)</f>
        <v>32.47</v>
      </c>
      <c r="O231" s="15">
        <f t="shared" si="10"/>
        <v>292.23</v>
      </c>
      <c r="P231" s="16" t="s">
        <v>23</v>
      </c>
      <c r="Q231" s="17"/>
    </row>
    <row r="232" ht="15.0" customHeight="1">
      <c r="A232" s="29">
        <v>46161.0</v>
      </c>
      <c r="B232" s="19" t="s">
        <v>19</v>
      </c>
      <c r="C232" s="19">
        <v>1234.0</v>
      </c>
      <c r="D232" s="9" t="s">
        <v>31</v>
      </c>
      <c r="E232" s="9" t="s">
        <v>32</v>
      </c>
      <c r="F232" s="9" t="s">
        <v>39</v>
      </c>
      <c r="G232" s="27"/>
      <c r="H232" s="30">
        <v>37.0</v>
      </c>
      <c r="I232" s="27"/>
      <c r="J232" s="27"/>
      <c r="K232" s="28">
        <f t="shared" si="11"/>
        <v>37</v>
      </c>
      <c r="L232" s="13">
        <f>IFERROR(VLOOKUP(E232,PRODUCTOS!$A$4:$F$28,6,FALSE()),0)</f>
        <v>6</v>
      </c>
      <c r="M232" s="13">
        <f t="shared" si="9"/>
        <v>222</v>
      </c>
      <c r="N232" s="14">
        <f>IFERROR(M232*CONFIG!$B$4,0)</f>
        <v>22.2</v>
      </c>
      <c r="O232" s="15">
        <f t="shared" si="10"/>
        <v>199.8</v>
      </c>
      <c r="P232" s="16" t="s">
        <v>23</v>
      </c>
      <c r="Q232" s="17"/>
    </row>
    <row r="233" ht="15.0" customHeight="1">
      <c r="A233" s="29">
        <v>46161.0</v>
      </c>
      <c r="B233" s="19" t="s">
        <v>19</v>
      </c>
      <c r="C233" s="19">
        <v>1234.0</v>
      </c>
      <c r="D233" s="9" t="s">
        <v>20</v>
      </c>
      <c r="E233" s="9" t="s">
        <v>50</v>
      </c>
      <c r="F233" s="9" t="s">
        <v>44</v>
      </c>
      <c r="G233" s="27"/>
      <c r="H233" s="27"/>
      <c r="I233" s="27"/>
      <c r="J233" s="27"/>
      <c r="K233" s="31">
        <v>6.0</v>
      </c>
      <c r="L233" s="13">
        <f>IFERROR(VLOOKUP(E233,PRODUCTOS!$A$4:$F$28,6,FALSE()),0)</f>
        <v>1.1</v>
      </c>
      <c r="M233" s="13">
        <f t="shared" si="9"/>
        <v>6.6</v>
      </c>
      <c r="N233" s="14">
        <f>IFERROR(M233*CONFIG!$B$4,0)</f>
        <v>0.66</v>
      </c>
      <c r="O233" s="15">
        <f t="shared" si="10"/>
        <v>5.94</v>
      </c>
      <c r="P233" s="16" t="s">
        <v>23</v>
      </c>
      <c r="Q233" s="17"/>
    </row>
    <row r="234" ht="15.0" customHeight="1">
      <c r="A234" s="29">
        <v>46161.0</v>
      </c>
      <c r="B234" s="19" t="s">
        <v>19</v>
      </c>
      <c r="C234" s="19">
        <v>1234.0</v>
      </c>
      <c r="D234" s="9" t="s">
        <v>20</v>
      </c>
      <c r="E234" s="9" t="s">
        <v>50</v>
      </c>
      <c r="F234" s="9" t="s">
        <v>35</v>
      </c>
      <c r="G234" s="27"/>
      <c r="H234" s="27"/>
      <c r="I234" s="27"/>
      <c r="J234" s="27"/>
      <c r="K234" s="31">
        <v>3.0</v>
      </c>
      <c r="L234" s="13">
        <f>IFERROR(VLOOKUP(E234,PRODUCTOS!$A$4:$F$28,6,FALSE()),0)</f>
        <v>1.1</v>
      </c>
      <c r="M234" s="13">
        <f t="shared" si="9"/>
        <v>3.3</v>
      </c>
      <c r="N234" s="14">
        <f>IFERROR(M234*CONFIG!$B$4,0)</f>
        <v>0.33</v>
      </c>
      <c r="O234" s="15">
        <f t="shared" si="10"/>
        <v>2.97</v>
      </c>
      <c r="P234" s="16" t="s">
        <v>23</v>
      </c>
      <c r="Q234" s="17"/>
    </row>
    <row r="235" ht="15.0" customHeight="1">
      <c r="A235" s="29">
        <v>46161.0</v>
      </c>
      <c r="B235" s="19" t="s">
        <v>19</v>
      </c>
      <c r="C235" s="19">
        <v>1234.0</v>
      </c>
      <c r="D235" s="9" t="s">
        <v>20</v>
      </c>
      <c r="E235" s="9" t="s">
        <v>50</v>
      </c>
      <c r="F235" s="9" t="s">
        <v>34</v>
      </c>
      <c r="G235" s="27"/>
      <c r="H235" s="27"/>
      <c r="I235" s="27"/>
      <c r="J235" s="27"/>
      <c r="K235" s="31">
        <v>5.0</v>
      </c>
      <c r="L235" s="13">
        <f>IFERROR(VLOOKUP(E235,PRODUCTOS!$A$4:$F$28,6,FALSE()),0)</f>
        <v>1.1</v>
      </c>
      <c r="M235" s="13">
        <f t="shared" si="9"/>
        <v>5.5</v>
      </c>
      <c r="N235" s="14">
        <f>IFERROR(M235*CONFIG!$B$4,0)</f>
        <v>0.55</v>
      </c>
      <c r="O235" s="15">
        <f t="shared" si="10"/>
        <v>4.95</v>
      </c>
      <c r="P235" s="16" t="s">
        <v>23</v>
      </c>
      <c r="Q235" s="17"/>
    </row>
    <row r="236" ht="15.0" customHeight="1">
      <c r="A236" s="29">
        <v>46161.0</v>
      </c>
      <c r="B236" s="19" t="s">
        <v>19</v>
      </c>
      <c r="C236" s="19">
        <v>1234.0</v>
      </c>
      <c r="D236" s="9" t="s">
        <v>20</v>
      </c>
      <c r="E236" s="9" t="s">
        <v>50</v>
      </c>
      <c r="F236" s="9" t="s">
        <v>26</v>
      </c>
      <c r="G236" s="27"/>
      <c r="H236" s="27"/>
      <c r="I236" s="27"/>
      <c r="J236" s="27"/>
      <c r="K236" s="31">
        <v>3.0</v>
      </c>
      <c r="L236" s="13">
        <f>IFERROR(VLOOKUP(E236,PRODUCTOS!$A$4:$F$28,6,FALSE()),0)</f>
        <v>1.1</v>
      </c>
      <c r="M236" s="13">
        <f t="shared" si="9"/>
        <v>3.3</v>
      </c>
      <c r="N236" s="14">
        <f>IFERROR(M236*CONFIG!$B$4,0)</f>
        <v>0.33</v>
      </c>
      <c r="O236" s="15">
        <f t="shared" si="10"/>
        <v>2.97</v>
      </c>
      <c r="P236" s="16" t="s">
        <v>23</v>
      </c>
      <c r="Q236" s="17"/>
    </row>
    <row r="237" ht="15.0" customHeight="1">
      <c r="A237" s="29">
        <v>46161.0</v>
      </c>
      <c r="B237" s="19" t="s">
        <v>19</v>
      </c>
      <c r="C237" s="19">
        <v>1234.0</v>
      </c>
      <c r="D237" s="9" t="s">
        <v>20</v>
      </c>
      <c r="E237" s="9" t="s">
        <v>50</v>
      </c>
      <c r="F237" s="9" t="s">
        <v>30</v>
      </c>
      <c r="G237" s="27"/>
      <c r="H237" s="27"/>
      <c r="I237" s="27"/>
      <c r="J237" s="27"/>
      <c r="K237" s="31">
        <v>2.0</v>
      </c>
      <c r="L237" s="13">
        <f>IFERROR(VLOOKUP(E237,PRODUCTOS!$A$4:$F$28,6,FALSE()),0)</f>
        <v>1.1</v>
      </c>
      <c r="M237" s="13">
        <f t="shared" si="9"/>
        <v>2.2</v>
      </c>
      <c r="N237" s="14">
        <f>IFERROR(M237*CONFIG!$B$4,0)</f>
        <v>0.22</v>
      </c>
      <c r="O237" s="15">
        <f t="shared" si="10"/>
        <v>1.98</v>
      </c>
      <c r="P237" s="16" t="s">
        <v>23</v>
      </c>
      <c r="Q237" s="17"/>
    </row>
    <row r="238" ht="15.0" customHeight="1">
      <c r="A238" s="29">
        <v>46161.0</v>
      </c>
      <c r="B238" s="19" t="s">
        <v>19</v>
      </c>
      <c r="C238" s="19">
        <v>1234.0</v>
      </c>
      <c r="D238" s="9" t="s">
        <v>20</v>
      </c>
      <c r="E238" s="9" t="s">
        <v>50</v>
      </c>
      <c r="F238" s="9" t="s">
        <v>40</v>
      </c>
      <c r="G238" s="27"/>
      <c r="H238" s="27"/>
      <c r="I238" s="27"/>
      <c r="J238" s="27"/>
      <c r="K238" s="31">
        <v>2.0</v>
      </c>
      <c r="L238" s="13">
        <f>IFERROR(VLOOKUP(E238,PRODUCTOS!$A$4:$F$28,6,FALSE()),0)</f>
        <v>1.1</v>
      </c>
      <c r="M238" s="13">
        <f t="shared" si="9"/>
        <v>2.2</v>
      </c>
      <c r="N238" s="14">
        <f>IFERROR(M238*CONFIG!$B$4,0)</f>
        <v>0.22</v>
      </c>
      <c r="O238" s="15">
        <f t="shared" si="10"/>
        <v>1.98</v>
      </c>
      <c r="P238" s="16" t="s">
        <v>23</v>
      </c>
      <c r="Q238" s="17"/>
    </row>
    <row r="239" ht="15.0" customHeight="1">
      <c r="A239" s="29">
        <v>46161.0</v>
      </c>
      <c r="B239" s="19" t="s">
        <v>19</v>
      </c>
      <c r="C239" s="19">
        <v>1234.0</v>
      </c>
      <c r="D239" s="9" t="s">
        <v>20</v>
      </c>
      <c r="E239" s="9" t="s">
        <v>50</v>
      </c>
      <c r="F239" s="9" t="s">
        <v>28</v>
      </c>
      <c r="G239" s="27"/>
      <c r="H239" s="27"/>
      <c r="I239" s="27"/>
      <c r="J239" s="27"/>
      <c r="K239" s="31">
        <v>1.0</v>
      </c>
      <c r="L239" s="13">
        <f>IFERROR(VLOOKUP(E239,PRODUCTOS!$A$4:$F$28,6,FALSE()),0)</f>
        <v>1.1</v>
      </c>
      <c r="M239" s="13">
        <f t="shared" si="9"/>
        <v>1.1</v>
      </c>
      <c r="N239" s="14">
        <f>IFERROR(M239*CONFIG!$B$4,0)</f>
        <v>0.11</v>
      </c>
      <c r="O239" s="15">
        <f t="shared" si="10"/>
        <v>0.99</v>
      </c>
      <c r="P239" s="16" t="s">
        <v>23</v>
      </c>
      <c r="Q239" s="17"/>
    </row>
    <row r="240" ht="15.0" customHeight="1">
      <c r="A240" s="29">
        <v>46161.0</v>
      </c>
      <c r="B240" s="19" t="s">
        <v>19</v>
      </c>
      <c r="C240" s="19">
        <v>1234.0</v>
      </c>
      <c r="D240" s="9" t="s">
        <v>20</v>
      </c>
      <c r="E240" s="9" t="s">
        <v>53</v>
      </c>
      <c r="F240" s="9" t="s">
        <v>44</v>
      </c>
      <c r="G240" s="30">
        <v>32.0</v>
      </c>
      <c r="H240" s="30">
        <v>32.0</v>
      </c>
      <c r="I240" s="30">
        <v>32.0</v>
      </c>
      <c r="J240" s="27"/>
      <c r="K240" s="28">
        <f t="shared" ref="K240:K505" si="12">IFERROR(G240+H240+I240+J240,0)</f>
        <v>96</v>
      </c>
      <c r="L240" s="13">
        <f>IFERROR(VLOOKUP(E240,PRODUCTOS!$A$4:$F$28,6,FALSE()),0)</f>
        <v>1.7</v>
      </c>
      <c r="M240" s="13">
        <f t="shared" si="9"/>
        <v>163.2</v>
      </c>
      <c r="N240" s="14">
        <f>IFERROR(M240*CONFIG!$B$4,0)</f>
        <v>16.32</v>
      </c>
      <c r="O240" s="15">
        <f t="shared" si="10"/>
        <v>146.88</v>
      </c>
      <c r="P240" s="16" t="s">
        <v>23</v>
      </c>
      <c r="Q240" s="17"/>
    </row>
    <row r="241" ht="15.0" customHeight="1">
      <c r="A241" s="29">
        <v>46161.0</v>
      </c>
      <c r="B241" s="19" t="s">
        <v>19</v>
      </c>
      <c r="C241" s="19">
        <v>1234.0</v>
      </c>
      <c r="D241" s="9" t="s">
        <v>31</v>
      </c>
      <c r="E241" s="9" t="s">
        <v>32</v>
      </c>
      <c r="F241" s="9" t="s">
        <v>26</v>
      </c>
      <c r="G241" s="27"/>
      <c r="H241" s="30">
        <v>51.0</v>
      </c>
      <c r="I241" s="27"/>
      <c r="J241" s="27"/>
      <c r="K241" s="28">
        <f t="shared" si="12"/>
        <v>51</v>
      </c>
      <c r="L241" s="13">
        <f>IFERROR(VLOOKUP(E241,PRODUCTOS!$A$4:$F$28,6,FALSE()),0)</f>
        <v>6</v>
      </c>
      <c r="M241" s="13">
        <f t="shared" si="9"/>
        <v>306</v>
      </c>
      <c r="N241" s="14">
        <f>IFERROR(M241*CONFIG!$B$4,0)</f>
        <v>30.6</v>
      </c>
      <c r="O241" s="15">
        <f t="shared" si="10"/>
        <v>275.4</v>
      </c>
      <c r="P241" s="16" t="s">
        <v>23</v>
      </c>
      <c r="Q241" s="17"/>
    </row>
    <row r="242" ht="15.0" customHeight="1">
      <c r="A242" s="29">
        <v>46161.0</v>
      </c>
      <c r="B242" s="19" t="s">
        <v>19</v>
      </c>
      <c r="C242" s="19">
        <v>1234.0</v>
      </c>
      <c r="D242" s="9" t="s">
        <v>20</v>
      </c>
      <c r="E242" s="9" t="s">
        <v>21</v>
      </c>
      <c r="F242" s="9" t="s">
        <v>44</v>
      </c>
      <c r="G242" s="30">
        <v>31.0</v>
      </c>
      <c r="H242" s="30">
        <v>33.0</v>
      </c>
      <c r="I242" s="30">
        <v>32.0</v>
      </c>
      <c r="J242" s="27"/>
      <c r="K242" s="28">
        <f t="shared" si="12"/>
        <v>96</v>
      </c>
      <c r="L242" s="13">
        <f>IFERROR(VLOOKUP(E242,PRODUCTOS!$A$4:$F$28,6,FALSE()),0)</f>
        <v>1.7</v>
      </c>
      <c r="M242" s="13">
        <f t="shared" si="9"/>
        <v>163.2</v>
      </c>
      <c r="N242" s="14">
        <f>IFERROR(M242*CONFIG!$B$4,0)</f>
        <v>16.32</v>
      </c>
      <c r="O242" s="15">
        <f t="shared" si="10"/>
        <v>146.88</v>
      </c>
      <c r="P242" s="16" t="s">
        <v>23</v>
      </c>
      <c r="Q242" s="17"/>
    </row>
    <row r="243" ht="15.0" customHeight="1">
      <c r="A243" s="26"/>
      <c r="B243" s="25"/>
      <c r="C243" s="25"/>
      <c r="D243" s="17"/>
      <c r="E243" s="17"/>
      <c r="F243" s="17"/>
      <c r="G243" s="27"/>
      <c r="H243" s="27"/>
      <c r="I243" s="27"/>
      <c r="J243" s="27"/>
      <c r="K243" s="28">
        <f t="shared" si="12"/>
        <v>0</v>
      </c>
      <c r="L243" s="13">
        <f>IFERROR(VLOOKUP(E243,PRODUCTOS!$A$4:$F$28,6,FALSE()),0)</f>
        <v>0</v>
      </c>
      <c r="M243" s="13">
        <f t="shared" si="9"/>
        <v>0</v>
      </c>
      <c r="N243" s="14">
        <f>IFERROR(M243*CONFIG!$B$4,0)</f>
        <v>0</v>
      </c>
      <c r="O243" s="15">
        <f t="shared" si="10"/>
        <v>0</v>
      </c>
      <c r="P243" s="25"/>
      <c r="Q243" s="17"/>
    </row>
    <row r="244" ht="15.0" customHeight="1">
      <c r="A244" s="29">
        <v>46162.0</v>
      </c>
      <c r="B244" s="19" t="s">
        <v>19</v>
      </c>
      <c r="C244" s="19">
        <v>1234.0</v>
      </c>
      <c r="D244" s="9" t="s">
        <v>31</v>
      </c>
      <c r="E244" s="9" t="s">
        <v>32</v>
      </c>
      <c r="F244" s="9" t="s">
        <v>26</v>
      </c>
      <c r="G244" s="30">
        <v>94.0</v>
      </c>
      <c r="H244" s="27"/>
      <c r="I244" s="27"/>
      <c r="J244" s="27"/>
      <c r="K244" s="28">
        <f t="shared" si="12"/>
        <v>94</v>
      </c>
      <c r="L244" s="13">
        <f>IFERROR(VLOOKUP(E244,PRODUCTOS!$A$4:$F$28,6,FALSE()),0)</f>
        <v>6</v>
      </c>
      <c r="M244" s="13">
        <f t="shared" si="9"/>
        <v>564</v>
      </c>
      <c r="N244" s="14">
        <f>IFERROR(M244*CONFIG!$B$4,0)</f>
        <v>56.4</v>
      </c>
      <c r="O244" s="15">
        <f t="shared" si="10"/>
        <v>507.6</v>
      </c>
      <c r="P244" s="16" t="s">
        <v>23</v>
      </c>
      <c r="Q244" s="17"/>
    </row>
    <row r="245" ht="15.0" customHeight="1">
      <c r="A245" s="29">
        <v>46162.0</v>
      </c>
      <c r="B245" s="19" t="s">
        <v>19</v>
      </c>
      <c r="C245" s="19">
        <v>1234.0</v>
      </c>
      <c r="D245" s="9" t="s">
        <v>31</v>
      </c>
      <c r="E245" s="9" t="s">
        <v>32</v>
      </c>
      <c r="F245" s="9" t="s">
        <v>34</v>
      </c>
      <c r="G245" s="30">
        <v>20.0</v>
      </c>
      <c r="H245" s="30">
        <v>48.0</v>
      </c>
      <c r="I245" s="27"/>
      <c r="J245" s="27"/>
      <c r="K245" s="28">
        <f t="shared" si="12"/>
        <v>68</v>
      </c>
      <c r="L245" s="13">
        <f>IFERROR(VLOOKUP(E245,PRODUCTOS!$A$4:$F$28,6,FALSE()),0)</f>
        <v>6</v>
      </c>
      <c r="M245" s="13">
        <f t="shared" si="9"/>
        <v>408</v>
      </c>
      <c r="N245" s="14">
        <f>IFERROR(M245*CONFIG!$B$4,0)</f>
        <v>40.8</v>
      </c>
      <c r="O245" s="15">
        <f t="shared" si="10"/>
        <v>367.2</v>
      </c>
      <c r="P245" s="16" t="s">
        <v>23</v>
      </c>
      <c r="Q245" s="17"/>
    </row>
    <row r="246" ht="15.0" customHeight="1">
      <c r="A246" s="29">
        <v>46162.0</v>
      </c>
      <c r="B246" s="19" t="s">
        <v>19</v>
      </c>
      <c r="C246" s="19">
        <v>1234.0</v>
      </c>
      <c r="D246" s="9" t="s">
        <v>31</v>
      </c>
      <c r="E246" s="9" t="s">
        <v>32</v>
      </c>
      <c r="F246" s="9" t="s">
        <v>34</v>
      </c>
      <c r="G246" s="30">
        <v>67.0</v>
      </c>
      <c r="H246" s="27"/>
      <c r="I246" s="27"/>
      <c r="J246" s="27"/>
      <c r="K246" s="28">
        <f t="shared" si="12"/>
        <v>67</v>
      </c>
      <c r="L246" s="13">
        <f>IFERROR(VLOOKUP(E246,PRODUCTOS!$A$4:$F$28,6,FALSE()),0)</f>
        <v>6</v>
      </c>
      <c r="M246" s="13">
        <f t="shared" si="9"/>
        <v>402</v>
      </c>
      <c r="N246" s="14">
        <f>IFERROR(M246*CONFIG!$B$4,0)</f>
        <v>40.2</v>
      </c>
      <c r="O246" s="15">
        <f t="shared" si="10"/>
        <v>361.8</v>
      </c>
      <c r="P246" s="16" t="s">
        <v>23</v>
      </c>
      <c r="Q246" s="17"/>
    </row>
    <row r="247" ht="15.0" customHeight="1">
      <c r="A247" s="29">
        <v>46162.0</v>
      </c>
      <c r="B247" s="19" t="s">
        <v>19</v>
      </c>
      <c r="C247" s="19">
        <v>1234.0</v>
      </c>
      <c r="D247" s="9" t="s">
        <v>31</v>
      </c>
      <c r="E247" s="9" t="s">
        <v>32</v>
      </c>
      <c r="F247" s="9" t="s">
        <v>34</v>
      </c>
      <c r="G247" s="30">
        <v>50.0</v>
      </c>
      <c r="H247" s="27"/>
      <c r="I247" s="27"/>
      <c r="J247" s="27"/>
      <c r="K247" s="28">
        <f t="shared" si="12"/>
        <v>50</v>
      </c>
      <c r="L247" s="13">
        <f>IFERROR(VLOOKUP(E247,PRODUCTOS!$A$4:$F$28,6,FALSE()),0)</f>
        <v>6</v>
      </c>
      <c r="M247" s="13">
        <f t="shared" si="9"/>
        <v>300</v>
      </c>
      <c r="N247" s="14">
        <f>IFERROR(M247*CONFIG!$B$4,0)</f>
        <v>30</v>
      </c>
      <c r="O247" s="15">
        <f t="shared" si="10"/>
        <v>270</v>
      </c>
      <c r="P247" s="16" t="s">
        <v>23</v>
      </c>
      <c r="Q247" s="17"/>
    </row>
    <row r="248" ht="15.0" customHeight="1">
      <c r="A248" s="29">
        <v>46162.0</v>
      </c>
      <c r="B248" s="19" t="s">
        <v>19</v>
      </c>
      <c r="C248" s="19">
        <v>1234.0</v>
      </c>
      <c r="D248" s="9" t="s">
        <v>20</v>
      </c>
      <c r="E248" s="9" t="s">
        <v>53</v>
      </c>
      <c r="F248" s="9" t="s">
        <v>26</v>
      </c>
      <c r="G248" s="30">
        <v>64.0</v>
      </c>
      <c r="H248" s="30">
        <v>61.0</v>
      </c>
      <c r="I248" s="30">
        <v>64.0</v>
      </c>
      <c r="J248" s="27"/>
      <c r="K248" s="28">
        <f t="shared" si="12"/>
        <v>189</v>
      </c>
      <c r="L248" s="13">
        <f>IFERROR(VLOOKUP(E248,PRODUCTOS!$A$4:$F$28,6,FALSE()),0)</f>
        <v>1.7</v>
      </c>
      <c r="M248" s="13">
        <f t="shared" si="9"/>
        <v>321.3</v>
      </c>
      <c r="N248" s="14">
        <f>IFERROR(M248*CONFIG!$B$4,0)</f>
        <v>32.13</v>
      </c>
      <c r="O248" s="15">
        <f t="shared" si="10"/>
        <v>289.17</v>
      </c>
      <c r="P248" s="16" t="s">
        <v>23</v>
      </c>
      <c r="Q248" s="17"/>
    </row>
    <row r="249" ht="15.0" customHeight="1">
      <c r="A249" s="29">
        <v>46162.0</v>
      </c>
      <c r="B249" s="19" t="s">
        <v>19</v>
      </c>
      <c r="C249" s="19">
        <v>1234.0</v>
      </c>
      <c r="D249" s="9" t="s">
        <v>20</v>
      </c>
      <c r="E249" s="9" t="s">
        <v>21</v>
      </c>
      <c r="F249" s="9" t="s">
        <v>39</v>
      </c>
      <c r="G249" s="30">
        <v>32.0</v>
      </c>
      <c r="H249" s="30">
        <v>32.0</v>
      </c>
      <c r="I249" s="30">
        <v>32.0</v>
      </c>
      <c r="J249" s="27"/>
      <c r="K249" s="28">
        <f t="shared" si="12"/>
        <v>96</v>
      </c>
      <c r="L249" s="13">
        <f>IFERROR(VLOOKUP(E249,PRODUCTOS!$A$4:$F$28,6,FALSE()),0)</f>
        <v>1.7</v>
      </c>
      <c r="M249" s="13">
        <f t="shared" si="9"/>
        <v>163.2</v>
      </c>
      <c r="N249" s="14">
        <f>IFERROR(M249*CONFIG!$B$4,0)</f>
        <v>16.32</v>
      </c>
      <c r="O249" s="15">
        <f t="shared" si="10"/>
        <v>146.88</v>
      </c>
      <c r="P249" s="16" t="s">
        <v>23</v>
      </c>
      <c r="Q249" s="17"/>
    </row>
    <row r="250" ht="15.0" customHeight="1">
      <c r="A250" s="29">
        <v>46162.0</v>
      </c>
      <c r="B250" s="19" t="s">
        <v>19</v>
      </c>
      <c r="C250" s="19">
        <v>1234.0</v>
      </c>
      <c r="D250" s="9" t="s">
        <v>20</v>
      </c>
      <c r="E250" s="9" t="s">
        <v>21</v>
      </c>
      <c r="F250" s="9" t="s">
        <v>26</v>
      </c>
      <c r="G250" s="30">
        <v>32.0</v>
      </c>
      <c r="H250" s="30">
        <v>32.0</v>
      </c>
      <c r="I250" s="30">
        <v>32.0</v>
      </c>
      <c r="J250" s="27"/>
      <c r="K250" s="28">
        <f t="shared" si="12"/>
        <v>96</v>
      </c>
      <c r="L250" s="13">
        <f>IFERROR(VLOOKUP(E250,PRODUCTOS!$A$4:$F$28,6,FALSE()),0)</f>
        <v>1.7</v>
      </c>
      <c r="M250" s="13">
        <f t="shared" si="9"/>
        <v>163.2</v>
      </c>
      <c r="N250" s="14">
        <f>IFERROR(M250*CONFIG!$B$4,0)</f>
        <v>16.32</v>
      </c>
      <c r="O250" s="15">
        <f t="shared" si="10"/>
        <v>146.88</v>
      </c>
      <c r="P250" s="16" t="s">
        <v>23</v>
      </c>
      <c r="Q250" s="17"/>
    </row>
    <row r="251" ht="15.0" customHeight="1">
      <c r="A251" s="29">
        <v>46162.0</v>
      </c>
      <c r="B251" s="19" t="s">
        <v>19</v>
      </c>
      <c r="C251" s="19">
        <v>1234.0</v>
      </c>
      <c r="D251" s="9" t="s">
        <v>20</v>
      </c>
      <c r="E251" s="9" t="s">
        <v>53</v>
      </c>
      <c r="F251" s="9" t="s">
        <v>39</v>
      </c>
      <c r="G251" s="30">
        <v>63.0</v>
      </c>
      <c r="H251" s="30">
        <v>63.0</v>
      </c>
      <c r="I251" s="30">
        <v>64.0</v>
      </c>
      <c r="J251" s="27"/>
      <c r="K251" s="28">
        <f t="shared" si="12"/>
        <v>190</v>
      </c>
      <c r="L251" s="13">
        <f>IFERROR(VLOOKUP(E251,PRODUCTOS!$A$4:$F$28,6,FALSE()),0)</f>
        <v>1.7</v>
      </c>
      <c r="M251" s="13">
        <f t="shared" si="9"/>
        <v>323</v>
      </c>
      <c r="N251" s="14">
        <f>IFERROR(M251*CONFIG!$B$4,0)</f>
        <v>32.3</v>
      </c>
      <c r="O251" s="15">
        <f t="shared" si="10"/>
        <v>290.7</v>
      </c>
      <c r="P251" s="16" t="s">
        <v>23</v>
      </c>
      <c r="Q251" s="17"/>
    </row>
    <row r="252" ht="15.0" customHeight="1">
      <c r="A252" s="29">
        <v>46162.0</v>
      </c>
      <c r="B252" s="19" t="s">
        <v>19</v>
      </c>
      <c r="C252" s="19">
        <v>1234.0</v>
      </c>
      <c r="D252" s="9" t="s">
        <v>20</v>
      </c>
      <c r="E252" s="9" t="s">
        <v>21</v>
      </c>
      <c r="F252" s="9" t="s">
        <v>28</v>
      </c>
      <c r="G252" s="30">
        <v>16.0</v>
      </c>
      <c r="H252" s="30">
        <v>16.0</v>
      </c>
      <c r="I252" s="30">
        <v>16.0</v>
      </c>
      <c r="J252" s="27"/>
      <c r="K252" s="28">
        <f t="shared" si="12"/>
        <v>48</v>
      </c>
      <c r="L252" s="13">
        <f>IFERROR(VLOOKUP(E252,PRODUCTOS!$A$4:$F$28,6,FALSE()),0)</f>
        <v>1.7</v>
      </c>
      <c r="M252" s="13">
        <f t="shared" si="9"/>
        <v>81.6</v>
      </c>
      <c r="N252" s="14">
        <f>IFERROR(M252*CONFIG!$B$4,0)</f>
        <v>8.16</v>
      </c>
      <c r="O252" s="15">
        <f t="shared" si="10"/>
        <v>73.44</v>
      </c>
      <c r="P252" s="16" t="s">
        <v>23</v>
      </c>
      <c r="Q252" s="17"/>
    </row>
    <row r="253" ht="15.0" customHeight="1">
      <c r="A253" s="29">
        <v>46162.0</v>
      </c>
      <c r="B253" s="19" t="s">
        <v>19</v>
      </c>
      <c r="C253" s="19">
        <v>1234.0</v>
      </c>
      <c r="D253" s="9" t="s">
        <v>20</v>
      </c>
      <c r="E253" s="9" t="s">
        <v>53</v>
      </c>
      <c r="F253" s="9" t="s">
        <v>28</v>
      </c>
      <c r="G253" s="30">
        <v>32.0</v>
      </c>
      <c r="H253" s="30">
        <v>32.0</v>
      </c>
      <c r="I253" s="30">
        <v>32.0</v>
      </c>
      <c r="J253" s="27"/>
      <c r="K253" s="28">
        <f t="shared" si="12"/>
        <v>96</v>
      </c>
      <c r="L253" s="13">
        <f>IFERROR(VLOOKUP(E253,PRODUCTOS!$A$4:$F$28,6,FALSE()),0)</f>
        <v>1.7</v>
      </c>
      <c r="M253" s="13">
        <f t="shared" si="9"/>
        <v>163.2</v>
      </c>
      <c r="N253" s="14">
        <f>IFERROR(M253*CONFIG!$B$4,0)</f>
        <v>16.32</v>
      </c>
      <c r="O253" s="15">
        <f t="shared" si="10"/>
        <v>146.88</v>
      </c>
      <c r="P253" s="16" t="s">
        <v>23</v>
      </c>
      <c r="Q253" s="17"/>
    </row>
    <row r="254" ht="15.0" customHeight="1">
      <c r="A254" s="29">
        <v>46162.0</v>
      </c>
      <c r="B254" s="19" t="s">
        <v>19</v>
      </c>
      <c r="C254" s="19">
        <v>1234.0</v>
      </c>
      <c r="D254" s="9" t="s">
        <v>20</v>
      </c>
      <c r="E254" s="9" t="s">
        <v>21</v>
      </c>
      <c r="F254" s="9" t="s">
        <v>34</v>
      </c>
      <c r="G254" s="27"/>
      <c r="H254" s="30">
        <v>64.0</v>
      </c>
      <c r="I254" s="30">
        <v>58.0</v>
      </c>
      <c r="J254" s="27"/>
      <c r="K254" s="28">
        <f t="shared" si="12"/>
        <v>122</v>
      </c>
      <c r="L254" s="13">
        <f>IFERROR(VLOOKUP(E254,PRODUCTOS!$A$4:$F$28,6,FALSE()),0)</f>
        <v>1.7</v>
      </c>
      <c r="M254" s="13">
        <f t="shared" si="9"/>
        <v>207.4</v>
      </c>
      <c r="N254" s="14">
        <f>IFERROR(M254*CONFIG!$B$4,0)</f>
        <v>20.74</v>
      </c>
      <c r="O254" s="15">
        <f t="shared" si="10"/>
        <v>186.66</v>
      </c>
      <c r="P254" s="16" t="s">
        <v>23</v>
      </c>
      <c r="Q254" s="17"/>
    </row>
    <row r="255" ht="15.0" customHeight="1">
      <c r="A255" s="29">
        <v>46162.0</v>
      </c>
      <c r="B255" s="19" t="s">
        <v>19</v>
      </c>
      <c r="C255" s="19">
        <v>1234.0</v>
      </c>
      <c r="D255" s="9" t="s">
        <v>20</v>
      </c>
      <c r="E255" s="9" t="s">
        <v>51</v>
      </c>
      <c r="F255" s="9" t="s">
        <v>22</v>
      </c>
      <c r="G255" s="30">
        <v>22.0</v>
      </c>
      <c r="H255" s="30">
        <v>44.0</v>
      </c>
      <c r="I255" s="30">
        <v>44.0</v>
      </c>
      <c r="J255" s="30">
        <v>19.0</v>
      </c>
      <c r="K255" s="28">
        <f t="shared" si="12"/>
        <v>129</v>
      </c>
      <c r="L255" s="13" t="str">
        <f>IFERROR(VLOOKUP(E255,PRODUCTOS!$A$4:$F$28,6,FALSE()),0)</f>
        <v/>
      </c>
      <c r="M255" s="13">
        <f t="shared" si="9"/>
        <v>0</v>
      </c>
      <c r="N255" s="14">
        <f>IFERROR(M255*CONFIG!$B$4,0)</f>
        <v>0</v>
      </c>
      <c r="O255" s="15">
        <f t="shared" si="10"/>
        <v>0</v>
      </c>
      <c r="P255" s="16" t="s">
        <v>23</v>
      </c>
      <c r="Q255" s="17"/>
    </row>
    <row r="256" ht="15.0" customHeight="1">
      <c r="A256" s="29">
        <v>46162.0</v>
      </c>
      <c r="B256" s="19" t="s">
        <v>19</v>
      </c>
      <c r="C256" s="19">
        <v>1234.0</v>
      </c>
      <c r="D256" s="9" t="s">
        <v>20</v>
      </c>
      <c r="E256" s="9" t="s">
        <v>53</v>
      </c>
      <c r="F256" s="9" t="s">
        <v>34</v>
      </c>
      <c r="G256" s="30">
        <v>128.0</v>
      </c>
      <c r="H256" s="30">
        <v>128.0</v>
      </c>
      <c r="I256" s="30">
        <v>127.0</v>
      </c>
      <c r="J256" s="27"/>
      <c r="K256" s="28">
        <f t="shared" si="12"/>
        <v>383</v>
      </c>
      <c r="L256" s="13">
        <f>IFERROR(VLOOKUP(E256,PRODUCTOS!$A$4:$F$28,6,FALSE()),0)</f>
        <v>1.7</v>
      </c>
      <c r="M256" s="13">
        <f t="shared" si="9"/>
        <v>651.1</v>
      </c>
      <c r="N256" s="14">
        <f>IFERROR(M256*CONFIG!$B$4,0)</f>
        <v>65.11</v>
      </c>
      <c r="O256" s="15">
        <f t="shared" si="10"/>
        <v>585.99</v>
      </c>
      <c r="P256" s="16" t="s">
        <v>23</v>
      </c>
      <c r="Q256" s="17"/>
    </row>
    <row r="257" ht="15.0" customHeight="1">
      <c r="A257" s="29">
        <v>46162.0</v>
      </c>
      <c r="B257" s="19" t="s">
        <v>19</v>
      </c>
      <c r="C257" s="19">
        <v>1234.0</v>
      </c>
      <c r="D257" s="9" t="s">
        <v>31</v>
      </c>
      <c r="E257" s="9" t="s">
        <v>32</v>
      </c>
      <c r="F257" s="9" t="s">
        <v>34</v>
      </c>
      <c r="G257" s="27"/>
      <c r="H257" s="30">
        <v>90.0</v>
      </c>
      <c r="I257" s="27"/>
      <c r="J257" s="27"/>
      <c r="K257" s="28">
        <f t="shared" si="12"/>
        <v>90</v>
      </c>
      <c r="L257" s="13">
        <f>IFERROR(VLOOKUP(E257,PRODUCTOS!$A$4:$F$28,6,FALSE()),0)</f>
        <v>6</v>
      </c>
      <c r="M257" s="13">
        <f t="shared" si="9"/>
        <v>540</v>
      </c>
      <c r="N257" s="14">
        <f>IFERROR(M257*CONFIG!$B$4,0)</f>
        <v>54</v>
      </c>
      <c r="O257" s="15">
        <f t="shared" si="10"/>
        <v>486</v>
      </c>
      <c r="P257" s="16" t="s">
        <v>23</v>
      </c>
      <c r="Q257" s="17"/>
    </row>
    <row r="258" ht="15.0" customHeight="1">
      <c r="A258" s="29">
        <v>46162.0</v>
      </c>
      <c r="B258" s="19" t="s">
        <v>19</v>
      </c>
      <c r="C258" s="19">
        <v>1234.0</v>
      </c>
      <c r="D258" s="9" t="s">
        <v>20</v>
      </c>
      <c r="E258" s="9" t="s">
        <v>53</v>
      </c>
      <c r="F258" s="9" t="s">
        <v>44</v>
      </c>
      <c r="G258" s="30">
        <v>32.0</v>
      </c>
      <c r="H258" s="30">
        <v>32.0</v>
      </c>
      <c r="I258" s="30">
        <v>32.0</v>
      </c>
      <c r="J258" s="27"/>
      <c r="K258" s="28">
        <f t="shared" si="12"/>
        <v>96</v>
      </c>
      <c r="L258" s="13">
        <f>IFERROR(VLOOKUP(E258,PRODUCTOS!$A$4:$F$28,6,FALSE()),0)</f>
        <v>1.7</v>
      </c>
      <c r="M258" s="13">
        <f t="shared" si="9"/>
        <v>163.2</v>
      </c>
      <c r="N258" s="14">
        <f>IFERROR(M258*CONFIG!$B$4,0)</f>
        <v>16.32</v>
      </c>
      <c r="O258" s="15">
        <f t="shared" si="10"/>
        <v>146.88</v>
      </c>
      <c r="P258" s="16" t="s">
        <v>23</v>
      </c>
      <c r="Q258" s="17"/>
    </row>
    <row r="259" ht="15.0" customHeight="1">
      <c r="A259" s="29">
        <v>46162.0</v>
      </c>
      <c r="B259" s="19" t="s">
        <v>19</v>
      </c>
      <c r="C259" s="19">
        <v>1234.0</v>
      </c>
      <c r="D259" s="9" t="s">
        <v>20</v>
      </c>
      <c r="E259" s="9" t="s">
        <v>25</v>
      </c>
      <c r="F259" s="9" t="s">
        <v>44</v>
      </c>
      <c r="G259" s="27"/>
      <c r="H259" s="27"/>
      <c r="I259" s="27"/>
      <c r="J259" s="30">
        <v>37.0</v>
      </c>
      <c r="K259" s="28">
        <f t="shared" si="12"/>
        <v>37</v>
      </c>
      <c r="L259" s="13">
        <f>IFERROR(VLOOKUP(E259,PRODUCTOS!$A$4:$F$28,6,FALSE()),0)</f>
        <v>4</v>
      </c>
      <c r="M259" s="13">
        <f t="shared" si="9"/>
        <v>148</v>
      </c>
      <c r="N259" s="14">
        <f>IFERROR(M259*CONFIG!$B$4,0)</f>
        <v>14.8</v>
      </c>
      <c r="O259" s="15">
        <f t="shared" si="10"/>
        <v>133.2</v>
      </c>
      <c r="P259" s="16" t="s">
        <v>23</v>
      </c>
      <c r="Q259" s="17"/>
    </row>
    <row r="260" ht="15.0" customHeight="1">
      <c r="A260" s="29">
        <v>46162.0</v>
      </c>
      <c r="B260" s="19" t="s">
        <v>19</v>
      </c>
      <c r="C260" s="19">
        <v>1234.0</v>
      </c>
      <c r="D260" s="9" t="s">
        <v>20</v>
      </c>
      <c r="E260" s="9" t="s">
        <v>51</v>
      </c>
      <c r="F260" s="9" t="s">
        <v>47</v>
      </c>
      <c r="G260" s="30">
        <v>9.0</v>
      </c>
      <c r="H260" s="30">
        <v>19.0</v>
      </c>
      <c r="I260" s="30">
        <v>20.0</v>
      </c>
      <c r="J260" s="30">
        <v>10.0</v>
      </c>
      <c r="K260" s="28">
        <f t="shared" si="12"/>
        <v>58</v>
      </c>
      <c r="L260" s="13" t="str">
        <f>IFERROR(VLOOKUP(E260,PRODUCTOS!$A$4:$F$28,6,FALSE()),0)</f>
        <v/>
      </c>
      <c r="M260" s="13">
        <f t="shared" si="9"/>
        <v>0</v>
      </c>
      <c r="N260" s="14">
        <f>IFERROR(M260*CONFIG!$B$4,0)</f>
        <v>0</v>
      </c>
      <c r="O260" s="15">
        <f t="shared" si="10"/>
        <v>0</v>
      </c>
      <c r="P260" s="16" t="s">
        <v>23</v>
      </c>
      <c r="Q260" s="17"/>
    </row>
    <row r="261" ht="15.0" customHeight="1">
      <c r="A261" s="29">
        <v>46162.0</v>
      </c>
      <c r="B261" s="19" t="s">
        <v>19</v>
      </c>
      <c r="C261" s="19">
        <v>1234.0</v>
      </c>
      <c r="D261" s="9" t="s">
        <v>20</v>
      </c>
      <c r="E261" s="9" t="s">
        <v>53</v>
      </c>
      <c r="F261" s="9" t="s">
        <v>22</v>
      </c>
      <c r="G261" s="27"/>
      <c r="H261" s="27"/>
      <c r="I261" s="30">
        <v>125.0</v>
      </c>
      <c r="J261" s="27"/>
      <c r="K261" s="28">
        <f t="shared" si="12"/>
        <v>125</v>
      </c>
      <c r="L261" s="13">
        <f>IFERROR(VLOOKUP(E261,PRODUCTOS!$A$4:$F$28,6,FALSE()),0)</f>
        <v>1.7</v>
      </c>
      <c r="M261" s="13">
        <f t="shared" si="9"/>
        <v>212.5</v>
      </c>
      <c r="N261" s="14">
        <f>IFERROR(M261*CONFIG!$B$4,0)</f>
        <v>21.25</v>
      </c>
      <c r="O261" s="15">
        <f t="shared" si="10"/>
        <v>191.25</v>
      </c>
      <c r="P261" s="16" t="s">
        <v>23</v>
      </c>
      <c r="Q261" s="17"/>
    </row>
    <row r="262" ht="15.0" customHeight="1">
      <c r="A262" s="29">
        <v>46162.0</v>
      </c>
      <c r="B262" s="19" t="s">
        <v>19</v>
      </c>
      <c r="C262" s="19">
        <v>1234.0</v>
      </c>
      <c r="D262" s="9" t="s">
        <v>20</v>
      </c>
      <c r="E262" s="9" t="s">
        <v>53</v>
      </c>
      <c r="F262" s="9" t="s">
        <v>40</v>
      </c>
      <c r="G262" s="30">
        <v>68.0</v>
      </c>
      <c r="H262" s="30">
        <v>68.0</v>
      </c>
      <c r="I262" s="30">
        <v>68.0</v>
      </c>
      <c r="J262" s="27"/>
      <c r="K262" s="28">
        <f t="shared" si="12"/>
        <v>204</v>
      </c>
      <c r="L262" s="13">
        <f>IFERROR(VLOOKUP(E262,PRODUCTOS!$A$4:$F$28,6,FALSE()),0)</f>
        <v>1.7</v>
      </c>
      <c r="M262" s="13">
        <f t="shared" si="9"/>
        <v>346.8</v>
      </c>
      <c r="N262" s="14">
        <f>IFERROR(M262*CONFIG!$B$4,0)</f>
        <v>34.68</v>
      </c>
      <c r="O262" s="15">
        <f t="shared" si="10"/>
        <v>312.12</v>
      </c>
      <c r="P262" s="16" t="s">
        <v>23</v>
      </c>
      <c r="Q262" s="17"/>
    </row>
    <row r="263" ht="15.0" customHeight="1">
      <c r="A263" s="29">
        <v>46162.0</v>
      </c>
      <c r="B263" s="19" t="s">
        <v>19</v>
      </c>
      <c r="C263" s="19">
        <v>1234.0</v>
      </c>
      <c r="D263" s="9" t="s">
        <v>20</v>
      </c>
      <c r="E263" s="9" t="s">
        <v>21</v>
      </c>
      <c r="F263" s="9" t="s">
        <v>40</v>
      </c>
      <c r="G263" s="30">
        <v>34.0</v>
      </c>
      <c r="H263" s="30">
        <v>32.0</v>
      </c>
      <c r="I263" s="30">
        <v>34.0</v>
      </c>
      <c r="J263" s="27"/>
      <c r="K263" s="28">
        <f t="shared" si="12"/>
        <v>100</v>
      </c>
      <c r="L263" s="13">
        <f>IFERROR(VLOOKUP(E263,PRODUCTOS!$A$4:$F$28,6,FALSE()),0)</f>
        <v>1.7</v>
      </c>
      <c r="M263" s="13">
        <f t="shared" si="9"/>
        <v>170</v>
      </c>
      <c r="N263" s="14">
        <f>IFERROR(M263*CONFIG!$B$4,0)</f>
        <v>17</v>
      </c>
      <c r="O263" s="15">
        <f t="shared" si="10"/>
        <v>153</v>
      </c>
      <c r="P263" s="16" t="s">
        <v>23</v>
      </c>
      <c r="Q263" s="17"/>
    </row>
    <row r="264" ht="15.0" customHeight="1">
      <c r="A264" s="29">
        <v>46162.0</v>
      </c>
      <c r="B264" s="19" t="s">
        <v>19</v>
      </c>
      <c r="C264" s="19">
        <v>1234.0</v>
      </c>
      <c r="D264" s="9" t="s">
        <v>20</v>
      </c>
      <c r="E264" s="9" t="s">
        <v>21</v>
      </c>
      <c r="F264" s="9" t="s">
        <v>24</v>
      </c>
      <c r="G264" s="30">
        <v>31.0</v>
      </c>
      <c r="H264" s="30">
        <v>31.0</v>
      </c>
      <c r="I264" s="30">
        <v>32.0</v>
      </c>
      <c r="J264" s="27"/>
      <c r="K264" s="28">
        <f t="shared" si="12"/>
        <v>94</v>
      </c>
      <c r="L264" s="13">
        <f>IFERROR(VLOOKUP(E264,PRODUCTOS!$A$4:$F$28,6,FALSE()),0)</f>
        <v>1.7</v>
      </c>
      <c r="M264" s="13">
        <f t="shared" si="9"/>
        <v>159.8</v>
      </c>
      <c r="N264" s="14">
        <f>IFERROR(M264*CONFIG!$B$4,0)</f>
        <v>15.98</v>
      </c>
      <c r="O264" s="15">
        <f t="shared" si="10"/>
        <v>143.82</v>
      </c>
      <c r="P264" s="16" t="s">
        <v>23</v>
      </c>
      <c r="Q264" s="17"/>
    </row>
    <row r="265" ht="15.0" customHeight="1">
      <c r="A265" s="29">
        <v>46162.0</v>
      </c>
      <c r="B265" s="19" t="s">
        <v>19</v>
      </c>
      <c r="C265" s="19">
        <v>1234.0</v>
      </c>
      <c r="D265" s="9" t="s">
        <v>20</v>
      </c>
      <c r="E265" s="9" t="s">
        <v>53</v>
      </c>
      <c r="F265" s="9" t="s">
        <v>24</v>
      </c>
      <c r="G265" s="30">
        <v>62.0</v>
      </c>
      <c r="H265" s="30">
        <v>65.0</v>
      </c>
      <c r="I265" s="30">
        <v>61.0</v>
      </c>
      <c r="J265" s="27"/>
      <c r="K265" s="28">
        <f t="shared" si="12"/>
        <v>188</v>
      </c>
      <c r="L265" s="13">
        <f>IFERROR(VLOOKUP(E265,PRODUCTOS!$A$4:$F$28,6,FALSE()),0)</f>
        <v>1.7</v>
      </c>
      <c r="M265" s="13">
        <f t="shared" si="9"/>
        <v>319.6</v>
      </c>
      <c r="N265" s="14">
        <f>IFERROR(M265*CONFIG!$B$4,0)</f>
        <v>31.96</v>
      </c>
      <c r="O265" s="15">
        <f t="shared" si="10"/>
        <v>287.64</v>
      </c>
      <c r="P265" s="16" t="s">
        <v>23</v>
      </c>
      <c r="Q265" s="17"/>
    </row>
    <row r="266" ht="15.0" customHeight="1">
      <c r="A266" s="26"/>
      <c r="B266" s="25"/>
      <c r="C266" s="25"/>
      <c r="D266" s="17"/>
      <c r="E266" s="17"/>
      <c r="F266" s="17"/>
      <c r="G266" s="27"/>
      <c r="H266" s="27"/>
      <c r="I266" s="27"/>
      <c r="J266" s="27"/>
      <c r="K266" s="28">
        <f t="shared" si="12"/>
        <v>0</v>
      </c>
      <c r="L266" s="13">
        <f>IFERROR(VLOOKUP(E266,PRODUCTOS!$A$4:$F$28,6,FALSE()),0)</f>
        <v>0</v>
      </c>
      <c r="M266" s="13">
        <f t="shared" si="9"/>
        <v>0</v>
      </c>
      <c r="N266" s="14">
        <f>IFERROR(M266*CONFIG!$B$4,0)</f>
        <v>0</v>
      </c>
      <c r="O266" s="15">
        <f t="shared" si="10"/>
        <v>0</v>
      </c>
      <c r="P266" s="25"/>
      <c r="Q266" s="17"/>
    </row>
    <row r="267" ht="15.0" customHeight="1">
      <c r="A267" s="26"/>
      <c r="B267" s="25"/>
      <c r="C267" s="25"/>
      <c r="D267" s="17"/>
      <c r="E267" s="17"/>
      <c r="F267" s="17"/>
      <c r="G267" s="27"/>
      <c r="H267" s="27"/>
      <c r="I267" s="27"/>
      <c r="J267" s="27"/>
      <c r="K267" s="28">
        <f t="shared" si="12"/>
        <v>0</v>
      </c>
      <c r="L267" s="13">
        <f>IFERROR(VLOOKUP(E267,PRODUCTOS!$A$4:$F$28,6,FALSE()),0)</f>
        <v>0</v>
      </c>
      <c r="M267" s="13">
        <f t="shared" si="9"/>
        <v>0</v>
      </c>
      <c r="N267" s="14">
        <f>IFERROR(M267*CONFIG!$B$4,0)</f>
        <v>0</v>
      </c>
      <c r="O267" s="15">
        <f t="shared" si="10"/>
        <v>0</v>
      </c>
      <c r="P267" s="25"/>
      <c r="Q267" s="17"/>
    </row>
    <row r="268" ht="15.0" customHeight="1">
      <c r="A268" s="26"/>
      <c r="B268" s="25"/>
      <c r="C268" s="25"/>
      <c r="D268" s="17"/>
      <c r="E268" s="17"/>
      <c r="F268" s="17"/>
      <c r="G268" s="27"/>
      <c r="H268" s="27"/>
      <c r="I268" s="27"/>
      <c r="J268" s="27"/>
      <c r="K268" s="28">
        <f t="shared" si="12"/>
        <v>0</v>
      </c>
      <c r="L268" s="13">
        <f>IFERROR(VLOOKUP(E268,PRODUCTOS!$A$4:$F$28,6,FALSE()),0)</f>
        <v>0</v>
      </c>
      <c r="M268" s="13">
        <f t="shared" si="9"/>
        <v>0</v>
      </c>
      <c r="N268" s="14">
        <f>IFERROR(M268*CONFIG!$B$4,0)</f>
        <v>0</v>
      </c>
      <c r="O268" s="15">
        <f t="shared" si="10"/>
        <v>0</v>
      </c>
      <c r="P268" s="25"/>
      <c r="Q268" s="17"/>
    </row>
    <row r="269" ht="15.0" customHeight="1">
      <c r="A269" s="26"/>
      <c r="B269" s="25"/>
      <c r="C269" s="25"/>
      <c r="D269" s="17"/>
      <c r="E269" s="17"/>
      <c r="F269" s="17"/>
      <c r="G269" s="27"/>
      <c r="H269" s="27"/>
      <c r="I269" s="27"/>
      <c r="J269" s="27"/>
      <c r="K269" s="28">
        <f t="shared" si="12"/>
        <v>0</v>
      </c>
      <c r="L269" s="13">
        <f>IFERROR(VLOOKUP(E269,PRODUCTOS!$A$4:$F$28,6,FALSE()),0)</f>
        <v>0</v>
      </c>
      <c r="M269" s="13">
        <f t="shared" si="9"/>
        <v>0</v>
      </c>
      <c r="N269" s="14">
        <f>IFERROR(M269*CONFIG!$B$4,0)</f>
        <v>0</v>
      </c>
      <c r="O269" s="15">
        <f t="shared" si="10"/>
        <v>0</v>
      </c>
      <c r="P269" s="25"/>
      <c r="Q269" s="17"/>
    </row>
    <row r="270" ht="15.0" customHeight="1">
      <c r="A270" s="26"/>
      <c r="B270" s="25"/>
      <c r="C270" s="25"/>
      <c r="D270" s="17"/>
      <c r="E270" s="17"/>
      <c r="F270" s="17"/>
      <c r="G270" s="27"/>
      <c r="H270" s="27"/>
      <c r="I270" s="27"/>
      <c r="J270" s="27"/>
      <c r="K270" s="28">
        <f t="shared" si="12"/>
        <v>0</v>
      </c>
      <c r="L270" s="13">
        <f>IFERROR(VLOOKUP(E270,PRODUCTOS!$A$4:$F$28,6,FALSE()),0)</f>
        <v>0</v>
      </c>
      <c r="M270" s="13">
        <f t="shared" si="9"/>
        <v>0</v>
      </c>
      <c r="N270" s="14">
        <f>IFERROR(M270*CONFIG!$B$4,0)</f>
        <v>0</v>
      </c>
      <c r="O270" s="15">
        <f t="shared" si="10"/>
        <v>0</v>
      </c>
      <c r="P270" s="25"/>
      <c r="Q270" s="17"/>
    </row>
    <row r="271" ht="15.0" customHeight="1">
      <c r="A271" s="26"/>
      <c r="B271" s="25"/>
      <c r="C271" s="25"/>
      <c r="D271" s="17"/>
      <c r="E271" s="17"/>
      <c r="F271" s="17"/>
      <c r="G271" s="27"/>
      <c r="H271" s="27"/>
      <c r="I271" s="27"/>
      <c r="J271" s="27"/>
      <c r="K271" s="28">
        <f t="shared" si="12"/>
        <v>0</v>
      </c>
      <c r="L271" s="13">
        <f>IFERROR(VLOOKUP(E271,PRODUCTOS!$A$4:$F$28,6,FALSE()),0)</f>
        <v>0</v>
      </c>
      <c r="M271" s="13">
        <f t="shared" si="9"/>
        <v>0</v>
      </c>
      <c r="N271" s="14">
        <f>IFERROR(M271*CONFIG!$B$4,0)</f>
        <v>0</v>
      </c>
      <c r="O271" s="15">
        <f t="shared" si="10"/>
        <v>0</v>
      </c>
      <c r="P271" s="25"/>
      <c r="Q271" s="17"/>
    </row>
    <row r="272" ht="15.0" customHeight="1">
      <c r="A272" s="26"/>
      <c r="B272" s="25"/>
      <c r="C272" s="25"/>
      <c r="D272" s="17"/>
      <c r="E272" s="17"/>
      <c r="F272" s="17"/>
      <c r="G272" s="27"/>
      <c r="H272" s="27"/>
      <c r="I272" s="27"/>
      <c r="J272" s="27"/>
      <c r="K272" s="28">
        <f t="shared" si="12"/>
        <v>0</v>
      </c>
      <c r="L272" s="13">
        <f>IFERROR(VLOOKUP(E272,PRODUCTOS!$A$4:$F$28,6,FALSE()),0)</f>
        <v>0</v>
      </c>
      <c r="M272" s="13">
        <f t="shared" si="9"/>
        <v>0</v>
      </c>
      <c r="N272" s="14">
        <f>IFERROR(M272*CONFIG!$B$4,0)</f>
        <v>0</v>
      </c>
      <c r="O272" s="15">
        <f t="shared" si="10"/>
        <v>0</v>
      </c>
      <c r="P272" s="25"/>
      <c r="Q272" s="17"/>
    </row>
    <row r="273" ht="15.0" customHeight="1">
      <c r="A273" s="26"/>
      <c r="B273" s="25"/>
      <c r="C273" s="25"/>
      <c r="D273" s="17"/>
      <c r="E273" s="17"/>
      <c r="F273" s="17"/>
      <c r="G273" s="27"/>
      <c r="H273" s="27"/>
      <c r="I273" s="27"/>
      <c r="J273" s="27"/>
      <c r="K273" s="28">
        <f t="shared" si="12"/>
        <v>0</v>
      </c>
      <c r="L273" s="13">
        <f>IFERROR(VLOOKUP(E273,PRODUCTOS!$A$4:$F$28,6,FALSE()),0)</f>
        <v>0</v>
      </c>
      <c r="M273" s="13">
        <f t="shared" si="9"/>
        <v>0</v>
      </c>
      <c r="N273" s="14">
        <f>IFERROR(M273*CONFIG!$B$4,0)</f>
        <v>0</v>
      </c>
      <c r="O273" s="15">
        <f t="shared" si="10"/>
        <v>0</v>
      </c>
      <c r="P273" s="25"/>
      <c r="Q273" s="17"/>
    </row>
    <row r="274" ht="15.0" customHeight="1">
      <c r="A274" s="26"/>
      <c r="B274" s="25"/>
      <c r="C274" s="25"/>
      <c r="D274" s="17"/>
      <c r="E274" s="17"/>
      <c r="F274" s="17"/>
      <c r="G274" s="27"/>
      <c r="H274" s="27"/>
      <c r="I274" s="27"/>
      <c r="J274" s="27"/>
      <c r="K274" s="28">
        <f t="shared" si="12"/>
        <v>0</v>
      </c>
      <c r="L274" s="13">
        <f>IFERROR(VLOOKUP(E274,PRODUCTOS!$A$4:$F$28,6,FALSE()),0)</f>
        <v>0</v>
      </c>
      <c r="M274" s="13">
        <f t="shared" si="9"/>
        <v>0</v>
      </c>
      <c r="N274" s="14">
        <f>IFERROR(M274*CONFIG!$B$4,0)</f>
        <v>0</v>
      </c>
      <c r="O274" s="15">
        <f t="shared" si="10"/>
        <v>0</v>
      </c>
      <c r="P274" s="25"/>
      <c r="Q274" s="17"/>
    </row>
    <row r="275" ht="15.0" customHeight="1">
      <c r="A275" s="26"/>
      <c r="B275" s="25"/>
      <c r="C275" s="25"/>
      <c r="D275" s="17"/>
      <c r="E275" s="17"/>
      <c r="F275" s="17"/>
      <c r="G275" s="27"/>
      <c r="H275" s="27"/>
      <c r="I275" s="27"/>
      <c r="J275" s="27"/>
      <c r="K275" s="28">
        <f t="shared" si="12"/>
        <v>0</v>
      </c>
      <c r="L275" s="13">
        <f>IFERROR(VLOOKUP(E275,PRODUCTOS!$A$4:$F$28,6,FALSE()),0)</f>
        <v>0</v>
      </c>
      <c r="M275" s="13">
        <f t="shared" si="9"/>
        <v>0</v>
      </c>
      <c r="N275" s="14">
        <f>IFERROR(M275*CONFIG!$B$4,0)</f>
        <v>0</v>
      </c>
      <c r="O275" s="15">
        <f t="shared" si="10"/>
        <v>0</v>
      </c>
      <c r="P275" s="25"/>
      <c r="Q275" s="17"/>
    </row>
    <row r="276" ht="15.0" customHeight="1">
      <c r="A276" s="26"/>
      <c r="B276" s="25"/>
      <c r="C276" s="25"/>
      <c r="D276" s="17"/>
      <c r="E276" s="17"/>
      <c r="F276" s="17"/>
      <c r="G276" s="27"/>
      <c r="H276" s="27"/>
      <c r="I276" s="27"/>
      <c r="J276" s="27"/>
      <c r="K276" s="28">
        <f t="shared" si="12"/>
        <v>0</v>
      </c>
      <c r="L276" s="13">
        <f>IFERROR(VLOOKUP(E276,PRODUCTOS!$A$4:$F$28,6,FALSE()),0)</f>
        <v>0</v>
      </c>
      <c r="M276" s="13">
        <f t="shared" si="9"/>
        <v>0</v>
      </c>
      <c r="N276" s="14">
        <f>IFERROR(M276*CONFIG!$B$4,0)</f>
        <v>0</v>
      </c>
      <c r="O276" s="15">
        <f t="shared" si="10"/>
        <v>0</v>
      </c>
      <c r="P276" s="25"/>
      <c r="Q276" s="17"/>
    </row>
    <row r="277" ht="15.0" customHeight="1">
      <c r="A277" s="26"/>
      <c r="B277" s="25"/>
      <c r="C277" s="25"/>
      <c r="D277" s="17"/>
      <c r="E277" s="17"/>
      <c r="F277" s="17"/>
      <c r="G277" s="27"/>
      <c r="H277" s="27"/>
      <c r="I277" s="27"/>
      <c r="J277" s="27"/>
      <c r="K277" s="28">
        <f t="shared" si="12"/>
        <v>0</v>
      </c>
      <c r="L277" s="13">
        <f>IFERROR(VLOOKUP(E277,PRODUCTOS!$A$4:$F$28,6,FALSE()),0)</f>
        <v>0</v>
      </c>
      <c r="M277" s="13">
        <f t="shared" si="9"/>
        <v>0</v>
      </c>
      <c r="N277" s="14">
        <f>IFERROR(M277*CONFIG!$B$4,0)</f>
        <v>0</v>
      </c>
      <c r="O277" s="15">
        <f t="shared" si="10"/>
        <v>0</v>
      </c>
      <c r="P277" s="25"/>
      <c r="Q277" s="17"/>
    </row>
    <row r="278" ht="15.0" customHeight="1">
      <c r="A278" s="26"/>
      <c r="B278" s="25"/>
      <c r="C278" s="25"/>
      <c r="D278" s="17"/>
      <c r="E278" s="17"/>
      <c r="F278" s="17"/>
      <c r="G278" s="27"/>
      <c r="H278" s="27"/>
      <c r="I278" s="27"/>
      <c r="J278" s="27"/>
      <c r="K278" s="28">
        <f t="shared" si="12"/>
        <v>0</v>
      </c>
      <c r="L278" s="13">
        <f>IFERROR(VLOOKUP(E278,PRODUCTOS!$A$4:$F$28,6,FALSE()),0)</f>
        <v>0</v>
      </c>
      <c r="M278" s="13">
        <f t="shared" si="9"/>
        <v>0</v>
      </c>
      <c r="N278" s="14">
        <f>IFERROR(M278*CONFIG!$B$4,0)</f>
        <v>0</v>
      </c>
      <c r="O278" s="15">
        <f t="shared" si="10"/>
        <v>0</v>
      </c>
      <c r="P278" s="25"/>
      <c r="Q278" s="17"/>
    </row>
    <row r="279" ht="15.0" customHeight="1">
      <c r="A279" s="26"/>
      <c r="B279" s="25"/>
      <c r="C279" s="25"/>
      <c r="D279" s="17"/>
      <c r="E279" s="17"/>
      <c r="F279" s="17"/>
      <c r="G279" s="27"/>
      <c r="H279" s="27"/>
      <c r="I279" s="27"/>
      <c r="J279" s="27"/>
      <c r="K279" s="28">
        <f t="shared" si="12"/>
        <v>0</v>
      </c>
      <c r="L279" s="13">
        <f>IFERROR(VLOOKUP(E279,PRODUCTOS!$A$4:$F$28,6,FALSE()),0)</f>
        <v>0</v>
      </c>
      <c r="M279" s="13">
        <f t="shared" si="9"/>
        <v>0</v>
      </c>
      <c r="N279" s="14">
        <f>IFERROR(M279*CONFIG!$B$4,0)</f>
        <v>0</v>
      </c>
      <c r="O279" s="15">
        <f t="shared" si="10"/>
        <v>0</v>
      </c>
      <c r="P279" s="25"/>
      <c r="Q279" s="17"/>
    </row>
    <row r="280" ht="15.0" customHeight="1">
      <c r="A280" s="26"/>
      <c r="B280" s="25"/>
      <c r="C280" s="25"/>
      <c r="D280" s="17"/>
      <c r="E280" s="17"/>
      <c r="F280" s="17"/>
      <c r="G280" s="27"/>
      <c r="H280" s="27"/>
      <c r="I280" s="27"/>
      <c r="J280" s="27"/>
      <c r="K280" s="28">
        <f t="shared" si="12"/>
        <v>0</v>
      </c>
      <c r="L280" s="13">
        <f>IFERROR(VLOOKUP(E280,PRODUCTOS!$A$4:$F$28,6,FALSE()),0)</f>
        <v>0</v>
      </c>
      <c r="M280" s="13">
        <f t="shared" si="9"/>
        <v>0</v>
      </c>
      <c r="N280" s="14">
        <f>IFERROR(M280*CONFIG!$B$4,0)</f>
        <v>0</v>
      </c>
      <c r="O280" s="15">
        <f t="shared" si="10"/>
        <v>0</v>
      </c>
      <c r="P280" s="25"/>
      <c r="Q280" s="17"/>
    </row>
    <row r="281" ht="15.0" customHeight="1">
      <c r="A281" s="26"/>
      <c r="B281" s="25"/>
      <c r="C281" s="25"/>
      <c r="D281" s="17"/>
      <c r="E281" s="17"/>
      <c r="F281" s="17"/>
      <c r="G281" s="27"/>
      <c r="H281" s="27"/>
      <c r="I281" s="27"/>
      <c r="J281" s="27"/>
      <c r="K281" s="28">
        <f t="shared" si="12"/>
        <v>0</v>
      </c>
      <c r="L281" s="13">
        <f>IFERROR(VLOOKUP(E281,PRODUCTOS!$A$4:$F$28,6,FALSE()),0)</f>
        <v>0</v>
      </c>
      <c r="M281" s="13">
        <f t="shared" si="9"/>
        <v>0</v>
      </c>
      <c r="N281" s="14">
        <f>IFERROR(M281*CONFIG!$B$4,0)</f>
        <v>0</v>
      </c>
      <c r="O281" s="15">
        <f t="shared" si="10"/>
        <v>0</v>
      </c>
      <c r="P281" s="25"/>
      <c r="Q281" s="17"/>
    </row>
    <row r="282" ht="15.0" customHeight="1">
      <c r="A282" s="26"/>
      <c r="B282" s="25"/>
      <c r="C282" s="25"/>
      <c r="D282" s="17"/>
      <c r="E282" s="17"/>
      <c r="F282" s="17"/>
      <c r="G282" s="27"/>
      <c r="H282" s="27"/>
      <c r="I282" s="27"/>
      <c r="J282" s="27"/>
      <c r="K282" s="28">
        <f t="shared" si="12"/>
        <v>0</v>
      </c>
      <c r="L282" s="13">
        <f>IFERROR(VLOOKUP(E282,PRODUCTOS!$A$4:$F$28,6,FALSE()),0)</f>
        <v>0</v>
      </c>
      <c r="M282" s="13">
        <f t="shared" si="9"/>
        <v>0</v>
      </c>
      <c r="N282" s="14">
        <f>IFERROR(M282*CONFIG!$B$4,0)</f>
        <v>0</v>
      </c>
      <c r="O282" s="15">
        <f t="shared" si="10"/>
        <v>0</v>
      </c>
      <c r="P282" s="25"/>
      <c r="Q282" s="17"/>
    </row>
    <row r="283" ht="15.0" customHeight="1">
      <c r="A283" s="26"/>
      <c r="B283" s="25"/>
      <c r="C283" s="25"/>
      <c r="D283" s="17"/>
      <c r="E283" s="17"/>
      <c r="F283" s="17"/>
      <c r="G283" s="27"/>
      <c r="H283" s="27"/>
      <c r="I283" s="27"/>
      <c r="J283" s="27"/>
      <c r="K283" s="28">
        <f t="shared" si="12"/>
        <v>0</v>
      </c>
      <c r="L283" s="13">
        <f>IFERROR(VLOOKUP(E283,PRODUCTOS!$A$4:$F$28,6,FALSE()),0)</f>
        <v>0</v>
      </c>
      <c r="M283" s="13">
        <f t="shared" si="9"/>
        <v>0</v>
      </c>
      <c r="N283" s="14">
        <f>IFERROR(M283*CONFIG!$B$4,0)</f>
        <v>0</v>
      </c>
      <c r="O283" s="15">
        <f t="shared" si="10"/>
        <v>0</v>
      </c>
      <c r="P283" s="25"/>
      <c r="Q283" s="17"/>
    </row>
    <row r="284" ht="15.0" customHeight="1">
      <c r="A284" s="26"/>
      <c r="B284" s="25"/>
      <c r="C284" s="25"/>
      <c r="D284" s="17"/>
      <c r="E284" s="17"/>
      <c r="F284" s="17"/>
      <c r="G284" s="27"/>
      <c r="H284" s="27"/>
      <c r="I284" s="27"/>
      <c r="J284" s="27"/>
      <c r="K284" s="28">
        <f t="shared" si="12"/>
        <v>0</v>
      </c>
      <c r="L284" s="13">
        <f>IFERROR(VLOOKUP(E284,PRODUCTOS!$A$4:$F$28,6,FALSE()),0)</f>
        <v>0</v>
      </c>
      <c r="M284" s="13">
        <f t="shared" si="9"/>
        <v>0</v>
      </c>
      <c r="N284" s="14">
        <f>IFERROR(M284*CONFIG!$B$4,0)</f>
        <v>0</v>
      </c>
      <c r="O284" s="15">
        <f t="shared" si="10"/>
        <v>0</v>
      </c>
      <c r="P284" s="25"/>
      <c r="Q284" s="17"/>
    </row>
    <row r="285" ht="15.0" customHeight="1">
      <c r="A285" s="26"/>
      <c r="B285" s="25"/>
      <c r="C285" s="25"/>
      <c r="D285" s="17"/>
      <c r="E285" s="17"/>
      <c r="F285" s="17"/>
      <c r="G285" s="27"/>
      <c r="H285" s="27"/>
      <c r="I285" s="27"/>
      <c r="J285" s="27"/>
      <c r="K285" s="28">
        <f t="shared" si="12"/>
        <v>0</v>
      </c>
      <c r="L285" s="13">
        <f>IFERROR(VLOOKUP(E285,PRODUCTOS!$A$4:$F$28,6,FALSE()),0)</f>
        <v>0</v>
      </c>
      <c r="M285" s="13">
        <f t="shared" si="9"/>
        <v>0</v>
      </c>
      <c r="N285" s="14">
        <f>IFERROR(M285*CONFIG!$B$4,0)</f>
        <v>0</v>
      </c>
      <c r="O285" s="15">
        <f t="shared" si="10"/>
        <v>0</v>
      </c>
      <c r="P285" s="25"/>
      <c r="Q285" s="17"/>
    </row>
    <row r="286" ht="15.0" customHeight="1">
      <c r="A286" s="26"/>
      <c r="B286" s="25"/>
      <c r="C286" s="25"/>
      <c r="D286" s="17"/>
      <c r="E286" s="17"/>
      <c r="F286" s="17"/>
      <c r="G286" s="27"/>
      <c r="H286" s="27"/>
      <c r="I286" s="27"/>
      <c r="J286" s="27"/>
      <c r="K286" s="28">
        <f t="shared" si="12"/>
        <v>0</v>
      </c>
      <c r="L286" s="13">
        <f>IFERROR(VLOOKUP(E286,PRODUCTOS!$A$4:$F$28,6,FALSE()),0)</f>
        <v>0</v>
      </c>
      <c r="M286" s="13">
        <f t="shared" si="9"/>
        <v>0</v>
      </c>
      <c r="N286" s="14">
        <f>IFERROR(M286*CONFIG!$B$4,0)</f>
        <v>0</v>
      </c>
      <c r="O286" s="15">
        <f t="shared" si="10"/>
        <v>0</v>
      </c>
      <c r="P286" s="25"/>
      <c r="Q286" s="17"/>
    </row>
    <row r="287" ht="15.0" customHeight="1">
      <c r="A287" s="26"/>
      <c r="B287" s="25"/>
      <c r="C287" s="25"/>
      <c r="D287" s="17"/>
      <c r="E287" s="17"/>
      <c r="F287" s="17"/>
      <c r="G287" s="27"/>
      <c r="H287" s="27"/>
      <c r="I287" s="27"/>
      <c r="J287" s="27"/>
      <c r="K287" s="28">
        <f t="shared" si="12"/>
        <v>0</v>
      </c>
      <c r="L287" s="13">
        <f>IFERROR(VLOOKUP(E287,PRODUCTOS!$A$4:$F$28,6,FALSE()),0)</f>
        <v>0</v>
      </c>
      <c r="M287" s="13">
        <f t="shared" si="9"/>
        <v>0</v>
      </c>
      <c r="N287" s="14">
        <f>IFERROR(M287*CONFIG!$B$4,0)</f>
        <v>0</v>
      </c>
      <c r="O287" s="15">
        <f t="shared" si="10"/>
        <v>0</v>
      </c>
      <c r="P287" s="25"/>
      <c r="Q287" s="17"/>
    </row>
    <row r="288" ht="15.0" customHeight="1">
      <c r="A288" s="26"/>
      <c r="B288" s="25"/>
      <c r="C288" s="25"/>
      <c r="D288" s="17"/>
      <c r="E288" s="17"/>
      <c r="F288" s="17"/>
      <c r="G288" s="27"/>
      <c r="H288" s="27"/>
      <c r="I288" s="27"/>
      <c r="J288" s="27"/>
      <c r="K288" s="28">
        <f t="shared" si="12"/>
        <v>0</v>
      </c>
      <c r="L288" s="13">
        <f>IFERROR(VLOOKUP(E288,PRODUCTOS!$A$4:$F$28,6,FALSE()),0)</f>
        <v>0</v>
      </c>
      <c r="M288" s="13">
        <f t="shared" si="9"/>
        <v>0</v>
      </c>
      <c r="N288" s="14">
        <f>IFERROR(M288*CONFIG!$B$4,0)</f>
        <v>0</v>
      </c>
      <c r="O288" s="15">
        <f t="shared" si="10"/>
        <v>0</v>
      </c>
      <c r="P288" s="25"/>
      <c r="Q288" s="17"/>
    </row>
    <row r="289" ht="15.0" customHeight="1">
      <c r="A289" s="26"/>
      <c r="B289" s="25"/>
      <c r="C289" s="25"/>
      <c r="D289" s="17"/>
      <c r="E289" s="17"/>
      <c r="F289" s="17"/>
      <c r="G289" s="27"/>
      <c r="H289" s="27"/>
      <c r="I289" s="27"/>
      <c r="J289" s="27"/>
      <c r="K289" s="28">
        <f t="shared" si="12"/>
        <v>0</v>
      </c>
      <c r="L289" s="13">
        <f>IFERROR(VLOOKUP(E289,PRODUCTOS!$A$4:$F$28,6,FALSE()),0)</f>
        <v>0</v>
      </c>
      <c r="M289" s="13">
        <f t="shared" si="9"/>
        <v>0</v>
      </c>
      <c r="N289" s="14">
        <f>IFERROR(M289*CONFIG!$B$4,0)</f>
        <v>0</v>
      </c>
      <c r="O289" s="15">
        <f t="shared" si="10"/>
        <v>0</v>
      </c>
      <c r="P289" s="25"/>
      <c r="Q289" s="17"/>
    </row>
    <row r="290" ht="15.0" customHeight="1">
      <c r="A290" s="26"/>
      <c r="B290" s="25"/>
      <c r="C290" s="25"/>
      <c r="D290" s="17"/>
      <c r="E290" s="17"/>
      <c r="F290" s="17"/>
      <c r="G290" s="27"/>
      <c r="H290" s="27"/>
      <c r="I290" s="27"/>
      <c r="J290" s="27"/>
      <c r="K290" s="28">
        <f t="shared" si="12"/>
        <v>0</v>
      </c>
      <c r="L290" s="13">
        <f>IFERROR(VLOOKUP(E290,PRODUCTOS!$A$4:$F$28,6,FALSE()),0)</f>
        <v>0</v>
      </c>
      <c r="M290" s="13">
        <f t="shared" si="9"/>
        <v>0</v>
      </c>
      <c r="N290" s="14">
        <f>IFERROR(M290*CONFIG!$B$4,0)</f>
        <v>0</v>
      </c>
      <c r="O290" s="15">
        <f t="shared" si="10"/>
        <v>0</v>
      </c>
      <c r="P290" s="25"/>
      <c r="Q290" s="17"/>
    </row>
    <row r="291" ht="15.0" customHeight="1">
      <c r="A291" s="26"/>
      <c r="B291" s="25"/>
      <c r="C291" s="25"/>
      <c r="D291" s="17"/>
      <c r="E291" s="17"/>
      <c r="F291" s="17"/>
      <c r="G291" s="27"/>
      <c r="H291" s="27"/>
      <c r="I291" s="27"/>
      <c r="J291" s="27"/>
      <c r="K291" s="28">
        <f t="shared" si="12"/>
        <v>0</v>
      </c>
      <c r="L291" s="13">
        <f>IFERROR(VLOOKUP(E291,PRODUCTOS!$A$4:$F$28,6,FALSE()),0)</f>
        <v>0</v>
      </c>
      <c r="M291" s="13">
        <f t="shared" si="9"/>
        <v>0</v>
      </c>
      <c r="N291" s="14">
        <f>IFERROR(M291*CONFIG!$B$4,0)</f>
        <v>0</v>
      </c>
      <c r="O291" s="15">
        <f t="shared" si="10"/>
        <v>0</v>
      </c>
      <c r="P291" s="25"/>
      <c r="Q291" s="17"/>
    </row>
    <row r="292" ht="15.0" customHeight="1">
      <c r="A292" s="26"/>
      <c r="B292" s="25"/>
      <c r="C292" s="25"/>
      <c r="D292" s="17"/>
      <c r="E292" s="17"/>
      <c r="F292" s="17"/>
      <c r="G292" s="27"/>
      <c r="H292" s="27"/>
      <c r="I292" s="27"/>
      <c r="J292" s="27"/>
      <c r="K292" s="28">
        <f t="shared" si="12"/>
        <v>0</v>
      </c>
      <c r="L292" s="13">
        <f>IFERROR(VLOOKUP(E292,PRODUCTOS!$A$4:$F$28,6,FALSE()),0)</f>
        <v>0</v>
      </c>
      <c r="M292" s="13">
        <f t="shared" si="9"/>
        <v>0</v>
      </c>
      <c r="N292" s="14">
        <f>IFERROR(M292*CONFIG!$B$4,0)</f>
        <v>0</v>
      </c>
      <c r="O292" s="15">
        <f t="shared" si="10"/>
        <v>0</v>
      </c>
      <c r="P292" s="25"/>
      <c r="Q292" s="17"/>
    </row>
    <row r="293" ht="15.0" customHeight="1">
      <c r="A293" s="26"/>
      <c r="B293" s="25"/>
      <c r="C293" s="25"/>
      <c r="D293" s="17"/>
      <c r="E293" s="17"/>
      <c r="F293" s="17"/>
      <c r="G293" s="27"/>
      <c r="H293" s="27"/>
      <c r="I293" s="27"/>
      <c r="J293" s="27"/>
      <c r="K293" s="28">
        <f t="shared" si="12"/>
        <v>0</v>
      </c>
      <c r="L293" s="13">
        <f>IFERROR(VLOOKUP(E293,PRODUCTOS!$A$4:$F$28,6,FALSE()),0)</f>
        <v>0</v>
      </c>
      <c r="M293" s="13">
        <f t="shared" si="9"/>
        <v>0</v>
      </c>
      <c r="N293" s="14">
        <f>IFERROR(M293*CONFIG!$B$4,0)</f>
        <v>0</v>
      </c>
      <c r="O293" s="15">
        <f t="shared" si="10"/>
        <v>0</v>
      </c>
      <c r="P293" s="25"/>
      <c r="Q293" s="17"/>
    </row>
    <row r="294" ht="15.0" customHeight="1">
      <c r="A294" s="26"/>
      <c r="B294" s="25"/>
      <c r="C294" s="25"/>
      <c r="D294" s="17"/>
      <c r="E294" s="17"/>
      <c r="F294" s="17"/>
      <c r="G294" s="27"/>
      <c r="H294" s="27"/>
      <c r="I294" s="27"/>
      <c r="J294" s="27"/>
      <c r="K294" s="28">
        <f t="shared" si="12"/>
        <v>0</v>
      </c>
      <c r="L294" s="13">
        <f>IFERROR(VLOOKUP(E294,PRODUCTOS!$A$4:$F$28,6,FALSE()),0)</f>
        <v>0</v>
      </c>
      <c r="M294" s="13">
        <f t="shared" si="9"/>
        <v>0</v>
      </c>
      <c r="N294" s="14">
        <f>IFERROR(M294*CONFIG!$B$4,0)</f>
        <v>0</v>
      </c>
      <c r="O294" s="15">
        <f t="shared" si="10"/>
        <v>0</v>
      </c>
      <c r="P294" s="25"/>
      <c r="Q294" s="17"/>
    </row>
    <row r="295" ht="15.0" customHeight="1">
      <c r="A295" s="26"/>
      <c r="B295" s="25"/>
      <c r="C295" s="25"/>
      <c r="D295" s="17"/>
      <c r="E295" s="17"/>
      <c r="F295" s="17"/>
      <c r="G295" s="27"/>
      <c r="H295" s="27"/>
      <c r="I295" s="27"/>
      <c r="J295" s="27"/>
      <c r="K295" s="28">
        <f t="shared" si="12"/>
        <v>0</v>
      </c>
      <c r="L295" s="13">
        <f>IFERROR(VLOOKUP(E295,PRODUCTOS!$A$4:$F$28,6,FALSE()),0)</f>
        <v>0</v>
      </c>
      <c r="M295" s="13">
        <f t="shared" si="9"/>
        <v>0</v>
      </c>
      <c r="N295" s="14">
        <f>IFERROR(M295*CONFIG!$B$4,0)</f>
        <v>0</v>
      </c>
      <c r="O295" s="15">
        <f t="shared" si="10"/>
        <v>0</v>
      </c>
      <c r="P295" s="25"/>
      <c r="Q295" s="17"/>
    </row>
    <row r="296" ht="15.0" customHeight="1">
      <c r="A296" s="26"/>
      <c r="B296" s="25"/>
      <c r="C296" s="25"/>
      <c r="D296" s="17"/>
      <c r="E296" s="17"/>
      <c r="F296" s="17"/>
      <c r="G296" s="27"/>
      <c r="H296" s="27"/>
      <c r="I296" s="27"/>
      <c r="J296" s="27"/>
      <c r="K296" s="28">
        <f t="shared" si="12"/>
        <v>0</v>
      </c>
      <c r="L296" s="13">
        <f>IFERROR(VLOOKUP(E296,PRODUCTOS!$A$4:$F$28,6,FALSE()),0)</f>
        <v>0</v>
      </c>
      <c r="M296" s="13">
        <f t="shared" si="9"/>
        <v>0</v>
      </c>
      <c r="N296" s="14">
        <f>IFERROR(M296*CONFIG!$B$4,0)</f>
        <v>0</v>
      </c>
      <c r="O296" s="15">
        <f t="shared" si="10"/>
        <v>0</v>
      </c>
      <c r="P296" s="25"/>
      <c r="Q296" s="17"/>
    </row>
    <row r="297" ht="15.0" customHeight="1">
      <c r="A297" s="26"/>
      <c r="B297" s="25"/>
      <c r="C297" s="25"/>
      <c r="D297" s="17"/>
      <c r="E297" s="17"/>
      <c r="F297" s="17"/>
      <c r="G297" s="27"/>
      <c r="H297" s="27"/>
      <c r="I297" s="27"/>
      <c r="J297" s="27"/>
      <c r="K297" s="28">
        <f t="shared" si="12"/>
        <v>0</v>
      </c>
      <c r="L297" s="13">
        <f>IFERROR(VLOOKUP(E297,PRODUCTOS!$A$4:$F$28,6,FALSE()),0)</f>
        <v>0</v>
      </c>
      <c r="M297" s="13">
        <f t="shared" si="9"/>
        <v>0</v>
      </c>
      <c r="N297" s="14">
        <f>IFERROR(M297*CONFIG!$B$4,0)</f>
        <v>0</v>
      </c>
      <c r="O297" s="15">
        <f t="shared" si="10"/>
        <v>0</v>
      </c>
      <c r="P297" s="25"/>
      <c r="Q297" s="17"/>
    </row>
    <row r="298" ht="15.0" customHeight="1">
      <c r="A298" s="26"/>
      <c r="B298" s="25"/>
      <c r="C298" s="25"/>
      <c r="D298" s="17"/>
      <c r="E298" s="17"/>
      <c r="F298" s="17"/>
      <c r="G298" s="27"/>
      <c r="H298" s="27"/>
      <c r="I298" s="27"/>
      <c r="J298" s="27"/>
      <c r="K298" s="28">
        <f t="shared" si="12"/>
        <v>0</v>
      </c>
      <c r="L298" s="13">
        <f>IFERROR(VLOOKUP(E298,PRODUCTOS!$A$4:$F$28,6,FALSE()),0)</f>
        <v>0</v>
      </c>
      <c r="M298" s="13">
        <f t="shared" si="9"/>
        <v>0</v>
      </c>
      <c r="N298" s="14">
        <f>IFERROR(M298*CONFIG!$B$4,0)</f>
        <v>0</v>
      </c>
      <c r="O298" s="15">
        <f t="shared" si="10"/>
        <v>0</v>
      </c>
      <c r="P298" s="25"/>
      <c r="Q298" s="17"/>
    </row>
    <row r="299" ht="15.0" customHeight="1">
      <c r="A299" s="26"/>
      <c r="B299" s="25"/>
      <c r="C299" s="25"/>
      <c r="D299" s="17"/>
      <c r="E299" s="17"/>
      <c r="F299" s="17"/>
      <c r="G299" s="27"/>
      <c r="H299" s="27"/>
      <c r="I299" s="27"/>
      <c r="J299" s="27"/>
      <c r="K299" s="28">
        <f t="shared" si="12"/>
        <v>0</v>
      </c>
      <c r="L299" s="13">
        <f>IFERROR(VLOOKUP(E299,PRODUCTOS!$A$4:$F$28,6,FALSE()),0)</f>
        <v>0</v>
      </c>
      <c r="M299" s="13">
        <f t="shared" si="9"/>
        <v>0</v>
      </c>
      <c r="N299" s="14">
        <f>IFERROR(M299*CONFIG!$B$4,0)</f>
        <v>0</v>
      </c>
      <c r="O299" s="15">
        <f t="shared" si="10"/>
        <v>0</v>
      </c>
      <c r="P299" s="25"/>
      <c r="Q299" s="17"/>
    </row>
    <row r="300" ht="15.0" customHeight="1">
      <c r="A300" s="26"/>
      <c r="B300" s="25"/>
      <c r="C300" s="25"/>
      <c r="D300" s="17"/>
      <c r="E300" s="17"/>
      <c r="F300" s="17"/>
      <c r="G300" s="27"/>
      <c r="H300" s="27"/>
      <c r="I300" s="27"/>
      <c r="J300" s="27"/>
      <c r="K300" s="28">
        <f t="shared" si="12"/>
        <v>0</v>
      </c>
      <c r="L300" s="13">
        <f>IFERROR(VLOOKUP(E300,PRODUCTOS!$A$4:$F$28,6,FALSE()),0)</f>
        <v>0</v>
      </c>
      <c r="M300" s="13">
        <f t="shared" si="9"/>
        <v>0</v>
      </c>
      <c r="N300" s="14">
        <f>IFERROR(M300*CONFIG!$B$4,0)</f>
        <v>0</v>
      </c>
      <c r="O300" s="15">
        <f t="shared" si="10"/>
        <v>0</v>
      </c>
      <c r="P300" s="25"/>
      <c r="Q300" s="17"/>
    </row>
    <row r="301" ht="15.0" customHeight="1">
      <c r="A301" s="26"/>
      <c r="B301" s="25"/>
      <c r="C301" s="25"/>
      <c r="D301" s="17"/>
      <c r="E301" s="17"/>
      <c r="F301" s="17"/>
      <c r="G301" s="27"/>
      <c r="H301" s="27"/>
      <c r="I301" s="27"/>
      <c r="J301" s="27"/>
      <c r="K301" s="28">
        <f t="shared" si="12"/>
        <v>0</v>
      </c>
      <c r="L301" s="13">
        <f>IFERROR(VLOOKUP(E301,PRODUCTOS!$A$4:$F$28,6,FALSE()),0)</f>
        <v>0</v>
      </c>
      <c r="M301" s="13">
        <f t="shared" si="9"/>
        <v>0</v>
      </c>
      <c r="N301" s="14">
        <f>IFERROR(M301*CONFIG!$B$4,0)</f>
        <v>0</v>
      </c>
      <c r="O301" s="15">
        <f t="shared" si="10"/>
        <v>0</v>
      </c>
      <c r="P301" s="25"/>
      <c r="Q301" s="17"/>
    </row>
    <row r="302" ht="15.0" customHeight="1">
      <c r="A302" s="26"/>
      <c r="B302" s="25"/>
      <c r="C302" s="25"/>
      <c r="D302" s="17"/>
      <c r="E302" s="17"/>
      <c r="F302" s="17"/>
      <c r="G302" s="27"/>
      <c r="H302" s="27"/>
      <c r="I302" s="27"/>
      <c r="J302" s="27"/>
      <c r="K302" s="28">
        <f t="shared" si="12"/>
        <v>0</v>
      </c>
      <c r="L302" s="13">
        <f>IFERROR(VLOOKUP(E302,PRODUCTOS!$A$4:$F$28,6,FALSE()),0)</f>
        <v>0</v>
      </c>
      <c r="M302" s="13">
        <f t="shared" si="9"/>
        <v>0</v>
      </c>
      <c r="N302" s="14">
        <f>IFERROR(M302*CONFIG!$B$4,0)</f>
        <v>0</v>
      </c>
      <c r="O302" s="15">
        <f t="shared" si="10"/>
        <v>0</v>
      </c>
      <c r="P302" s="25"/>
      <c r="Q302" s="17"/>
    </row>
    <row r="303" ht="15.0" customHeight="1">
      <c r="A303" s="26"/>
      <c r="B303" s="25"/>
      <c r="C303" s="25"/>
      <c r="D303" s="17"/>
      <c r="E303" s="17"/>
      <c r="F303" s="17"/>
      <c r="G303" s="27"/>
      <c r="H303" s="27"/>
      <c r="I303" s="27"/>
      <c r="J303" s="27"/>
      <c r="K303" s="28">
        <f t="shared" si="12"/>
        <v>0</v>
      </c>
      <c r="L303" s="13">
        <f>IFERROR(VLOOKUP(E303,PRODUCTOS!$A$4:$F$28,6,FALSE()),0)</f>
        <v>0</v>
      </c>
      <c r="M303" s="13">
        <f t="shared" si="9"/>
        <v>0</v>
      </c>
      <c r="N303" s="14">
        <f>IFERROR(M303*CONFIG!$B$4,0)</f>
        <v>0</v>
      </c>
      <c r="O303" s="15">
        <f t="shared" si="10"/>
        <v>0</v>
      </c>
      <c r="P303" s="25"/>
      <c r="Q303" s="17"/>
    </row>
    <row r="304" ht="15.0" customHeight="1">
      <c r="A304" s="26"/>
      <c r="B304" s="25"/>
      <c r="C304" s="25"/>
      <c r="D304" s="17"/>
      <c r="E304" s="17"/>
      <c r="F304" s="17"/>
      <c r="G304" s="27"/>
      <c r="H304" s="27"/>
      <c r="I304" s="27"/>
      <c r="J304" s="27"/>
      <c r="K304" s="28">
        <f t="shared" si="12"/>
        <v>0</v>
      </c>
      <c r="L304" s="13">
        <f>IFERROR(VLOOKUP(E304,PRODUCTOS!$A$4:$F$28,6,FALSE()),0)</f>
        <v>0</v>
      </c>
      <c r="M304" s="13">
        <f t="shared" si="9"/>
        <v>0</v>
      </c>
      <c r="N304" s="14">
        <f>IFERROR(M304*CONFIG!$B$4,0)</f>
        <v>0</v>
      </c>
      <c r="O304" s="15">
        <f t="shared" si="10"/>
        <v>0</v>
      </c>
      <c r="P304" s="25"/>
      <c r="Q304" s="17"/>
    </row>
    <row r="305" ht="15.0" customHeight="1">
      <c r="A305" s="26"/>
      <c r="B305" s="25"/>
      <c r="C305" s="25"/>
      <c r="D305" s="17"/>
      <c r="E305" s="17"/>
      <c r="F305" s="17"/>
      <c r="G305" s="27"/>
      <c r="H305" s="27"/>
      <c r="I305" s="27"/>
      <c r="J305" s="27"/>
      <c r="K305" s="28">
        <f t="shared" si="12"/>
        <v>0</v>
      </c>
      <c r="L305" s="13">
        <f>IFERROR(VLOOKUP(E305,PRODUCTOS!$A$4:$F$28,6,FALSE()),0)</f>
        <v>0</v>
      </c>
      <c r="M305" s="13">
        <f t="shared" si="9"/>
        <v>0</v>
      </c>
      <c r="N305" s="14">
        <f>IFERROR(M305*CONFIG!$B$4,0)</f>
        <v>0</v>
      </c>
      <c r="O305" s="15">
        <f t="shared" si="10"/>
        <v>0</v>
      </c>
      <c r="P305" s="25"/>
      <c r="Q305" s="17"/>
    </row>
    <row r="306" ht="15.0" customHeight="1">
      <c r="A306" s="26"/>
      <c r="B306" s="25"/>
      <c r="C306" s="25"/>
      <c r="D306" s="17"/>
      <c r="E306" s="17"/>
      <c r="F306" s="17"/>
      <c r="G306" s="27"/>
      <c r="H306" s="27"/>
      <c r="I306" s="27"/>
      <c r="J306" s="27"/>
      <c r="K306" s="28">
        <f t="shared" si="12"/>
        <v>0</v>
      </c>
      <c r="L306" s="13">
        <f>IFERROR(VLOOKUP(E306,PRODUCTOS!$A$4:$F$28,6,FALSE()),0)</f>
        <v>0</v>
      </c>
      <c r="M306" s="13">
        <f t="shared" si="9"/>
        <v>0</v>
      </c>
      <c r="N306" s="14">
        <f>IFERROR(M306*CONFIG!$B$4,0)</f>
        <v>0</v>
      </c>
      <c r="O306" s="15">
        <f t="shared" si="10"/>
        <v>0</v>
      </c>
      <c r="P306" s="25"/>
      <c r="Q306" s="17"/>
    </row>
    <row r="307" ht="15.0" customHeight="1">
      <c r="A307" s="26"/>
      <c r="B307" s="25"/>
      <c r="C307" s="25"/>
      <c r="D307" s="17"/>
      <c r="E307" s="17"/>
      <c r="F307" s="17"/>
      <c r="G307" s="27"/>
      <c r="H307" s="27"/>
      <c r="I307" s="27"/>
      <c r="J307" s="27"/>
      <c r="K307" s="28">
        <f t="shared" si="12"/>
        <v>0</v>
      </c>
      <c r="L307" s="13">
        <f>IFERROR(VLOOKUP(E307,PRODUCTOS!$A$4:$F$28,6,FALSE()),0)</f>
        <v>0</v>
      </c>
      <c r="M307" s="13">
        <f t="shared" si="9"/>
        <v>0</v>
      </c>
      <c r="N307" s="14">
        <f>IFERROR(M307*CONFIG!$B$4,0)</f>
        <v>0</v>
      </c>
      <c r="O307" s="15">
        <f t="shared" si="10"/>
        <v>0</v>
      </c>
      <c r="P307" s="25"/>
      <c r="Q307" s="17"/>
    </row>
    <row r="308" ht="15.0" customHeight="1">
      <c r="A308" s="26"/>
      <c r="B308" s="25"/>
      <c r="C308" s="25"/>
      <c r="D308" s="17"/>
      <c r="E308" s="17"/>
      <c r="F308" s="17"/>
      <c r="G308" s="27"/>
      <c r="H308" s="27"/>
      <c r="I308" s="27"/>
      <c r="J308" s="27"/>
      <c r="K308" s="28">
        <f t="shared" si="12"/>
        <v>0</v>
      </c>
      <c r="L308" s="13">
        <f>IFERROR(VLOOKUP(E308,PRODUCTOS!$A$4:$F$28,6,FALSE()),0)</f>
        <v>0</v>
      </c>
      <c r="M308" s="13">
        <f t="shared" si="9"/>
        <v>0</v>
      </c>
      <c r="N308" s="14">
        <f>IFERROR(M308*CONFIG!$B$4,0)</f>
        <v>0</v>
      </c>
      <c r="O308" s="15">
        <f t="shared" si="10"/>
        <v>0</v>
      </c>
      <c r="P308" s="25"/>
      <c r="Q308" s="17"/>
    </row>
    <row r="309" ht="15.0" customHeight="1">
      <c r="A309" s="26"/>
      <c r="B309" s="25"/>
      <c r="C309" s="25"/>
      <c r="D309" s="17"/>
      <c r="E309" s="17"/>
      <c r="F309" s="17"/>
      <c r="G309" s="27"/>
      <c r="H309" s="27"/>
      <c r="I309" s="27"/>
      <c r="J309" s="27"/>
      <c r="K309" s="28">
        <f t="shared" si="12"/>
        <v>0</v>
      </c>
      <c r="L309" s="13">
        <f>IFERROR(VLOOKUP(E309,PRODUCTOS!$A$4:$F$28,6,FALSE()),0)</f>
        <v>0</v>
      </c>
      <c r="M309" s="13">
        <f t="shared" si="9"/>
        <v>0</v>
      </c>
      <c r="N309" s="14">
        <f>IFERROR(M309*CONFIG!$B$4,0)</f>
        <v>0</v>
      </c>
      <c r="O309" s="15">
        <f t="shared" si="10"/>
        <v>0</v>
      </c>
      <c r="P309" s="25"/>
      <c r="Q309" s="17"/>
    </row>
    <row r="310" ht="15.0" customHeight="1">
      <c r="A310" s="26"/>
      <c r="B310" s="25"/>
      <c r="C310" s="25"/>
      <c r="D310" s="17"/>
      <c r="E310" s="17"/>
      <c r="F310" s="17"/>
      <c r="G310" s="27"/>
      <c r="H310" s="27"/>
      <c r="I310" s="27"/>
      <c r="J310" s="27"/>
      <c r="K310" s="28">
        <f t="shared" si="12"/>
        <v>0</v>
      </c>
      <c r="L310" s="13">
        <f>IFERROR(VLOOKUP(E310,PRODUCTOS!$A$4:$F$28,6,FALSE()),0)</f>
        <v>0</v>
      </c>
      <c r="M310" s="13">
        <f t="shared" si="9"/>
        <v>0</v>
      </c>
      <c r="N310" s="14">
        <f>IFERROR(M310*CONFIG!$B$4,0)</f>
        <v>0</v>
      </c>
      <c r="O310" s="15">
        <f t="shared" si="10"/>
        <v>0</v>
      </c>
      <c r="P310" s="25"/>
      <c r="Q310" s="17"/>
    </row>
    <row r="311" ht="15.0" customHeight="1">
      <c r="A311" s="26"/>
      <c r="B311" s="25"/>
      <c r="C311" s="25"/>
      <c r="D311" s="17"/>
      <c r="E311" s="17"/>
      <c r="F311" s="17"/>
      <c r="G311" s="27"/>
      <c r="H311" s="27"/>
      <c r="I311" s="27"/>
      <c r="J311" s="27"/>
      <c r="K311" s="28">
        <f t="shared" si="12"/>
        <v>0</v>
      </c>
      <c r="L311" s="13">
        <f>IFERROR(VLOOKUP(E311,PRODUCTOS!$A$4:$F$28,6,FALSE()),0)</f>
        <v>0</v>
      </c>
      <c r="M311" s="13">
        <f t="shared" si="9"/>
        <v>0</v>
      </c>
      <c r="N311" s="14">
        <f>IFERROR(M311*CONFIG!$B$4,0)</f>
        <v>0</v>
      </c>
      <c r="O311" s="15">
        <f t="shared" si="10"/>
        <v>0</v>
      </c>
      <c r="P311" s="25"/>
      <c r="Q311" s="17"/>
    </row>
    <row r="312" ht="15.0" customHeight="1">
      <c r="A312" s="26"/>
      <c r="B312" s="25"/>
      <c r="C312" s="25"/>
      <c r="D312" s="17"/>
      <c r="E312" s="17"/>
      <c r="F312" s="17"/>
      <c r="G312" s="27"/>
      <c r="H312" s="27"/>
      <c r="I312" s="27"/>
      <c r="J312" s="27"/>
      <c r="K312" s="28">
        <f t="shared" si="12"/>
        <v>0</v>
      </c>
      <c r="L312" s="13">
        <f>IFERROR(VLOOKUP(E312,PRODUCTOS!$A$4:$F$28,6,FALSE()),0)</f>
        <v>0</v>
      </c>
      <c r="M312" s="13">
        <f t="shared" si="9"/>
        <v>0</v>
      </c>
      <c r="N312" s="14">
        <f>IFERROR(M312*CONFIG!$B$4,0)</f>
        <v>0</v>
      </c>
      <c r="O312" s="15">
        <f t="shared" si="10"/>
        <v>0</v>
      </c>
      <c r="P312" s="25"/>
      <c r="Q312" s="17"/>
    </row>
    <row r="313" ht="15.0" customHeight="1">
      <c r="A313" s="26"/>
      <c r="B313" s="25"/>
      <c r="C313" s="25"/>
      <c r="D313" s="17"/>
      <c r="E313" s="17"/>
      <c r="F313" s="17"/>
      <c r="G313" s="27"/>
      <c r="H313" s="27"/>
      <c r="I313" s="27"/>
      <c r="J313" s="27"/>
      <c r="K313" s="28">
        <f t="shared" si="12"/>
        <v>0</v>
      </c>
      <c r="L313" s="13">
        <f>IFERROR(VLOOKUP(E313,PRODUCTOS!$A$4:$F$28,6,FALSE()),0)</f>
        <v>0</v>
      </c>
      <c r="M313" s="13">
        <f t="shared" si="9"/>
        <v>0</v>
      </c>
      <c r="N313" s="14">
        <f>IFERROR(M313*CONFIG!$B$4,0)</f>
        <v>0</v>
      </c>
      <c r="O313" s="15">
        <f t="shared" si="10"/>
        <v>0</v>
      </c>
      <c r="P313" s="25"/>
      <c r="Q313" s="17"/>
    </row>
    <row r="314" ht="15.0" customHeight="1">
      <c r="A314" s="26"/>
      <c r="B314" s="25"/>
      <c r="C314" s="25"/>
      <c r="D314" s="17"/>
      <c r="E314" s="17"/>
      <c r="F314" s="17"/>
      <c r="G314" s="27"/>
      <c r="H314" s="27"/>
      <c r="I314" s="27"/>
      <c r="J314" s="27"/>
      <c r="K314" s="28">
        <f t="shared" si="12"/>
        <v>0</v>
      </c>
      <c r="L314" s="13">
        <f>IFERROR(VLOOKUP(E314,PRODUCTOS!$A$4:$F$28,6,FALSE()),0)</f>
        <v>0</v>
      </c>
      <c r="M314" s="13">
        <f t="shared" si="9"/>
        <v>0</v>
      </c>
      <c r="N314" s="14">
        <f>IFERROR(M314*CONFIG!$B$4,0)</f>
        <v>0</v>
      </c>
      <c r="O314" s="15">
        <f t="shared" si="10"/>
        <v>0</v>
      </c>
      <c r="P314" s="25"/>
      <c r="Q314" s="17"/>
    </row>
    <row r="315" ht="15.0" customHeight="1">
      <c r="A315" s="26"/>
      <c r="B315" s="25"/>
      <c r="C315" s="25"/>
      <c r="D315" s="17"/>
      <c r="E315" s="17"/>
      <c r="F315" s="17"/>
      <c r="G315" s="27"/>
      <c r="H315" s="27"/>
      <c r="I315" s="27"/>
      <c r="J315" s="27"/>
      <c r="K315" s="28">
        <f t="shared" si="12"/>
        <v>0</v>
      </c>
      <c r="L315" s="13">
        <f>IFERROR(VLOOKUP(E315,PRODUCTOS!$A$4:$F$28,6,FALSE()),0)</f>
        <v>0</v>
      </c>
      <c r="M315" s="13">
        <f t="shared" si="9"/>
        <v>0</v>
      </c>
      <c r="N315" s="14">
        <f>IFERROR(M315*CONFIG!$B$4,0)</f>
        <v>0</v>
      </c>
      <c r="O315" s="15">
        <f t="shared" si="10"/>
        <v>0</v>
      </c>
      <c r="P315" s="25"/>
      <c r="Q315" s="17"/>
    </row>
    <row r="316" ht="15.0" customHeight="1">
      <c r="A316" s="26"/>
      <c r="B316" s="25"/>
      <c r="C316" s="25"/>
      <c r="D316" s="17"/>
      <c r="E316" s="17"/>
      <c r="F316" s="17"/>
      <c r="G316" s="27"/>
      <c r="H316" s="27"/>
      <c r="I316" s="27"/>
      <c r="J316" s="27"/>
      <c r="K316" s="28">
        <f t="shared" si="12"/>
        <v>0</v>
      </c>
      <c r="L316" s="13">
        <f>IFERROR(VLOOKUP(E316,PRODUCTOS!$A$4:$F$28,6,FALSE()),0)</f>
        <v>0</v>
      </c>
      <c r="M316" s="13">
        <f t="shared" si="9"/>
        <v>0</v>
      </c>
      <c r="N316" s="14">
        <f>IFERROR(M316*CONFIG!$B$4,0)</f>
        <v>0</v>
      </c>
      <c r="O316" s="15">
        <f t="shared" si="10"/>
        <v>0</v>
      </c>
      <c r="P316" s="25"/>
      <c r="Q316" s="17"/>
    </row>
    <row r="317" ht="15.0" customHeight="1">
      <c r="A317" s="26"/>
      <c r="B317" s="25"/>
      <c r="C317" s="25"/>
      <c r="D317" s="17"/>
      <c r="E317" s="17"/>
      <c r="F317" s="17"/>
      <c r="G317" s="27"/>
      <c r="H317" s="27"/>
      <c r="I317" s="27"/>
      <c r="J317" s="27"/>
      <c r="K317" s="28">
        <f t="shared" si="12"/>
        <v>0</v>
      </c>
      <c r="L317" s="13">
        <f>IFERROR(VLOOKUP(E317,PRODUCTOS!$A$4:$F$28,6,FALSE()),0)</f>
        <v>0</v>
      </c>
      <c r="M317" s="13">
        <f t="shared" si="9"/>
        <v>0</v>
      </c>
      <c r="N317" s="14">
        <f>IFERROR(M317*CONFIG!$B$4,0)</f>
        <v>0</v>
      </c>
      <c r="O317" s="15">
        <f t="shared" si="10"/>
        <v>0</v>
      </c>
      <c r="P317" s="25"/>
      <c r="Q317" s="17"/>
    </row>
    <row r="318" ht="15.0" customHeight="1">
      <c r="A318" s="26"/>
      <c r="B318" s="25"/>
      <c r="C318" s="25"/>
      <c r="D318" s="17"/>
      <c r="E318" s="17"/>
      <c r="F318" s="17"/>
      <c r="G318" s="27"/>
      <c r="H318" s="27"/>
      <c r="I318" s="27"/>
      <c r="J318" s="27"/>
      <c r="K318" s="28">
        <f t="shared" si="12"/>
        <v>0</v>
      </c>
      <c r="L318" s="13">
        <f>IFERROR(VLOOKUP(E318,PRODUCTOS!$A$4:$F$28,6,FALSE()),0)</f>
        <v>0</v>
      </c>
      <c r="M318" s="13">
        <f t="shared" si="9"/>
        <v>0</v>
      </c>
      <c r="N318" s="14">
        <f>IFERROR(M318*CONFIG!$B$4,0)</f>
        <v>0</v>
      </c>
      <c r="O318" s="15">
        <f t="shared" si="10"/>
        <v>0</v>
      </c>
      <c r="P318" s="25"/>
      <c r="Q318" s="17"/>
    </row>
    <row r="319" ht="15.0" customHeight="1">
      <c r="A319" s="26"/>
      <c r="B319" s="25"/>
      <c r="C319" s="25"/>
      <c r="D319" s="17"/>
      <c r="E319" s="17"/>
      <c r="F319" s="17"/>
      <c r="G319" s="27"/>
      <c r="H319" s="27"/>
      <c r="I319" s="27"/>
      <c r="J319" s="27"/>
      <c r="K319" s="28">
        <f t="shared" si="12"/>
        <v>0</v>
      </c>
      <c r="L319" s="13">
        <f>IFERROR(VLOOKUP(E319,PRODUCTOS!$A$4:$F$28,6,FALSE()),0)</f>
        <v>0</v>
      </c>
      <c r="M319" s="13">
        <f t="shared" si="9"/>
        <v>0</v>
      </c>
      <c r="N319" s="14">
        <f>IFERROR(M319*CONFIG!$B$4,0)</f>
        <v>0</v>
      </c>
      <c r="O319" s="15">
        <f t="shared" si="10"/>
        <v>0</v>
      </c>
      <c r="P319" s="25"/>
      <c r="Q319" s="17"/>
    </row>
    <row r="320" ht="15.0" customHeight="1">
      <c r="A320" s="26"/>
      <c r="B320" s="25"/>
      <c r="C320" s="25"/>
      <c r="D320" s="17"/>
      <c r="E320" s="17"/>
      <c r="F320" s="17"/>
      <c r="G320" s="27"/>
      <c r="H320" s="27"/>
      <c r="I320" s="27"/>
      <c r="J320" s="27"/>
      <c r="K320" s="28">
        <f t="shared" si="12"/>
        <v>0</v>
      </c>
      <c r="L320" s="13">
        <f>IFERROR(VLOOKUP(E320,PRODUCTOS!$A$4:$F$28,6,FALSE()),0)</f>
        <v>0</v>
      </c>
      <c r="M320" s="13">
        <f t="shared" si="9"/>
        <v>0</v>
      </c>
      <c r="N320" s="14">
        <f>IFERROR(M320*CONFIG!$B$4,0)</f>
        <v>0</v>
      </c>
      <c r="O320" s="15">
        <f t="shared" si="10"/>
        <v>0</v>
      </c>
      <c r="P320" s="25"/>
      <c r="Q320" s="17"/>
    </row>
    <row r="321" ht="15.0" customHeight="1">
      <c r="A321" s="26"/>
      <c r="B321" s="25"/>
      <c r="C321" s="25"/>
      <c r="D321" s="17"/>
      <c r="E321" s="17"/>
      <c r="F321" s="17"/>
      <c r="G321" s="27"/>
      <c r="H321" s="27"/>
      <c r="I321" s="27"/>
      <c r="J321" s="27"/>
      <c r="K321" s="28">
        <f t="shared" si="12"/>
        <v>0</v>
      </c>
      <c r="L321" s="13">
        <f>IFERROR(VLOOKUP(E321,PRODUCTOS!$A$4:$F$28,6,FALSE()),0)</f>
        <v>0</v>
      </c>
      <c r="M321" s="13">
        <f t="shared" si="9"/>
        <v>0</v>
      </c>
      <c r="N321" s="14">
        <f>IFERROR(M321*CONFIG!$B$4,0)</f>
        <v>0</v>
      </c>
      <c r="O321" s="15">
        <f t="shared" si="10"/>
        <v>0</v>
      </c>
      <c r="P321" s="25"/>
      <c r="Q321" s="17"/>
    </row>
    <row r="322" ht="15.0" customHeight="1">
      <c r="A322" s="26"/>
      <c r="B322" s="25"/>
      <c r="C322" s="25"/>
      <c r="D322" s="17"/>
      <c r="E322" s="17"/>
      <c r="F322" s="17"/>
      <c r="G322" s="27"/>
      <c r="H322" s="27"/>
      <c r="I322" s="27"/>
      <c r="J322" s="27"/>
      <c r="K322" s="28">
        <f t="shared" si="12"/>
        <v>0</v>
      </c>
      <c r="L322" s="13">
        <f>IFERROR(VLOOKUP(E322,PRODUCTOS!$A$4:$F$28,6,FALSE()),0)</f>
        <v>0</v>
      </c>
      <c r="M322" s="13">
        <f t="shared" si="9"/>
        <v>0</v>
      </c>
      <c r="N322" s="14">
        <f>IFERROR(M322*CONFIG!$B$4,0)</f>
        <v>0</v>
      </c>
      <c r="O322" s="15">
        <f t="shared" si="10"/>
        <v>0</v>
      </c>
      <c r="P322" s="25"/>
      <c r="Q322" s="17"/>
    </row>
    <row r="323" ht="15.0" customHeight="1">
      <c r="A323" s="26"/>
      <c r="B323" s="25"/>
      <c r="C323" s="25"/>
      <c r="D323" s="17"/>
      <c r="E323" s="17"/>
      <c r="F323" s="17"/>
      <c r="G323" s="27"/>
      <c r="H323" s="27"/>
      <c r="I323" s="27"/>
      <c r="J323" s="27"/>
      <c r="K323" s="28">
        <f t="shared" si="12"/>
        <v>0</v>
      </c>
      <c r="L323" s="13">
        <f>IFERROR(VLOOKUP(E323,PRODUCTOS!$A$4:$F$28,6,FALSE()),0)</f>
        <v>0</v>
      </c>
      <c r="M323" s="13">
        <f t="shared" si="9"/>
        <v>0</v>
      </c>
      <c r="N323" s="14">
        <f>IFERROR(M323*CONFIG!$B$4,0)</f>
        <v>0</v>
      </c>
      <c r="O323" s="15">
        <f t="shared" si="10"/>
        <v>0</v>
      </c>
      <c r="P323" s="25"/>
      <c r="Q323" s="17"/>
    </row>
    <row r="324" ht="15.0" customHeight="1">
      <c r="A324" s="26"/>
      <c r="B324" s="25"/>
      <c r="C324" s="25"/>
      <c r="D324" s="17"/>
      <c r="E324" s="17"/>
      <c r="F324" s="17"/>
      <c r="G324" s="27"/>
      <c r="H324" s="27"/>
      <c r="I324" s="27"/>
      <c r="J324" s="27"/>
      <c r="K324" s="28">
        <f t="shared" si="12"/>
        <v>0</v>
      </c>
      <c r="L324" s="13">
        <f>IFERROR(VLOOKUP(E324,PRODUCTOS!$A$4:$F$28,6,FALSE()),0)</f>
        <v>0</v>
      </c>
      <c r="M324" s="13">
        <f t="shared" si="9"/>
        <v>0</v>
      </c>
      <c r="N324" s="14">
        <f>IFERROR(M324*CONFIG!$B$4,0)</f>
        <v>0</v>
      </c>
      <c r="O324" s="15">
        <f t="shared" si="10"/>
        <v>0</v>
      </c>
      <c r="P324" s="25"/>
      <c r="Q324" s="17"/>
    </row>
    <row r="325" ht="15.0" customHeight="1">
      <c r="A325" s="26"/>
      <c r="B325" s="25"/>
      <c r="C325" s="25"/>
      <c r="D325" s="17"/>
      <c r="E325" s="17"/>
      <c r="F325" s="17"/>
      <c r="G325" s="27"/>
      <c r="H325" s="27"/>
      <c r="I325" s="27"/>
      <c r="J325" s="27"/>
      <c r="K325" s="28">
        <f t="shared" si="12"/>
        <v>0</v>
      </c>
      <c r="L325" s="13">
        <f>IFERROR(VLOOKUP(E325,PRODUCTOS!$A$4:$F$28,6,FALSE()),0)</f>
        <v>0</v>
      </c>
      <c r="M325" s="13">
        <f t="shared" si="9"/>
        <v>0</v>
      </c>
      <c r="N325" s="14">
        <f>IFERROR(M325*CONFIG!$B$4,0)</f>
        <v>0</v>
      </c>
      <c r="O325" s="15">
        <f t="shared" si="10"/>
        <v>0</v>
      </c>
      <c r="P325" s="25"/>
      <c r="Q325" s="17"/>
    </row>
    <row r="326" ht="15.0" customHeight="1">
      <c r="A326" s="26"/>
      <c r="B326" s="25"/>
      <c r="C326" s="25"/>
      <c r="D326" s="17"/>
      <c r="E326" s="17"/>
      <c r="F326" s="17"/>
      <c r="G326" s="27"/>
      <c r="H326" s="27"/>
      <c r="I326" s="27"/>
      <c r="J326" s="27"/>
      <c r="K326" s="28">
        <f t="shared" si="12"/>
        <v>0</v>
      </c>
      <c r="L326" s="13">
        <f>IFERROR(VLOOKUP(E326,PRODUCTOS!$A$4:$F$28,6,FALSE()),0)</f>
        <v>0</v>
      </c>
      <c r="M326" s="13">
        <f t="shared" si="9"/>
        <v>0</v>
      </c>
      <c r="N326" s="14">
        <f>IFERROR(M326*CONFIG!$B$4,0)</f>
        <v>0</v>
      </c>
      <c r="O326" s="15">
        <f t="shared" si="10"/>
        <v>0</v>
      </c>
      <c r="P326" s="25"/>
      <c r="Q326" s="17"/>
    </row>
    <row r="327" ht="15.0" customHeight="1">
      <c r="A327" s="26"/>
      <c r="B327" s="25"/>
      <c r="C327" s="25"/>
      <c r="D327" s="17"/>
      <c r="E327" s="17"/>
      <c r="F327" s="17"/>
      <c r="G327" s="27"/>
      <c r="H327" s="27"/>
      <c r="I327" s="27"/>
      <c r="J327" s="27"/>
      <c r="K327" s="28">
        <f t="shared" si="12"/>
        <v>0</v>
      </c>
      <c r="L327" s="13">
        <f>IFERROR(VLOOKUP(E327,PRODUCTOS!$A$4:$F$28,6,FALSE()),0)</f>
        <v>0</v>
      </c>
      <c r="M327" s="13">
        <f t="shared" si="9"/>
        <v>0</v>
      </c>
      <c r="N327" s="14">
        <f>IFERROR(M327*CONFIG!$B$4,0)</f>
        <v>0</v>
      </c>
      <c r="O327" s="15">
        <f t="shared" si="10"/>
        <v>0</v>
      </c>
      <c r="P327" s="25"/>
      <c r="Q327" s="17"/>
    </row>
    <row r="328" ht="15.0" customHeight="1">
      <c r="A328" s="26"/>
      <c r="B328" s="25"/>
      <c r="C328" s="25"/>
      <c r="D328" s="17"/>
      <c r="E328" s="17"/>
      <c r="F328" s="17"/>
      <c r="G328" s="27"/>
      <c r="H328" s="27"/>
      <c r="I328" s="27"/>
      <c r="J328" s="27"/>
      <c r="K328" s="28">
        <f t="shared" si="12"/>
        <v>0</v>
      </c>
      <c r="L328" s="13">
        <f>IFERROR(VLOOKUP(E328,PRODUCTOS!$A$4:$F$28,6,FALSE()),0)</f>
        <v>0</v>
      </c>
      <c r="M328" s="13">
        <f t="shared" si="9"/>
        <v>0</v>
      </c>
      <c r="N328" s="14">
        <f>IFERROR(M328*CONFIG!$B$4,0)</f>
        <v>0</v>
      </c>
      <c r="O328" s="15">
        <f t="shared" si="10"/>
        <v>0</v>
      </c>
      <c r="P328" s="25"/>
      <c r="Q328" s="17"/>
    </row>
    <row r="329" ht="15.0" customHeight="1">
      <c r="A329" s="26"/>
      <c r="B329" s="25"/>
      <c r="C329" s="25"/>
      <c r="D329" s="17"/>
      <c r="E329" s="17"/>
      <c r="F329" s="17"/>
      <c r="G329" s="27"/>
      <c r="H329" s="27"/>
      <c r="I329" s="27"/>
      <c r="J329" s="27"/>
      <c r="K329" s="28">
        <f t="shared" si="12"/>
        <v>0</v>
      </c>
      <c r="L329" s="13">
        <f>IFERROR(VLOOKUP(E329,PRODUCTOS!$A$4:$F$28,6,FALSE()),0)</f>
        <v>0</v>
      </c>
      <c r="M329" s="13">
        <f t="shared" si="9"/>
        <v>0</v>
      </c>
      <c r="N329" s="14">
        <f>IFERROR(M329*CONFIG!$B$4,0)</f>
        <v>0</v>
      </c>
      <c r="O329" s="15">
        <f t="shared" si="10"/>
        <v>0</v>
      </c>
      <c r="P329" s="25"/>
      <c r="Q329" s="17"/>
    </row>
    <row r="330" ht="15.0" customHeight="1">
      <c r="A330" s="26"/>
      <c r="B330" s="25"/>
      <c r="C330" s="25"/>
      <c r="D330" s="17"/>
      <c r="E330" s="17"/>
      <c r="F330" s="17"/>
      <c r="G330" s="27"/>
      <c r="H330" s="27"/>
      <c r="I330" s="27"/>
      <c r="J330" s="27"/>
      <c r="K330" s="28">
        <f t="shared" si="12"/>
        <v>0</v>
      </c>
      <c r="L330" s="13">
        <f>IFERROR(VLOOKUP(E330,PRODUCTOS!$A$4:$F$28,6,FALSE()),0)</f>
        <v>0</v>
      </c>
      <c r="M330" s="13">
        <f t="shared" si="9"/>
        <v>0</v>
      </c>
      <c r="N330" s="14">
        <f>IFERROR(M330*CONFIG!$B$4,0)</f>
        <v>0</v>
      </c>
      <c r="O330" s="15">
        <f t="shared" si="10"/>
        <v>0</v>
      </c>
      <c r="P330" s="25"/>
      <c r="Q330" s="17"/>
    </row>
    <row r="331" ht="15.0" customHeight="1">
      <c r="A331" s="26"/>
      <c r="B331" s="25"/>
      <c r="C331" s="25"/>
      <c r="D331" s="17"/>
      <c r="E331" s="17"/>
      <c r="F331" s="17"/>
      <c r="G331" s="27"/>
      <c r="H331" s="27"/>
      <c r="I331" s="27"/>
      <c r="J331" s="27"/>
      <c r="K331" s="28">
        <f t="shared" si="12"/>
        <v>0</v>
      </c>
      <c r="L331" s="13">
        <f>IFERROR(VLOOKUP(E331,PRODUCTOS!$A$4:$F$28,6,FALSE()),0)</f>
        <v>0</v>
      </c>
      <c r="M331" s="13">
        <f t="shared" si="9"/>
        <v>0</v>
      </c>
      <c r="N331" s="14">
        <f>IFERROR(M331*CONFIG!$B$4,0)</f>
        <v>0</v>
      </c>
      <c r="O331" s="15">
        <f t="shared" si="10"/>
        <v>0</v>
      </c>
      <c r="P331" s="25"/>
      <c r="Q331" s="17"/>
    </row>
    <row r="332" ht="15.0" customHeight="1">
      <c r="A332" s="26"/>
      <c r="B332" s="25"/>
      <c r="C332" s="25"/>
      <c r="D332" s="17"/>
      <c r="E332" s="17"/>
      <c r="F332" s="17"/>
      <c r="G332" s="27"/>
      <c r="H332" s="27"/>
      <c r="I332" s="27"/>
      <c r="J332" s="27"/>
      <c r="K332" s="28">
        <f t="shared" si="12"/>
        <v>0</v>
      </c>
      <c r="L332" s="13">
        <f>IFERROR(VLOOKUP(E332,PRODUCTOS!$A$4:$F$28,6,FALSE()),0)</f>
        <v>0</v>
      </c>
      <c r="M332" s="13">
        <f t="shared" si="9"/>
        <v>0</v>
      </c>
      <c r="N332" s="14">
        <f>IFERROR(M332*CONFIG!$B$4,0)</f>
        <v>0</v>
      </c>
      <c r="O332" s="15">
        <f t="shared" si="10"/>
        <v>0</v>
      </c>
      <c r="P332" s="25"/>
      <c r="Q332" s="17"/>
    </row>
    <row r="333" ht="15.0" customHeight="1">
      <c r="A333" s="26"/>
      <c r="B333" s="25"/>
      <c r="C333" s="25"/>
      <c r="D333" s="17"/>
      <c r="E333" s="17"/>
      <c r="F333" s="17"/>
      <c r="G333" s="27"/>
      <c r="H333" s="27"/>
      <c r="I333" s="27"/>
      <c r="J333" s="27"/>
      <c r="K333" s="28">
        <f t="shared" si="12"/>
        <v>0</v>
      </c>
      <c r="L333" s="13">
        <f>IFERROR(VLOOKUP(E333,PRODUCTOS!$A$4:$F$28,6,FALSE()),0)</f>
        <v>0</v>
      </c>
      <c r="M333" s="13">
        <f t="shared" si="9"/>
        <v>0</v>
      </c>
      <c r="N333" s="14">
        <f>IFERROR(M333*CONFIG!$B$4,0)</f>
        <v>0</v>
      </c>
      <c r="O333" s="15">
        <f t="shared" si="10"/>
        <v>0</v>
      </c>
      <c r="P333" s="25"/>
      <c r="Q333" s="17"/>
    </row>
    <row r="334" ht="15.0" customHeight="1">
      <c r="A334" s="26"/>
      <c r="B334" s="25"/>
      <c r="C334" s="25"/>
      <c r="D334" s="17"/>
      <c r="E334" s="17"/>
      <c r="F334" s="17"/>
      <c r="G334" s="27"/>
      <c r="H334" s="27"/>
      <c r="I334" s="27"/>
      <c r="J334" s="27"/>
      <c r="K334" s="28">
        <f t="shared" si="12"/>
        <v>0</v>
      </c>
      <c r="L334" s="13">
        <f>IFERROR(VLOOKUP(E334,PRODUCTOS!$A$4:$F$28,6,FALSE()),0)</f>
        <v>0</v>
      </c>
      <c r="M334" s="13">
        <f t="shared" si="9"/>
        <v>0</v>
      </c>
      <c r="N334" s="14">
        <f>IFERROR(M334*CONFIG!$B$4,0)</f>
        <v>0</v>
      </c>
      <c r="O334" s="15">
        <f t="shared" si="10"/>
        <v>0</v>
      </c>
      <c r="P334" s="25"/>
      <c r="Q334" s="17"/>
    </row>
    <row r="335" ht="15.0" customHeight="1">
      <c r="A335" s="26"/>
      <c r="B335" s="25"/>
      <c r="C335" s="25"/>
      <c r="D335" s="17"/>
      <c r="E335" s="17"/>
      <c r="F335" s="17"/>
      <c r="G335" s="27"/>
      <c r="H335" s="27"/>
      <c r="I335" s="27"/>
      <c r="J335" s="27"/>
      <c r="K335" s="28">
        <f t="shared" si="12"/>
        <v>0</v>
      </c>
      <c r="L335" s="13">
        <f>IFERROR(VLOOKUP(E335,PRODUCTOS!$A$4:$F$28,6,FALSE()),0)</f>
        <v>0</v>
      </c>
      <c r="M335" s="13">
        <f t="shared" si="9"/>
        <v>0</v>
      </c>
      <c r="N335" s="14">
        <f>IFERROR(M335*CONFIG!$B$4,0)</f>
        <v>0</v>
      </c>
      <c r="O335" s="15">
        <f t="shared" si="10"/>
        <v>0</v>
      </c>
      <c r="P335" s="25"/>
      <c r="Q335" s="17"/>
    </row>
    <row r="336" ht="15.0" customHeight="1">
      <c r="A336" s="26"/>
      <c r="B336" s="25"/>
      <c r="C336" s="25"/>
      <c r="D336" s="17"/>
      <c r="E336" s="17"/>
      <c r="F336" s="17"/>
      <c r="G336" s="27"/>
      <c r="H336" s="27"/>
      <c r="I336" s="27"/>
      <c r="J336" s="27"/>
      <c r="K336" s="28">
        <f t="shared" si="12"/>
        <v>0</v>
      </c>
      <c r="L336" s="13">
        <f>IFERROR(VLOOKUP(E336,PRODUCTOS!$A$4:$F$28,6,FALSE()),0)</f>
        <v>0</v>
      </c>
      <c r="M336" s="13">
        <f t="shared" si="9"/>
        <v>0</v>
      </c>
      <c r="N336" s="14">
        <f>IFERROR(M336*CONFIG!$B$4,0)</f>
        <v>0</v>
      </c>
      <c r="O336" s="15">
        <f t="shared" si="10"/>
        <v>0</v>
      </c>
      <c r="P336" s="25"/>
      <c r="Q336" s="17"/>
    </row>
    <row r="337" ht="15.0" customHeight="1">
      <c r="A337" s="26"/>
      <c r="B337" s="25"/>
      <c r="C337" s="25"/>
      <c r="D337" s="17"/>
      <c r="E337" s="17"/>
      <c r="F337" s="17"/>
      <c r="G337" s="27"/>
      <c r="H337" s="27"/>
      <c r="I337" s="27"/>
      <c r="J337" s="27"/>
      <c r="K337" s="28">
        <f t="shared" si="12"/>
        <v>0</v>
      </c>
      <c r="L337" s="13">
        <f>IFERROR(VLOOKUP(E337,PRODUCTOS!$A$4:$F$28,6,FALSE()),0)</f>
        <v>0</v>
      </c>
      <c r="M337" s="13">
        <f t="shared" si="9"/>
        <v>0</v>
      </c>
      <c r="N337" s="14">
        <f>IFERROR(M337*CONFIG!$B$4,0)</f>
        <v>0</v>
      </c>
      <c r="O337" s="15">
        <f t="shared" si="10"/>
        <v>0</v>
      </c>
      <c r="P337" s="25"/>
      <c r="Q337" s="17"/>
    </row>
    <row r="338" ht="15.0" customHeight="1">
      <c r="A338" s="26"/>
      <c r="B338" s="25"/>
      <c r="C338" s="25"/>
      <c r="D338" s="17"/>
      <c r="E338" s="17"/>
      <c r="F338" s="17"/>
      <c r="G338" s="27"/>
      <c r="H338" s="27"/>
      <c r="I338" s="27"/>
      <c r="J338" s="27"/>
      <c r="K338" s="28">
        <f t="shared" si="12"/>
        <v>0</v>
      </c>
      <c r="L338" s="13">
        <f>IFERROR(VLOOKUP(E338,PRODUCTOS!$A$4:$F$28,6,FALSE()),0)</f>
        <v>0</v>
      </c>
      <c r="M338" s="13">
        <f t="shared" si="9"/>
        <v>0</v>
      </c>
      <c r="N338" s="14">
        <f>IFERROR(M338*CONFIG!$B$4,0)</f>
        <v>0</v>
      </c>
      <c r="O338" s="15">
        <f t="shared" si="10"/>
        <v>0</v>
      </c>
      <c r="P338" s="25"/>
      <c r="Q338" s="17"/>
    </row>
    <row r="339" ht="15.0" customHeight="1">
      <c r="A339" s="26"/>
      <c r="B339" s="25"/>
      <c r="C339" s="25"/>
      <c r="D339" s="17"/>
      <c r="E339" s="17"/>
      <c r="F339" s="17"/>
      <c r="G339" s="27"/>
      <c r="H339" s="27"/>
      <c r="I339" s="27"/>
      <c r="J339" s="27"/>
      <c r="K339" s="28">
        <f t="shared" si="12"/>
        <v>0</v>
      </c>
      <c r="L339" s="13">
        <f>IFERROR(VLOOKUP(E339,PRODUCTOS!$A$4:$F$28,6,FALSE()),0)</f>
        <v>0</v>
      </c>
      <c r="M339" s="13">
        <f t="shared" si="9"/>
        <v>0</v>
      </c>
      <c r="N339" s="14">
        <f>IFERROR(M339*CONFIG!$B$4,0)</f>
        <v>0</v>
      </c>
      <c r="O339" s="15">
        <f t="shared" si="10"/>
        <v>0</v>
      </c>
      <c r="P339" s="25"/>
      <c r="Q339" s="17"/>
    </row>
    <row r="340" ht="15.0" customHeight="1">
      <c r="A340" s="26"/>
      <c r="B340" s="25"/>
      <c r="C340" s="25"/>
      <c r="D340" s="17"/>
      <c r="E340" s="17"/>
      <c r="F340" s="17"/>
      <c r="G340" s="27"/>
      <c r="H340" s="27"/>
      <c r="I340" s="27"/>
      <c r="J340" s="27"/>
      <c r="K340" s="28">
        <f t="shared" si="12"/>
        <v>0</v>
      </c>
      <c r="L340" s="13">
        <f>IFERROR(VLOOKUP(E340,PRODUCTOS!$A$4:$F$28,6,FALSE()),0)</f>
        <v>0</v>
      </c>
      <c r="M340" s="13">
        <f t="shared" si="9"/>
        <v>0</v>
      </c>
      <c r="N340" s="14">
        <f>IFERROR(M340*CONFIG!$B$4,0)</f>
        <v>0</v>
      </c>
      <c r="O340" s="15">
        <f t="shared" si="10"/>
        <v>0</v>
      </c>
      <c r="P340" s="25"/>
      <c r="Q340" s="17"/>
    </row>
    <row r="341" ht="15.0" customHeight="1">
      <c r="A341" s="26"/>
      <c r="B341" s="25"/>
      <c r="C341" s="25"/>
      <c r="D341" s="17"/>
      <c r="E341" s="17"/>
      <c r="F341" s="17"/>
      <c r="G341" s="27"/>
      <c r="H341" s="27"/>
      <c r="I341" s="27"/>
      <c r="J341" s="27"/>
      <c r="K341" s="28">
        <f t="shared" si="12"/>
        <v>0</v>
      </c>
      <c r="L341" s="13">
        <f>IFERROR(VLOOKUP(E341,PRODUCTOS!$A$4:$F$28,6,FALSE()),0)</f>
        <v>0</v>
      </c>
      <c r="M341" s="13">
        <f t="shared" si="9"/>
        <v>0</v>
      </c>
      <c r="N341" s="14">
        <f>IFERROR(M341*CONFIG!$B$4,0)</f>
        <v>0</v>
      </c>
      <c r="O341" s="15">
        <f t="shared" si="10"/>
        <v>0</v>
      </c>
      <c r="P341" s="25"/>
      <c r="Q341" s="17"/>
    </row>
    <row r="342" ht="15.0" customHeight="1">
      <c r="A342" s="26"/>
      <c r="B342" s="25"/>
      <c r="C342" s="25"/>
      <c r="D342" s="17"/>
      <c r="E342" s="17"/>
      <c r="F342" s="17"/>
      <c r="G342" s="27"/>
      <c r="H342" s="27"/>
      <c r="I342" s="27"/>
      <c r="J342" s="27"/>
      <c r="K342" s="28">
        <f t="shared" si="12"/>
        <v>0</v>
      </c>
      <c r="L342" s="13">
        <f>IFERROR(VLOOKUP(E342,PRODUCTOS!$A$4:$F$28,6,FALSE()),0)</f>
        <v>0</v>
      </c>
      <c r="M342" s="13">
        <f t="shared" si="9"/>
        <v>0</v>
      </c>
      <c r="N342" s="14">
        <f>IFERROR(M342*CONFIG!$B$4,0)</f>
        <v>0</v>
      </c>
      <c r="O342" s="15">
        <f t="shared" si="10"/>
        <v>0</v>
      </c>
      <c r="P342" s="25"/>
      <c r="Q342" s="17"/>
    </row>
    <row r="343" ht="15.0" customHeight="1">
      <c r="A343" s="26"/>
      <c r="B343" s="25"/>
      <c r="C343" s="25"/>
      <c r="D343" s="17"/>
      <c r="E343" s="17"/>
      <c r="F343" s="17"/>
      <c r="G343" s="27"/>
      <c r="H343" s="27"/>
      <c r="I343" s="27"/>
      <c r="J343" s="27"/>
      <c r="K343" s="28">
        <f t="shared" si="12"/>
        <v>0</v>
      </c>
      <c r="L343" s="13">
        <f>IFERROR(VLOOKUP(E343,PRODUCTOS!$A$4:$F$28,6,FALSE()),0)</f>
        <v>0</v>
      </c>
      <c r="M343" s="13">
        <f t="shared" si="9"/>
        <v>0</v>
      </c>
      <c r="N343" s="14">
        <f>IFERROR(M343*CONFIG!$B$4,0)</f>
        <v>0</v>
      </c>
      <c r="O343" s="15">
        <f t="shared" si="10"/>
        <v>0</v>
      </c>
      <c r="P343" s="25"/>
      <c r="Q343" s="17"/>
    </row>
    <row r="344" ht="15.0" customHeight="1">
      <c r="A344" s="26"/>
      <c r="B344" s="25"/>
      <c r="C344" s="25"/>
      <c r="D344" s="17"/>
      <c r="E344" s="17"/>
      <c r="F344" s="17"/>
      <c r="G344" s="27"/>
      <c r="H344" s="27"/>
      <c r="I344" s="27"/>
      <c r="J344" s="27"/>
      <c r="K344" s="28">
        <f t="shared" si="12"/>
        <v>0</v>
      </c>
      <c r="L344" s="13">
        <f>IFERROR(VLOOKUP(E344,PRODUCTOS!$A$4:$F$28,6,FALSE()),0)</f>
        <v>0</v>
      </c>
      <c r="M344" s="13">
        <f t="shared" si="9"/>
        <v>0</v>
      </c>
      <c r="N344" s="14">
        <f>IFERROR(M344*CONFIG!$B$4,0)</f>
        <v>0</v>
      </c>
      <c r="O344" s="15">
        <f t="shared" si="10"/>
        <v>0</v>
      </c>
      <c r="P344" s="25"/>
      <c r="Q344" s="17"/>
    </row>
    <row r="345" ht="15.0" customHeight="1">
      <c r="A345" s="26"/>
      <c r="B345" s="25"/>
      <c r="C345" s="25"/>
      <c r="D345" s="17"/>
      <c r="E345" s="17"/>
      <c r="F345" s="17"/>
      <c r="G345" s="27"/>
      <c r="H345" s="27"/>
      <c r="I345" s="27"/>
      <c r="J345" s="27"/>
      <c r="K345" s="28">
        <f t="shared" si="12"/>
        <v>0</v>
      </c>
      <c r="L345" s="13">
        <f>IFERROR(VLOOKUP(E345,PRODUCTOS!$A$4:$F$28,6,FALSE()),0)</f>
        <v>0</v>
      </c>
      <c r="M345" s="13">
        <f t="shared" si="9"/>
        <v>0</v>
      </c>
      <c r="N345" s="14">
        <f>IFERROR(M345*CONFIG!$B$4,0)</f>
        <v>0</v>
      </c>
      <c r="O345" s="15">
        <f t="shared" si="10"/>
        <v>0</v>
      </c>
      <c r="P345" s="25"/>
      <c r="Q345" s="17"/>
    </row>
    <row r="346" ht="15.0" customHeight="1">
      <c r="A346" s="26"/>
      <c r="B346" s="25"/>
      <c r="C346" s="25"/>
      <c r="D346" s="17"/>
      <c r="E346" s="17"/>
      <c r="F346" s="17"/>
      <c r="G346" s="27"/>
      <c r="H346" s="27"/>
      <c r="I346" s="27"/>
      <c r="J346" s="27"/>
      <c r="K346" s="28">
        <f t="shared" si="12"/>
        <v>0</v>
      </c>
      <c r="L346" s="13">
        <f>IFERROR(VLOOKUP(E346,PRODUCTOS!$A$4:$F$28,6,FALSE()),0)</f>
        <v>0</v>
      </c>
      <c r="M346" s="13">
        <f t="shared" si="9"/>
        <v>0</v>
      </c>
      <c r="N346" s="14">
        <f>IFERROR(M346*CONFIG!$B$4,0)</f>
        <v>0</v>
      </c>
      <c r="O346" s="15">
        <f t="shared" si="10"/>
        <v>0</v>
      </c>
      <c r="P346" s="25"/>
      <c r="Q346" s="17"/>
    </row>
    <row r="347" ht="15.0" customHeight="1">
      <c r="A347" s="26"/>
      <c r="B347" s="25"/>
      <c r="C347" s="25"/>
      <c r="D347" s="17"/>
      <c r="E347" s="17"/>
      <c r="F347" s="17"/>
      <c r="G347" s="27"/>
      <c r="H347" s="27"/>
      <c r="I347" s="27"/>
      <c r="J347" s="27"/>
      <c r="K347" s="28">
        <f t="shared" si="12"/>
        <v>0</v>
      </c>
      <c r="L347" s="13">
        <f>IFERROR(VLOOKUP(E347,PRODUCTOS!$A$4:$F$28,6,FALSE()),0)</f>
        <v>0</v>
      </c>
      <c r="M347" s="13">
        <f t="shared" si="9"/>
        <v>0</v>
      </c>
      <c r="N347" s="14">
        <f>IFERROR(M347*CONFIG!$B$4,0)</f>
        <v>0</v>
      </c>
      <c r="O347" s="15">
        <f t="shared" si="10"/>
        <v>0</v>
      </c>
      <c r="P347" s="25"/>
      <c r="Q347" s="17"/>
    </row>
    <row r="348" ht="15.0" customHeight="1">
      <c r="A348" s="26"/>
      <c r="B348" s="25"/>
      <c r="C348" s="25"/>
      <c r="D348" s="17"/>
      <c r="E348" s="17"/>
      <c r="F348" s="17"/>
      <c r="G348" s="27"/>
      <c r="H348" s="27"/>
      <c r="I348" s="27"/>
      <c r="J348" s="27"/>
      <c r="K348" s="28">
        <f t="shared" si="12"/>
        <v>0</v>
      </c>
      <c r="L348" s="13">
        <f>IFERROR(VLOOKUP(E348,PRODUCTOS!$A$4:$F$28,6,FALSE()),0)</f>
        <v>0</v>
      </c>
      <c r="M348" s="13">
        <f t="shared" si="9"/>
        <v>0</v>
      </c>
      <c r="N348" s="14">
        <f>IFERROR(M348*CONFIG!$B$4,0)</f>
        <v>0</v>
      </c>
      <c r="O348" s="15">
        <f t="shared" si="10"/>
        <v>0</v>
      </c>
      <c r="P348" s="25"/>
      <c r="Q348" s="17"/>
    </row>
    <row r="349" ht="15.0" customHeight="1">
      <c r="A349" s="26"/>
      <c r="B349" s="25"/>
      <c r="C349" s="25"/>
      <c r="D349" s="17"/>
      <c r="E349" s="17"/>
      <c r="F349" s="17"/>
      <c r="G349" s="27"/>
      <c r="H349" s="27"/>
      <c r="I349" s="27"/>
      <c r="J349" s="27"/>
      <c r="K349" s="28">
        <f t="shared" si="12"/>
        <v>0</v>
      </c>
      <c r="L349" s="13">
        <f>IFERROR(VLOOKUP(E349,PRODUCTOS!$A$4:$F$28,6,FALSE()),0)</f>
        <v>0</v>
      </c>
      <c r="M349" s="13">
        <f t="shared" si="9"/>
        <v>0</v>
      </c>
      <c r="N349" s="14">
        <f>IFERROR(M349*CONFIG!$B$4,0)</f>
        <v>0</v>
      </c>
      <c r="O349" s="15">
        <f t="shared" si="10"/>
        <v>0</v>
      </c>
      <c r="P349" s="25"/>
      <c r="Q349" s="17"/>
    </row>
    <row r="350" ht="15.0" customHeight="1">
      <c r="A350" s="26"/>
      <c r="B350" s="25"/>
      <c r="C350" s="25"/>
      <c r="D350" s="17"/>
      <c r="E350" s="17"/>
      <c r="F350" s="17"/>
      <c r="G350" s="27"/>
      <c r="H350" s="27"/>
      <c r="I350" s="27"/>
      <c r="J350" s="27"/>
      <c r="K350" s="28">
        <f t="shared" si="12"/>
        <v>0</v>
      </c>
      <c r="L350" s="13">
        <f>IFERROR(VLOOKUP(E350,PRODUCTOS!$A$4:$F$28,6,FALSE()),0)</f>
        <v>0</v>
      </c>
      <c r="M350" s="13">
        <f t="shared" si="9"/>
        <v>0</v>
      </c>
      <c r="N350" s="14">
        <f>IFERROR(M350*CONFIG!$B$4,0)</f>
        <v>0</v>
      </c>
      <c r="O350" s="15">
        <f t="shared" si="10"/>
        <v>0</v>
      </c>
      <c r="P350" s="25"/>
      <c r="Q350" s="17"/>
    </row>
    <row r="351" ht="15.0" customHeight="1">
      <c r="A351" s="26"/>
      <c r="B351" s="25"/>
      <c r="C351" s="25"/>
      <c r="D351" s="17"/>
      <c r="E351" s="17"/>
      <c r="F351" s="17"/>
      <c r="G351" s="27"/>
      <c r="H351" s="27"/>
      <c r="I351" s="27"/>
      <c r="J351" s="27"/>
      <c r="K351" s="28">
        <f t="shared" si="12"/>
        <v>0</v>
      </c>
      <c r="L351" s="13">
        <f>IFERROR(VLOOKUP(E351,PRODUCTOS!$A$4:$F$28,6,FALSE()),0)</f>
        <v>0</v>
      </c>
      <c r="M351" s="13">
        <f t="shared" si="9"/>
        <v>0</v>
      </c>
      <c r="N351" s="14">
        <f>IFERROR(M351*CONFIG!$B$4,0)</f>
        <v>0</v>
      </c>
      <c r="O351" s="15">
        <f t="shared" si="10"/>
        <v>0</v>
      </c>
      <c r="P351" s="25"/>
      <c r="Q351" s="17"/>
    </row>
    <row r="352" ht="15.0" customHeight="1">
      <c r="A352" s="26"/>
      <c r="B352" s="25"/>
      <c r="C352" s="25"/>
      <c r="D352" s="17"/>
      <c r="E352" s="17"/>
      <c r="F352" s="17"/>
      <c r="G352" s="27"/>
      <c r="H352" s="27"/>
      <c r="I352" s="27"/>
      <c r="J352" s="27"/>
      <c r="K352" s="28">
        <f t="shared" si="12"/>
        <v>0</v>
      </c>
      <c r="L352" s="13">
        <f>IFERROR(VLOOKUP(E352,PRODUCTOS!$A$4:$F$28,6,FALSE()),0)</f>
        <v>0</v>
      </c>
      <c r="M352" s="13">
        <f t="shared" si="9"/>
        <v>0</v>
      </c>
      <c r="N352" s="14">
        <f>IFERROR(M352*CONFIG!$B$4,0)</f>
        <v>0</v>
      </c>
      <c r="O352" s="15">
        <f t="shared" si="10"/>
        <v>0</v>
      </c>
      <c r="P352" s="25"/>
      <c r="Q352" s="17"/>
    </row>
    <row r="353" ht="15.0" customHeight="1">
      <c r="A353" s="26"/>
      <c r="B353" s="25"/>
      <c r="C353" s="25"/>
      <c r="D353" s="17"/>
      <c r="E353" s="17"/>
      <c r="F353" s="17"/>
      <c r="G353" s="27"/>
      <c r="H353" s="27"/>
      <c r="I353" s="27"/>
      <c r="J353" s="27"/>
      <c r="K353" s="28">
        <f t="shared" si="12"/>
        <v>0</v>
      </c>
      <c r="L353" s="13">
        <f>IFERROR(VLOOKUP(E353,PRODUCTOS!$A$4:$F$28,6,FALSE()),0)</f>
        <v>0</v>
      </c>
      <c r="M353" s="13">
        <f t="shared" si="9"/>
        <v>0</v>
      </c>
      <c r="N353" s="14">
        <f>IFERROR(M353*CONFIG!$B$4,0)</f>
        <v>0</v>
      </c>
      <c r="O353" s="15">
        <f t="shared" si="10"/>
        <v>0</v>
      </c>
      <c r="P353" s="25"/>
      <c r="Q353" s="17"/>
    </row>
    <row r="354" ht="15.0" customHeight="1">
      <c r="A354" s="26"/>
      <c r="B354" s="25"/>
      <c r="C354" s="25"/>
      <c r="D354" s="17"/>
      <c r="E354" s="17"/>
      <c r="F354" s="17"/>
      <c r="G354" s="27"/>
      <c r="H354" s="27"/>
      <c r="I354" s="27"/>
      <c r="J354" s="27"/>
      <c r="K354" s="28">
        <f t="shared" si="12"/>
        <v>0</v>
      </c>
      <c r="L354" s="13">
        <f>IFERROR(VLOOKUP(E354,PRODUCTOS!$A$4:$F$28,6,FALSE()),0)</f>
        <v>0</v>
      </c>
      <c r="M354" s="13">
        <f t="shared" si="9"/>
        <v>0</v>
      </c>
      <c r="N354" s="14">
        <f>IFERROR(M354*CONFIG!$B$4,0)</f>
        <v>0</v>
      </c>
      <c r="O354" s="15">
        <f t="shared" si="10"/>
        <v>0</v>
      </c>
      <c r="P354" s="25"/>
      <c r="Q354" s="17"/>
    </row>
    <row r="355" ht="15.0" customHeight="1">
      <c r="A355" s="26"/>
      <c r="B355" s="25"/>
      <c r="C355" s="25"/>
      <c r="D355" s="17"/>
      <c r="E355" s="17"/>
      <c r="F355" s="17"/>
      <c r="G355" s="27"/>
      <c r="H355" s="27"/>
      <c r="I355" s="27"/>
      <c r="J355" s="27"/>
      <c r="K355" s="28">
        <f t="shared" si="12"/>
        <v>0</v>
      </c>
      <c r="L355" s="13">
        <f>IFERROR(VLOOKUP(E355,PRODUCTOS!$A$4:$F$28,6,FALSE()),0)</f>
        <v>0</v>
      </c>
      <c r="M355" s="13">
        <f t="shared" si="9"/>
        <v>0</v>
      </c>
      <c r="N355" s="14">
        <f>IFERROR(M355*CONFIG!$B$4,0)</f>
        <v>0</v>
      </c>
      <c r="O355" s="15">
        <f t="shared" si="10"/>
        <v>0</v>
      </c>
      <c r="P355" s="25"/>
      <c r="Q355" s="17"/>
    </row>
    <row r="356" ht="15.0" customHeight="1">
      <c r="A356" s="26"/>
      <c r="B356" s="25"/>
      <c r="C356" s="25"/>
      <c r="D356" s="17"/>
      <c r="E356" s="17"/>
      <c r="F356" s="17"/>
      <c r="G356" s="27"/>
      <c r="H356" s="27"/>
      <c r="I356" s="27"/>
      <c r="J356" s="27"/>
      <c r="K356" s="28">
        <f t="shared" si="12"/>
        <v>0</v>
      </c>
      <c r="L356" s="13">
        <f>IFERROR(VLOOKUP(E356,PRODUCTOS!$A$4:$F$28,6,FALSE()),0)</f>
        <v>0</v>
      </c>
      <c r="M356" s="13">
        <f t="shared" si="9"/>
        <v>0</v>
      </c>
      <c r="N356" s="14">
        <f>IFERROR(M356*CONFIG!$B$4,0)</f>
        <v>0</v>
      </c>
      <c r="O356" s="15">
        <f t="shared" si="10"/>
        <v>0</v>
      </c>
      <c r="P356" s="25"/>
      <c r="Q356" s="17"/>
    </row>
    <row r="357" ht="15.0" customHeight="1">
      <c r="A357" s="26"/>
      <c r="B357" s="25"/>
      <c r="C357" s="25"/>
      <c r="D357" s="17"/>
      <c r="E357" s="17"/>
      <c r="F357" s="17"/>
      <c r="G357" s="27"/>
      <c r="H357" s="27"/>
      <c r="I357" s="27"/>
      <c r="J357" s="27"/>
      <c r="K357" s="28">
        <f t="shared" si="12"/>
        <v>0</v>
      </c>
      <c r="L357" s="13">
        <f>IFERROR(VLOOKUP(E357,PRODUCTOS!$A$4:$F$28,6,FALSE()),0)</f>
        <v>0</v>
      </c>
      <c r="M357" s="13">
        <f t="shared" si="9"/>
        <v>0</v>
      </c>
      <c r="N357" s="14">
        <f>IFERROR(M357*CONFIG!$B$4,0)</f>
        <v>0</v>
      </c>
      <c r="O357" s="15">
        <f t="shared" si="10"/>
        <v>0</v>
      </c>
      <c r="P357" s="25"/>
      <c r="Q357" s="17"/>
    </row>
    <row r="358" ht="15.0" customHeight="1">
      <c r="A358" s="26"/>
      <c r="B358" s="25"/>
      <c r="C358" s="25"/>
      <c r="D358" s="17"/>
      <c r="E358" s="17"/>
      <c r="F358" s="17"/>
      <c r="G358" s="27"/>
      <c r="H358" s="27"/>
      <c r="I358" s="27"/>
      <c r="J358" s="27"/>
      <c r="K358" s="28">
        <f t="shared" si="12"/>
        <v>0</v>
      </c>
      <c r="L358" s="13">
        <f>IFERROR(VLOOKUP(E358,PRODUCTOS!$A$4:$F$28,6,FALSE()),0)</f>
        <v>0</v>
      </c>
      <c r="M358" s="13">
        <f t="shared" si="9"/>
        <v>0</v>
      </c>
      <c r="N358" s="14">
        <f>IFERROR(M358*CONFIG!$B$4,0)</f>
        <v>0</v>
      </c>
      <c r="O358" s="15">
        <f t="shared" si="10"/>
        <v>0</v>
      </c>
      <c r="P358" s="25"/>
      <c r="Q358" s="17"/>
    </row>
    <row r="359" ht="15.0" customHeight="1">
      <c r="A359" s="26"/>
      <c r="B359" s="25"/>
      <c r="C359" s="25"/>
      <c r="D359" s="17"/>
      <c r="E359" s="17"/>
      <c r="F359" s="17"/>
      <c r="G359" s="27"/>
      <c r="H359" s="27"/>
      <c r="I359" s="27"/>
      <c r="J359" s="27"/>
      <c r="K359" s="28">
        <f t="shared" si="12"/>
        <v>0</v>
      </c>
      <c r="L359" s="13">
        <f>IFERROR(VLOOKUP(E359,PRODUCTOS!$A$4:$F$28,6,FALSE()),0)</f>
        <v>0</v>
      </c>
      <c r="M359" s="13">
        <f t="shared" si="9"/>
        <v>0</v>
      </c>
      <c r="N359" s="14">
        <f>IFERROR(M359*CONFIG!$B$4,0)</f>
        <v>0</v>
      </c>
      <c r="O359" s="15">
        <f t="shared" si="10"/>
        <v>0</v>
      </c>
      <c r="P359" s="25"/>
      <c r="Q359" s="17"/>
    </row>
    <row r="360" ht="15.0" customHeight="1">
      <c r="A360" s="26"/>
      <c r="B360" s="25"/>
      <c r="C360" s="25"/>
      <c r="D360" s="17"/>
      <c r="E360" s="17"/>
      <c r="F360" s="17"/>
      <c r="G360" s="27"/>
      <c r="H360" s="27"/>
      <c r="I360" s="27"/>
      <c r="J360" s="27"/>
      <c r="K360" s="28">
        <f t="shared" si="12"/>
        <v>0</v>
      </c>
      <c r="L360" s="13">
        <f>IFERROR(VLOOKUP(E360,PRODUCTOS!$A$4:$F$28,6,FALSE()),0)</f>
        <v>0</v>
      </c>
      <c r="M360" s="13">
        <f t="shared" si="9"/>
        <v>0</v>
      </c>
      <c r="N360" s="14">
        <f>IFERROR(M360*CONFIG!$B$4,0)</f>
        <v>0</v>
      </c>
      <c r="O360" s="15">
        <f t="shared" si="10"/>
        <v>0</v>
      </c>
      <c r="P360" s="25"/>
      <c r="Q360" s="17"/>
    </row>
    <row r="361" ht="15.0" customHeight="1">
      <c r="A361" s="26"/>
      <c r="B361" s="25"/>
      <c r="C361" s="25"/>
      <c r="D361" s="17"/>
      <c r="E361" s="17"/>
      <c r="F361" s="17"/>
      <c r="G361" s="27"/>
      <c r="H361" s="27"/>
      <c r="I361" s="27"/>
      <c r="J361" s="27"/>
      <c r="K361" s="28">
        <f t="shared" si="12"/>
        <v>0</v>
      </c>
      <c r="L361" s="13">
        <f>IFERROR(VLOOKUP(E361,PRODUCTOS!$A$4:$F$28,6,FALSE()),0)</f>
        <v>0</v>
      </c>
      <c r="M361" s="13">
        <f t="shared" si="9"/>
        <v>0</v>
      </c>
      <c r="N361" s="14">
        <f>IFERROR(M361*CONFIG!$B$4,0)</f>
        <v>0</v>
      </c>
      <c r="O361" s="15">
        <f t="shared" si="10"/>
        <v>0</v>
      </c>
      <c r="P361" s="25"/>
      <c r="Q361" s="17"/>
    </row>
    <row r="362" ht="15.0" customHeight="1">
      <c r="A362" s="26"/>
      <c r="B362" s="25"/>
      <c r="C362" s="25"/>
      <c r="D362" s="17"/>
      <c r="E362" s="17"/>
      <c r="F362" s="17"/>
      <c r="G362" s="27"/>
      <c r="H362" s="27"/>
      <c r="I362" s="27"/>
      <c r="J362" s="27"/>
      <c r="K362" s="28">
        <f t="shared" si="12"/>
        <v>0</v>
      </c>
      <c r="L362" s="13">
        <f>IFERROR(VLOOKUP(E362,PRODUCTOS!$A$4:$F$28,6,FALSE()),0)</f>
        <v>0</v>
      </c>
      <c r="M362" s="13">
        <f t="shared" si="9"/>
        <v>0</v>
      </c>
      <c r="N362" s="14">
        <f>IFERROR(M362*CONFIG!$B$4,0)</f>
        <v>0</v>
      </c>
      <c r="O362" s="15">
        <f t="shared" si="10"/>
        <v>0</v>
      </c>
      <c r="P362" s="25"/>
      <c r="Q362" s="17"/>
    </row>
    <row r="363" ht="15.0" customHeight="1">
      <c r="A363" s="26"/>
      <c r="B363" s="25"/>
      <c r="C363" s="25"/>
      <c r="D363" s="17"/>
      <c r="E363" s="17"/>
      <c r="F363" s="17"/>
      <c r="G363" s="27"/>
      <c r="H363" s="27"/>
      <c r="I363" s="27"/>
      <c r="J363" s="27"/>
      <c r="K363" s="28">
        <f t="shared" si="12"/>
        <v>0</v>
      </c>
      <c r="L363" s="13">
        <f>IFERROR(VLOOKUP(E363,PRODUCTOS!$A$4:$F$28,6,FALSE()),0)</f>
        <v>0</v>
      </c>
      <c r="M363" s="13">
        <f t="shared" si="9"/>
        <v>0</v>
      </c>
      <c r="N363" s="14">
        <f>IFERROR(M363*CONFIG!$B$4,0)</f>
        <v>0</v>
      </c>
      <c r="O363" s="15">
        <f t="shared" si="10"/>
        <v>0</v>
      </c>
      <c r="P363" s="25"/>
      <c r="Q363" s="17"/>
    </row>
    <row r="364" ht="15.0" customHeight="1">
      <c r="A364" s="26"/>
      <c r="B364" s="25"/>
      <c r="C364" s="25"/>
      <c r="D364" s="17"/>
      <c r="E364" s="17"/>
      <c r="F364" s="17"/>
      <c r="G364" s="27"/>
      <c r="H364" s="27"/>
      <c r="I364" s="27"/>
      <c r="J364" s="27"/>
      <c r="K364" s="28">
        <f t="shared" si="12"/>
        <v>0</v>
      </c>
      <c r="L364" s="13">
        <f>IFERROR(VLOOKUP(E364,PRODUCTOS!$A$4:$F$28,6,FALSE()),0)</f>
        <v>0</v>
      </c>
      <c r="M364" s="13">
        <f t="shared" si="9"/>
        <v>0</v>
      </c>
      <c r="N364" s="14">
        <f>IFERROR(M364*CONFIG!$B$4,0)</f>
        <v>0</v>
      </c>
      <c r="O364" s="15">
        <f t="shared" si="10"/>
        <v>0</v>
      </c>
      <c r="P364" s="25"/>
      <c r="Q364" s="17"/>
    </row>
    <row r="365" ht="15.0" customHeight="1">
      <c r="A365" s="26"/>
      <c r="B365" s="25"/>
      <c r="C365" s="25"/>
      <c r="D365" s="17"/>
      <c r="E365" s="17"/>
      <c r="F365" s="17"/>
      <c r="G365" s="27"/>
      <c r="H365" s="27"/>
      <c r="I365" s="27"/>
      <c r="J365" s="27"/>
      <c r="K365" s="28">
        <f t="shared" si="12"/>
        <v>0</v>
      </c>
      <c r="L365" s="13">
        <f>IFERROR(VLOOKUP(E365,PRODUCTOS!$A$4:$F$28,6,FALSE()),0)</f>
        <v>0</v>
      </c>
      <c r="M365" s="13">
        <f t="shared" si="9"/>
        <v>0</v>
      </c>
      <c r="N365" s="14">
        <f>IFERROR(M365*CONFIG!$B$4,0)</f>
        <v>0</v>
      </c>
      <c r="O365" s="15">
        <f t="shared" si="10"/>
        <v>0</v>
      </c>
      <c r="P365" s="25"/>
      <c r="Q365" s="17"/>
    </row>
    <row r="366" ht="15.0" customHeight="1">
      <c r="A366" s="26"/>
      <c r="B366" s="25"/>
      <c r="C366" s="25"/>
      <c r="D366" s="17"/>
      <c r="E366" s="17"/>
      <c r="F366" s="17"/>
      <c r="G366" s="27"/>
      <c r="H366" s="27"/>
      <c r="I366" s="27"/>
      <c r="J366" s="27"/>
      <c r="K366" s="28">
        <f t="shared" si="12"/>
        <v>0</v>
      </c>
      <c r="L366" s="13">
        <f>IFERROR(VLOOKUP(E366,PRODUCTOS!$A$4:$F$28,6,FALSE()),0)</f>
        <v>0</v>
      </c>
      <c r="M366" s="13">
        <f t="shared" si="9"/>
        <v>0</v>
      </c>
      <c r="N366" s="14">
        <f>IFERROR(M366*CONFIG!$B$4,0)</f>
        <v>0</v>
      </c>
      <c r="O366" s="15">
        <f t="shared" si="10"/>
        <v>0</v>
      </c>
      <c r="P366" s="25"/>
      <c r="Q366" s="17"/>
    </row>
    <row r="367" ht="15.0" customHeight="1">
      <c r="A367" s="26"/>
      <c r="B367" s="25"/>
      <c r="C367" s="25"/>
      <c r="D367" s="17"/>
      <c r="E367" s="17"/>
      <c r="F367" s="17"/>
      <c r="G367" s="27"/>
      <c r="H367" s="27"/>
      <c r="I367" s="27"/>
      <c r="J367" s="27"/>
      <c r="K367" s="28">
        <f t="shared" si="12"/>
        <v>0</v>
      </c>
      <c r="L367" s="13">
        <f>IFERROR(VLOOKUP(E367,PRODUCTOS!$A$4:$F$28,6,FALSE()),0)</f>
        <v>0</v>
      </c>
      <c r="M367" s="13">
        <f t="shared" si="9"/>
        <v>0</v>
      </c>
      <c r="N367" s="14">
        <f>IFERROR(M367*CONFIG!$B$4,0)</f>
        <v>0</v>
      </c>
      <c r="O367" s="15">
        <f t="shared" si="10"/>
        <v>0</v>
      </c>
      <c r="P367" s="25"/>
      <c r="Q367" s="17"/>
    </row>
    <row r="368" ht="15.0" customHeight="1">
      <c r="A368" s="26"/>
      <c r="B368" s="25"/>
      <c r="C368" s="25"/>
      <c r="D368" s="17"/>
      <c r="E368" s="17"/>
      <c r="F368" s="17"/>
      <c r="G368" s="27"/>
      <c r="H368" s="27"/>
      <c r="I368" s="27"/>
      <c r="J368" s="27"/>
      <c r="K368" s="28">
        <f t="shared" si="12"/>
        <v>0</v>
      </c>
      <c r="L368" s="13">
        <f>IFERROR(VLOOKUP(E368,PRODUCTOS!$A$4:$F$28,6,FALSE()),0)</f>
        <v>0</v>
      </c>
      <c r="M368" s="13">
        <f t="shared" si="9"/>
        <v>0</v>
      </c>
      <c r="N368" s="14">
        <f>IFERROR(M368*CONFIG!$B$4,0)</f>
        <v>0</v>
      </c>
      <c r="O368" s="15">
        <f t="shared" si="10"/>
        <v>0</v>
      </c>
      <c r="P368" s="25"/>
      <c r="Q368" s="17"/>
    </row>
    <row r="369" ht="15.0" customHeight="1">
      <c r="A369" s="26"/>
      <c r="B369" s="25"/>
      <c r="C369" s="25"/>
      <c r="D369" s="17"/>
      <c r="E369" s="17"/>
      <c r="F369" s="17"/>
      <c r="G369" s="27"/>
      <c r="H369" s="27"/>
      <c r="I369" s="27"/>
      <c r="J369" s="27"/>
      <c r="K369" s="28">
        <f t="shared" si="12"/>
        <v>0</v>
      </c>
      <c r="L369" s="13">
        <f>IFERROR(VLOOKUP(E369,PRODUCTOS!$A$4:$F$28,6,FALSE()),0)</f>
        <v>0</v>
      </c>
      <c r="M369" s="13">
        <f t="shared" si="9"/>
        <v>0</v>
      </c>
      <c r="N369" s="14">
        <f>IFERROR(M369*CONFIG!$B$4,0)</f>
        <v>0</v>
      </c>
      <c r="O369" s="15">
        <f t="shared" si="10"/>
        <v>0</v>
      </c>
      <c r="P369" s="25"/>
      <c r="Q369" s="17"/>
    </row>
    <row r="370" ht="15.0" customHeight="1">
      <c r="A370" s="26"/>
      <c r="B370" s="25"/>
      <c r="C370" s="25"/>
      <c r="D370" s="17"/>
      <c r="E370" s="17"/>
      <c r="F370" s="17"/>
      <c r="G370" s="27"/>
      <c r="H370" s="27"/>
      <c r="I370" s="27"/>
      <c r="J370" s="27"/>
      <c r="K370" s="28">
        <f t="shared" si="12"/>
        <v>0</v>
      </c>
      <c r="L370" s="13">
        <f>IFERROR(VLOOKUP(E370,PRODUCTOS!$A$4:$F$28,6,FALSE()),0)</f>
        <v>0</v>
      </c>
      <c r="M370" s="13">
        <f t="shared" si="9"/>
        <v>0</v>
      </c>
      <c r="N370" s="14">
        <f>IFERROR(M370*CONFIG!$B$4,0)</f>
        <v>0</v>
      </c>
      <c r="O370" s="15">
        <f t="shared" si="10"/>
        <v>0</v>
      </c>
      <c r="P370" s="25"/>
      <c r="Q370" s="17"/>
    </row>
    <row r="371" ht="15.0" customHeight="1">
      <c r="A371" s="26"/>
      <c r="B371" s="25"/>
      <c r="C371" s="25"/>
      <c r="D371" s="17"/>
      <c r="E371" s="17"/>
      <c r="F371" s="17"/>
      <c r="G371" s="27"/>
      <c r="H371" s="27"/>
      <c r="I371" s="27"/>
      <c r="J371" s="27"/>
      <c r="K371" s="28">
        <f t="shared" si="12"/>
        <v>0</v>
      </c>
      <c r="L371" s="13">
        <f>IFERROR(VLOOKUP(E371,PRODUCTOS!$A$4:$F$28,6,FALSE()),0)</f>
        <v>0</v>
      </c>
      <c r="M371" s="13">
        <f t="shared" si="9"/>
        <v>0</v>
      </c>
      <c r="N371" s="14">
        <f>IFERROR(M371*CONFIG!$B$4,0)</f>
        <v>0</v>
      </c>
      <c r="O371" s="15">
        <f t="shared" si="10"/>
        <v>0</v>
      </c>
      <c r="P371" s="25"/>
      <c r="Q371" s="17"/>
    </row>
    <row r="372" ht="15.0" customHeight="1">
      <c r="A372" s="26"/>
      <c r="B372" s="25"/>
      <c r="C372" s="25"/>
      <c r="D372" s="17"/>
      <c r="E372" s="17"/>
      <c r="F372" s="17"/>
      <c r="G372" s="27"/>
      <c r="H372" s="27"/>
      <c r="I372" s="27"/>
      <c r="J372" s="27"/>
      <c r="K372" s="28">
        <f t="shared" si="12"/>
        <v>0</v>
      </c>
      <c r="L372" s="13">
        <f>IFERROR(VLOOKUP(E372,PRODUCTOS!$A$4:$F$28,6,FALSE()),0)</f>
        <v>0</v>
      </c>
      <c r="M372" s="13">
        <f t="shared" si="9"/>
        <v>0</v>
      </c>
      <c r="N372" s="14">
        <f>IFERROR(M372*CONFIG!$B$4,0)</f>
        <v>0</v>
      </c>
      <c r="O372" s="15">
        <f t="shared" si="10"/>
        <v>0</v>
      </c>
      <c r="P372" s="25"/>
      <c r="Q372" s="17"/>
    </row>
    <row r="373" ht="15.0" customHeight="1">
      <c r="A373" s="26"/>
      <c r="B373" s="25"/>
      <c r="C373" s="25"/>
      <c r="D373" s="17"/>
      <c r="E373" s="17"/>
      <c r="F373" s="17"/>
      <c r="G373" s="27"/>
      <c r="H373" s="27"/>
      <c r="I373" s="27"/>
      <c r="J373" s="27"/>
      <c r="K373" s="28">
        <f t="shared" si="12"/>
        <v>0</v>
      </c>
      <c r="L373" s="13">
        <f>IFERROR(VLOOKUP(E373,PRODUCTOS!$A$4:$F$28,6,FALSE()),0)</f>
        <v>0</v>
      </c>
      <c r="M373" s="13">
        <f t="shared" si="9"/>
        <v>0</v>
      </c>
      <c r="N373" s="14">
        <f>IFERROR(M373*CONFIG!$B$4,0)</f>
        <v>0</v>
      </c>
      <c r="O373" s="15">
        <f t="shared" si="10"/>
        <v>0</v>
      </c>
      <c r="P373" s="25"/>
      <c r="Q373" s="17"/>
    </row>
    <row r="374" ht="15.0" customHeight="1">
      <c r="A374" s="26"/>
      <c r="B374" s="25"/>
      <c r="C374" s="25"/>
      <c r="D374" s="17"/>
      <c r="E374" s="17"/>
      <c r="F374" s="17"/>
      <c r="G374" s="27"/>
      <c r="H374" s="27"/>
      <c r="I374" s="27"/>
      <c r="J374" s="27"/>
      <c r="K374" s="28">
        <f t="shared" si="12"/>
        <v>0</v>
      </c>
      <c r="L374" s="13">
        <f>IFERROR(VLOOKUP(E374,PRODUCTOS!$A$4:$F$28,6,FALSE()),0)</f>
        <v>0</v>
      </c>
      <c r="M374" s="13">
        <f t="shared" si="9"/>
        <v>0</v>
      </c>
      <c r="N374" s="14">
        <f>IFERROR(M374*CONFIG!$B$4,0)</f>
        <v>0</v>
      </c>
      <c r="O374" s="15">
        <f t="shared" si="10"/>
        <v>0</v>
      </c>
      <c r="P374" s="25"/>
      <c r="Q374" s="17"/>
    </row>
    <row r="375" ht="15.0" customHeight="1">
      <c r="A375" s="26"/>
      <c r="B375" s="25"/>
      <c r="C375" s="25"/>
      <c r="D375" s="17"/>
      <c r="E375" s="17"/>
      <c r="F375" s="17"/>
      <c r="G375" s="27"/>
      <c r="H375" s="27"/>
      <c r="I375" s="27"/>
      <c r="J375" s="27"/>
      <c r="K375" s="28">
        <f t="shared" si="12"/>
        <v>0</v>
      </c>
      <c r="L375" s="13">
        <f>IFERROR(VLOOKUP(E375,PRODUCTOS!$A$4:$F$28,6,FALSE()),0)</f>
        <v>0</v>
      </c>
      <c r="M375" s="13">
        <f t="shared" si="9"/>
        <v>0</v>
      </c>
      <c r="N375" s="14">
        <f>IFERROR(M375*CONFIG!$B$4,0)</f>
        <v>0</v>
      </c>
      <c r="O375" s="15">
        <f t="shared" si="10"/>
        <v>0</v>
      </c>
      <c r="P375" s="25"/>
      <c r="Q375" s="17"/>
    </row>
    <row r="376" ht="15.0" customHeight="1">
      <c r="A376" s="26"/>
      <c r="B376" s="25"/>
      <c r="C376" s="25"/>
      <c r="D376" s="17"/>
      <c r="E376" s="17"/>
      <c r="F376" s="17"/>
      <c r="G376" s="27"/>
      <c r="H376" s="27"/>
      <c r="I376" s="27"/>
      <c r="J376" s="27"/>
      <c r="K376" s="28">
        <f t="shared" si="12"/>
        <v>0</v>
      </c>
      <c r="L376" s="13">
        <f>IFERROR(VLOOKUP(E376,PRODUCTOS!$A$4:$F$28,6,FALSE()),0)</f>
        <v>0</v>
      </c>
      <c r="M376" s="13">
        <f t="shared" si="9"/>
        <v>0</v>
      </c>
      <c r="N376" s="14">
        <f>IFERROR(M376*CONFIG!$B$4,0)</f>
        <v>0</v>
      </c>
      <c r="O376" s="15">
        <f t="shared" si="10"/>
        <v>0</v>
      </c>
      <c r="P376" s="25"/>
      <c r="Q376" s="17"/>
    </row>
    <row r="377" ht="15.0" customHeight="1">
      <c r="A377" s="26"/>
      <c r="B377" s="25"/>
      <c r="C377" s="25"/>
      <c r="D377" s="17"/>
      <c r="E377" s="17"/>
      <c r="F377" s="17"/>
      <c r="G377" s="27"/>
      <c r="H377" s="27"/>
      <c r="I377" s="27"/>
      <c r="J377" s="27"/>
      <c r="K377" s="28">
        <f t="shared" si="12"/>
        <v>0</v>
      </c>
      <c r="L377" s="13">
        <f>IFERROR(VLOOKUP(E377,PRODUCTOS!$A$4:$F$28,6,FALSE()),0)</f>
        <v>0</v>
      </c>
      <c r="M377" s="13">
        <f t="shared" si="9"/>
        <v>0</v>
      </c>
      <c r="N377" s="14">
        <f>IFERROR(M377*CONFIG!$B$4,0)</f>
        <v>0</v>
      </c>
      <c r="O377" s="15">
        <f t="shared" si="10"/>
        <v>0</v>
      </c>
      <c r="P377" s="25"/>
      <c r="Q377" s="17"/>
    </row>
    <row r="378" ht="15.0" customHeight="1">
      <c r="A378" s="26"/>
      <c r="B378" s="25"/>
      <c r="C378" s="25"/>
      <c r="D378" s="17"/>
      <c r="E378" s="17"/>
      <c r="F378" s="17"/>
      <c r="G378" s="27"/>
      <c r="H378" s="27"/>
      <c r="I378" s="27"/>
      <c r="J378" s="27"/>
      <c r="K378" s="28">
        <f t="shared" si="12"/>
        <v>0</v>
      </c>
      <c r="L378" s="13">
        <f>IFERROR(VLOOKUP(E378,PRODUCTOS!$A$4:$F$28,6,FALSE()),0)</f>
        <v>0</v>
      </c>
      <c r="M378" s="13">
        <f t="shared" si="9"/>
        <v>0</v>
      </c>
      <c r="N378" s="14">
        <f>IFERROR(M378*CONFIG!$B$4,0)</f>
        <v>0</v>
      </c>
      <c r="O378" s="15">
        <f t="shared" si="10"/>
        <v>0</v>
      </c>
      <c r="P378" s="25"/>
      <c r="Q378" s="17"/>
    </row>
    <row r="379" ht="15.0" customHeight="1">
      <c r="A379" s="26"/>
      <c r="B379" s="25"/>
      <c r="C379" s="25"/>
      <c r="D379" s="17"/>
      <c r="E379" s="17"/>
      <c r="F379" s="17"/>
      <c r="G379" s="27"/>
      <c r="H379" s="27"/>
      <c r="I379" s="27"/>
      <c r="J379" s="27"/>
      <c r="K379" s="28">
        <f t="shared" si="12"/>
        <v>0</v>
      </c>
      <c r="L379" s="13">
        <f>IFERROR(VLOOKUP(E379,PRODUCTOS!$A$4:$F$28,6,FALSE()),0)</f>
        <v>0</v>
      </c>
      <c r="M379" s="13">
        <f t="shared" si="9"/>
        <v>0</v>
      </c>
      <c r="N379" s="14">
        <f>IFERROR(M379*CONFIG!$B$4,0)</f>
        <v>0</v>
      </c>
      <c r="O379" s="15">
        <f t="shared" si="10"/>
        <v>0</v>
      </c>
      <c r="P379" s="25"/>
      <c r="Q379" s="17"/>
    </row>
    <row r="380" ht="15.0" customHeight="1">
      <c r="A380" s="26"/>
      <c r="B380" s="25"/>
      <c r="C380" s="25"/>
      <c r="D380" s="17"/>
      <c r="E380" s="17"/>
      <c r="F380" s="17"/>
      <c r="G380" s="27"/>
      <c r="H380" s="27"/>
      <c r="I380" s="27"/>
      <c r="J380" s="27"/>
      <c r="K380" s="28">
        <f t="shared" si="12"/>
        <v>0</v>
      </c>
      <c r="L380" s="13">
        <f>IFERROR(VLOOKUP(E380,PRODUCTOS!$A$4:$F$28,6,FALSE()),0)</f>
        <v>0</v>
      </c>
      <c r="M380" s="13">
        <f t="shared" si="9"/>
        <v>0</v>
      </c>
      <c r="N380" s="14">
        <f>IFERROR(M380*CONFIG!$B$4,0)</f>
        <v>0</v>
      </c>
      <c r="O380" s="15">
        <f t="shared" si="10"/>
        <v>0</v>
      </c>
      <c r="P380" s="25"/>
      <c r="Q380" s="17"/>
    </row>
    <row r="381" ht="15.0" customHeight="1">
      <c r="A381" s="26"/>
      <c r="B381" s="25"/>
      <c r="C381" s="25"/>
      <c r="D381" s="17"/>
      <c r="E381" s="17"/>
      <c r="F381" s="17"/>
      <c r="G381" s="27"/>
      <c r="H381" s="27"/>
      <c r="I381" s="27"/>
      <c r="J381" s="27"/>
      <c r="K381" s="28">
        <f t="shared" si="12"/>
        <v>0</v>
      </c>
      <c r="L381" s="13">
        <f>IFERROR(VLOOKUP(E381,PRODUCTOS!$A$4:$F$28,6,FALSE()),0)</f>
        <v>0</v>
      </c>
      <c r="M381" s="13">
        <f t="shared" si="9"/>
        <v>0</v>
      </c>
      <c r="N381" s="14">
        <f>IFERROR(M381*CONFIG!$B$4,0)</f>
        <v>0</v>
      </c>
      <c r="O381" s="15">
        <f t="shared" si="10"/>
        <v>0</v>
      </c>
      <c r="P381" s="25"/>
      <c r="Q381" s="17"/>
    </row>
    <row r="382" ht="15.0" customHeight="1">
      <c r="A382" s="26"/>
      <c r="B382" s="25"/>
      <c r="C382" s="25"/>
      <c r="D382" s="17"/>
      <c r="E382" s="17"/>
      <c r="F382" s="17"/>
      <c r="G382" s="27"/>
      <c r="H382" s="27"/>
      <c r="I382" s="27"/>
      <c r="J382" s="27"/>
      <c r="K382" s="28">
        <f t="shared" si="12"/>
        <v>0</v>
      </c>
      <c r="L382" s="13">
        <f>IFERROR(VLOOKUP(E382,PRODUCTOS!$A$4:$F$28,6,FALSE()),0)</f>
        <v>0</v>
      </c>
      <c r="M382" s="13">
        <f t="shared" si="9"/>
        <v>0</v>
      </c>
      <c r="N382" s="14">
        <f>IFERROR(M382*CONFIG!$B$4,0)</f>
        <v>0</v>
      </c>
      <c r="O382" s="15">
        <f t="shared" si="10"/>
        <v>0</v>
      </c>
      <c r="P382" s="25"/>
      <c r="Q382" s="17"/>
    </row>
    <row r="383" ht="15.0" customHeight="1">
      <c r="A383" s="26"/>
      <c r="B383" s="25"/>
      <c r="C383" s="25"/>
      <c r="D383" s="17"/>
      <c r="E383" s="17"/>
      <c r="F383" s="17"/>
      <c r="G383" s="27"/>
      <c r="H383" s="27"/>
      <c r="I383" s="27"/>
      <c r="J383" s="27"/>
      <c r="K383" s="28">
        <f t="shared" si="12"/>
        <v>0</v>
      </c>
      <c r="L383" s="13">
        <f>IFERROR(VLOOKUP(E383,PRODUCTOS!$A$4:$F$28,6,FALSE()),0)</f>
        <v>0</v>
      </c>
      <c r="M383" s="13">
        <f t="shared" si="9"/>
        <v>0</v>
      </c>
      <c r="N383" s="14">
        <f>IFERROR(M383*CONFIG!$B$4,0)</f>
        <v>0</v>
      </c>
      <c r="O383" s="15">
        <f t="shared" si="10"/>
        <v>0</v>
      </c>
      <c r="P383" s="25"/>
      <c r="Q383" s="17"/>
    </row>
    <row r="384" ht="15.0" customHeight="1">
      <c r="A384" s="26"/>
      <c r="B384" s="25"/>
      <c r="C384" s="25"/>
      <c r="D384" s="17"/>
      <c r="E384" s="17"/>
      <c r="F384" s="17"/>
      <c r="G384" s="27"/>
      <c r="H384" s="27"/>
      <c r="I384" s="27"/>
      <c r="J384" s="27"/>
      <c r="K384" s="28">
        <f t="shared" si="12"/>
        <v>0</v>
      </c>
      <c r="L384" s="13">
        <f>IFERROR(VLOOKUP(E384,PRODUCTOS!$A$4:$F$28,6,FALSE()),0)</f>
        <v>0</v>
      </c>
      <c r="M384" s="13">
        <f t="shared" si="9"/>
        <v>0</v>
      </c>
      <c r="N384" s="14">
        <f>IFERROR(M384*CONFIG!$B$4,0)</f>
        <v>0</v>
      </c>
      <c r="O384" s="15">
        <f t="shared" si="10"/>
        <v>0</v>
      </c>
      <c r="P384" s="25"/>
      <c r="Q384" s="17"/>
    </row>
    <row r="385" ht="15.0" customHeight="1">
      <c r="A385" s="26"/>
      <c r="B385" s="25"/>
      <c r="C385" s="25"/>
      <c r="D385" s="17"/>
      <c r="E385" s="17"/>
      <c r="F385" s="17"/>
      <c r="G385" s="27"/>
      <c r="H385" s="27"/>
      <c r="I385" s="27"/>
      <c r="J385" s="27"/>
      <c r="K385" s="28">
        <f t="shared" si="12"/>
        <v>0</v>
      </c>
      <c r="L385" s="13">
        <f>IFERROR(VLOOKUP(E385,PRODUCTOS!$A$4:$F$28,6,FALSE()),0)</f>
        <v>0</v>
      </c>
      <c r="M385" s="13">
        <f t="shared" si="9"/>
        <v>0</v>
      </c>
      <c r="N385" s="14">
        <f>IFERROR(M385*CONFIG!$B$4,0)</f>
        <v>0</v>
      </c>
      <c r="O385" s="15">
        <f t="shared" si="10"/>
        <v>0</v>
      </c>
      <c r="P385" s="25"/>
      <c r="Q385" s="17"/>
    </row>
    <row r="386" ht="15.0" customHeight="1">
      <c r="A386" s="26"/>
      <c r="B386" s="25"/>
      <c r="C386" s="25"/>
      <c r="D386" s="17"/>
      <c r="E386" s="17"/>
      <c r="F386" s="17"/>
      <c r="G386" s="27"/>
      <c r="H386" s="27"/>
      <c r="I386" s="27"/>
      <c r="J386" s="27"/>
      <c r="K386" s="28">
        <f t="shared" si="12"/>
        <v>0</v>
      </c>
      <c r="L386" s="13">
        <f>IFERROR(VLOOKUP(E386,PRODUCTOS!$A$4:$F$28,6,FALSE()),0)</f>
        <v>0</v>
      </c>
      <c r="M386" s="13">
        <f t="shared" si="9"/>
        <v>0</v>
      </c>
      <c r="N386" s="14">
        <f>IFERROR(M386*CONFIG!$B$4,0)</f>
        <v>0</v>
      </c>
      <c r="O386" s="15">
        <f t="shared" si="10"/>
        <v>0</v>
      </c>
      <c r="P386" s="25"/>
      <c r="Q386" s="17"/>
    </row>
    <row r="387" ht="15.0" customHeight="1">
      <c r="A387" s="26"/>
      <c r="B387" s="25"/>
      <c r="C387" s="25"/>
      <c r="D387" s="17"/>
      <c r="E387" s="17"/>
      <c r="F387" s="17"/>
      <c r="G387" s="27"/>
      <c r="H387" s="27"/>
      <c r="I387" s="27"/>
      <c r="J387" s="27"/>
      <c r="K387" s="28">
        <f t="shared" si="12"/>
        <v>0</v>
      </c>
      <c r="L387" s="13">
        <f>IFERROR(VLOOKUP(E387,PRODUCTOS!$A$4:$F$28,6,FALSE()),0)</f>
        <v>0</v>
      </c>
      <c r="M387" s="13">
        <f t="shared" si="9"/>
        <v>0</v>
      </c>
      <c r="N387" s="14">
        <f>IFERROR(M387*CONFIG!$B$4,0)</f>
        <v>0</v>
      </c>
      <c r="O387" s="15">
        <f t="shared" si="10"/>
        <v>0</v>
      </c>
      <c r="P387" s="25"/>
      <c r="Q387" s="17"/>
    </row>
    <row r="388" ht="15.0" customHeight="1">
      <c r="A388" s="26"/>
      <c r="B388" s="25"/>
      <c r="C388" s="25"/>
      <c r="D388" s="17"/>
      <c r="E388" s="17"/>
      <c r="F388" s="17"/>
      <c r="G388" s="27"/>
      <c r="H388" s="27"/>
      <c r="I388" s="27"/>
      <c r="J388" s="27"/>
      <c r="K388" s="28">
        <f t="shared" si="12"/>
        <v>0</v>
      </c>
      <c r="L388" s="13">
        <f>IFERROR(VLOOKUP(E388,PRODUCTOS!$A$4:$F$28,6,FALSE()),0)</f>
        <v>0</v>
      </c>
      <c r="M388" s="13">
        <f t="shared" si="9"/>
        <v>0</v>
      </c>
      <c r="N388" s="14">
        <f>IFERROR(M388*CONFIG!$B$4,0)</f>
        <v>0</v>
      </c>
      <c r="O388" s="15">
        <f t="shared" si="10"/>
        <v>0</v>
      </c>
      <c r="P388" s="25"/>
      <c r="Q388" s="17"/>
    </row>
    <row r="389" ht="15.0" customHeight="1">
      <c r="A389" s="26"/>
      <c r="B389" s="25"/>
      <c r="C389" s="25"/>
      <c r="D389" s="17"/>
      <c r="E389" s="17"/>
      <c r="F389" s="17"/>
      <c r="G389" s="27"/>
      <c r="H389" s="27"/>
      <c r="I389" s="27"/>
      <c r="J389" s="27"/>
      <c r="K389" s="28">
        <f t="shared" si="12"/>
        <v>0</v>
      </c>
      <c r="L389" s="13">
        <f>IFERROR(VLOOKUP(E389,PRODUCTOS!$A$4:$F$28,6,FALSE()),0)</f>
        <v>0</v>
      </c>
      <c r="M389" s="13">
        <f t="shared" si="9"/>
        <v>0</v>
      </c>
      <c r="N389" s="14">
        <f>IFERROR(M389*CONFIG!$B$4,0)</f>
        <v>0</v>
      </c>
      <c r="O389" s="15">
        <f t="shared" si="10"/>
        <v>0</v>
      </c>
      <c r="P389" s="25"/>
      <c r="Q389" s="17"/>
    </row>
    <row r="390" ht="15.0" customHeight="1">
      <c r="A390" s="26"/>
      <c r="B390" s="25"/>
      <c r="C390" s="25"/>
      <c r="D390" s="17"/>
      <c r="E390" s="17"/>
      <c r="F390" s="17"/>
      <c r="G390" s="27"/>
      <c r="H390" s="27"/>
      <c r="I390" s="27"/>
      <c r="J390" s="27"/>
      <c r="K390" s="28">
        <f t="shared" si="12"/>
        <v>0</v>
      </c>
      <c r="L390" s="13">
        <f>IFERROR(VLOOKUP(E390,PRODUCTOS!$A$4:$F$28,6,FALSE()),0)</f>
        <v>0</v>
      </c>
      <c r="M390" s="13">
        <f t="shared" si="9"/>
        <v>0</v>
      </c>
      <c r="N390" s="14">
        <f>IFERROR(M390*CONFIG!$B$4,0)</f>
        <v>0</v>
      </c>
      <c r="O390" s="15">
        <f t="shared" si="10"/>
        <v>0</v>
      </c>
      <c r="P390" s="25"/>
      <c r="Q390" s="17"/>
    </row>
    <row r="391" ht="15.0" customHeight="1">
      <c r="A391" s="26"/>
      <c r="B391" s="25"/>
      <c r="C391" s="25"/>
      <c r="D391" s="17"/>
      <c r="E391" s="17"/>
      <c r="F391" s="17"/>
      <c r="G391" s="27"/>
      <c r="H391" s="27"/>
      <c r="I391" s="27"/>
      <c r="J391" s="27"/>
      <c r="K391" s="28">
        <f t="shared" si="12"/>
        <v>0</v>
      </c>
      <c r="L391" s="13">
        <f>IFERROR(VLOOKUP(E391,PRODUCTOS!$A$4:$F$28,6,FALSE()),0)</f>
        <v>0</v>
      </c>
      <c r="M391" s="13">
        <f t="shared" si="9"/>
        <v>0</v>
      </c>
      <c r="N391" s="14">
        <f>IFERROR(M391*CONFIG!$B$4,0)</f>
        <v>0</v>
      </c>
      <c r="O391" s="15">
        <f t="shared" si="10"/>
        <v>0</v>
      </c>
      <c r="P391" s="25"/>
      <c r="Q391" s="17"/>
    </row>
    <row r="392" ht="15.0" customHeight="1">
      <c r="A392" s="26"/>
      <c r="B392" s="25"/>
      <c r="C392" s="25"/>
      <c r="D392" s="17"/>
      <c r="E392" s="17"/>
      <c r="F392" s="17"/>
      <c r="G392" s="27"/>
      <c r="H392" s="27"/>
      <c r="I392" s="27"/>
      <c r="J392" s="27"/>
      <c r="K392" s="28">
        <f t="shared" si="12"/>
        <v>0</v>
      </c>
      <c r="L392" s="13">
        <f>IFERROR(VLOOKUP(E392,PRODUCTOS!$A$4:$F$28,6,FALSE()),0)</f>
        <v>0</v>
      </c>
      <c r="M392" s="13">
        <f t="shared" si="9"/>
        <v>0</v>
      </c>
      <c r="N392" s="14">
        <f>IFERROR(M392*CONFIG!$B$4,0)</f>
        <v>0</v>
      </c>
      <c r="O392" s="15">
        <f t="shared" si="10"/>
        <v>0</v>
      </c>
      <c r="P392" s="25"/>
      <c r="Q392" s="17"/>
    </row>
    <row r="393" ht="15.0" customHeight="1">
      <c r="A393" s="26"/>
      <c r="B393" s="25"/>
      <c r="C393" s="25"/>
      <c r="D393" s="17"/>
      <c r="E393" s="17"/>
      <c r="F393" s="17"/>
      <c r="G393" s="27"/>
      <c r="H393" s="27"/>
      <c r="I393" s="27"/>
      <c r="J393" s="27"/>
      <c r="K393" s="28">
        <f t="shared" si="12"/>
        <v>0</v>
      </c>
      <c r="L393" s="13">
        <f>IFERROR(VLOOKUP(E393,PRODUCTOS!$A$4:$F$28,6,FALSE()),0)</f>
        <v>0</v>
      </c>
      <c r="M393" s="13">
        <f t="shared" si="9"/>
        <v>0</v>
      </c>
      <c r="N393" s="14">
        <f>IFERROR(M393*CONFIG!$B$4,0)</f>
        <v>0</v>
      </c>
      <c r="O393" s="15">
        <f t="shared" si="10"/>
        <v>0</v>
      </c>
      <c r="P393" s="25"/>
      <c r="Q393" s="17"/>
    </row>
    <row r="394" ht="15.0" customHeight="1">
      <c r="A394" s="26"/>
      <c r="B394" s="25"/>
      <c r="C394" s="25"/>
      <c r="D394" s="17"/>
      <c r="E394" s="17"/>
      <c r="F394" s="17"/>
      <c r="G394" s="27"/>
      <c r="H394" s="27"/>
      <c r="I394" s="27"/>
      <c r="J394" s="27"/>
      <c r="K394" s="28">
        <f t="shared" si="12"/>
        <v>0</v>
      </c>
      <c r="L394" s="13">
        <f>IFERROR(VLOOKUP(E394,PRODUCTOS!$A$4:$F$28,6,FALSE()),0)</f>
        <v>0</v>
      </c>
      <c r="M394" s="13">
        <f t="shared" si="9"/>
        <v>0</v>
      </c>
      <c r="N394" s="14">
        <f>IFERROR(M394*CONFIG!$B$4,0)</f>
        <v>0</v>
      </c>
      <c r="O394" s="15">
        <f t="shared" si="10"/>
        <v>0</v>
      </c>
      <c r="P394" s="25"/>
      <c r="Q394" s="17"/>
    </row>
    <row r="395" ht="15.0" customHeight="1">
      <c r="A395" s="26"/>
      <c r="B395" s="25"/>
      <c r="C395" s="25"/>
      <c r="D395" s="17"/>
      <c r="E395" s="17"/>
      <c r="F395" s="17"/>
      <c r="G395" s="27"/>
      <c r="H395" s="27"/>
      <c r="I395" s="27"/>
      <c r="J395" s="27"/>
      <c r="K395" s="28">
        <f t="shared" si="12"/>
        <v>0</v>
      </c>
      <c r="L395" s="13">
        <f>IFERROR(VLOOKUP(E395,PRODUCTOS!$A$4:$F$28,6,FALSE()),0)</f>
        <v>0</v>
      </c>
      <c r="M395" s="13">
        <f t="shared" si="9"/>
        <v>0</v>
      </c>
      <c r="N395" s="14">
        <f>IFERROR(M395*CONFIG!$B$4,0)</f>
        <v>0</v>
      </c>
      <c r="O395" s="15">
        <f t="shared" si="10"/>
        <v>0</v>
      </c>
      <c r="P395" s="25"/>
      <c r="Q395" s="17"/>
    </row>
    <row r="396" ht="15.0" customHeight="1">
      <c r="A396" s="26"/>
      <c r="B396" s="25"/>
      <c r="C396" s="25"/>
      <c r="D396" s="17"/>
      <c r="E396" s="17"/>
      <c r="F396" s="17"/>
      <c r="G396" s="27"/>
      <c r="H396" s="27"/>
      <c r="I396" s="27"/>
      <c r="J396" s="27"/>
      <c r="K396" s="28">
        <f t="shared" si="12"/>
        <v>0</v>
      </c>
      <c r="L396" s="13">
        <f>IFERROR(VLOOKUP(E396,PRODUCTOS!$A$4:$F$28,6,FALSE()),0)</f>
        <v>0</v>
      </c>
      <c r="M396" s="13">
        <f t="shared" si="9"/>
        <v>0</v>
      </c>
      <c r="N396" s="14">
        <f>IFERROR(M396*CONFIG!$B$4,0)</f>
        <v>0</v>
      </c>
      <c r="O396" s="15">
        <f t="shared" si="10"/>
        <v>0</v>
      </c>
      <c r="P396" s="25"/>
      <c r="Q396" s="17"/>
    </row>
    <row r="397" ht="15.0" customHeight="1">
      <c r="A397" s="26"/>
      <c r="B397" s="25"/>
      <c r="C397" s="25"/>
      <c r="D397" s="17"/>
      <c r="E397" s="17"/>
      <c r="F397" s="17"/>
      <c r="G397" s="27"/>
      <c r="H397" s="27"/>
      <c r="I397" s="27"/>
      <c r="J397" s="27"/>
      <c r="K397" s="28">
        <f t="shared" si="12"/>
        <v>0</v>
      </c>
      <c r="L397" s="13">
        <f>IFERROR(VLOOKUP(E397,PRODUCTOS!$A$4:$F$28,6,FALSE()),0)</f>
        <v>0</v>
      </c>
      <c r="M397" s="13">
        <f t="shared" si="9"/>
        <v>0</v>
      </c>
      <c r="N397" s="14">
        <f>IFERROR(M397*CONFIG!$B$4,0)</f>
        <v>0</v>
      </c>
      <c r="O397" s="15">
        <f t="shared" si="10"/>
        <v>0</v>
      </c>
      <c r="P397" s="25"/>
      <c r="Q397" s="17"/>
    </row>
    <row r="398" ht="15.0" customHeight="1">
      <c r="A398" s="26"/>
      <c r="B398" s="25"/>
      <c r="C398" s="25"/>
      <c r="D398" s="17"/>
      <c r="E398" s="17"/>
      <c r="F398" s="17"/>
      <c r="G398" s="27"/>
      <c r="H398" s="27"/>
      <c r="I398" s="27"/>
      <c r="J398" s="27"/>
      <c r="K398" s="28">
        <f t="shared" si="12"/>
        <v>0</v>
      </c>
      <c r="L398" s="13">
        <f>IFERROR(VLOOKUP(E398,PRODUCTOS!$A$4:$F$28,6,FALSE()),0)</f>
        <v>0</v>
      </c>
      <c r="M398" s="13">
        <f t="shared" si="9"/>
        <v>0</v>
      </c>
      <c r="N398" s="14">
        <f>IFERROR(M398*CONFIG!$B$4,0)</f>
        <v>0</v>
      </c>
      <c r="O398" s="15">
        <f t="shared" si="10"/>
        <v>0</v>
      </c>
      <c r="P398" s="25"/>
      <c r="Q398" s="17"/>
    </row>
    <row r="399" ht="15.0" customHeight="1">
      <c r="A399" s="26"/>
      <c r="B399" s="25"/>
      <c r="C399" s="25"/>
      <c r="D399" s="17"/>
      <c r="E399" s="17"/>
      <c r="F399" s="17"/>
      <c r="G399" s="27"/>
      <c r="H399" s="27"/>
      <c r="I399" s="27"/>
      <c r="J399" s="27"/>
      <c r="K399" s="28">
        <f t="shared" si="12"/>
        <v>0</v>
      </c>
      <c r="L399" s="13">
        <f>IFERROR(VLOOKUP(E399,PRODUCTOS!$A$4:$F$28,6,FALSE()),0)</f>
        <v>0</v>
      </c>
      <c r="M399" s="13">
        <f t="shared" si="9"/>
        <v>0</v>
      </c>
      <c r="N399" s="14">
        <f>IFERROR(M399*CONFIG!$B$4,0)</f>
        <v>0</v>
      </c>
      <c r="O399" s="15">
        <f t="shared" si="10"/>
        <v>0</v>
      </c>
      <c r="P399" s="25"/>
      <c r="Q399" s="17"/>
    </row>
    <row r="400" ht="15.0" customHeight="1">
      <c r="A400" s="26"/>
      <c r="B400" s="25"/>
      <c r="C400" s="25"/>
      <c r="D400" s="17"/>
      <c r="E400" s="17"/>
      <c r="F400" s="17"/>
      <c r="G400" s="27"/>
      <c r="H400" s="27"/>
      <c r="I400" s="27"/>
      <c r="J400" s="27"/>
      <c r="K400" s="28">
        <f t="shared" si="12"/>
        <v>0</v>
      </c>
      <c r="L400" s="13">
        <f>IFERROR(VLOOKUP(E400,PRODUCTOS!$A$4:$F$28,6,FALSE()),0)</f>
        <v>0</v>
      </c>
      <c r="M400" s="13">
        <f t="shared" si="9"/>
        <v>0</v>
      </c>
      <c r="N400" s="14">
        <f>IFERROR(M400*CONFIG!$B$4,0)</f>
        <v>0</v>
      </c>
      <c r="O400" s="15">
        <f t="shared" si="10"/>
        <v>0</v>
      </c>
      <c r="P400" s="25"/>
      <c r="Q400" s="17"/>
    </row>
    <row r="401" ht="15.0" customHeight="1">
      <c r="A401" s="26"/>
      <c r="B401" s="25"/>
      <c r="C401" s="25"/>
      <c r="D401" s="17"/>
      <c r="E401" s="17"/>
      <c r="F401" s="17"/>
      <c r="G401" s="27"/>
      <c r="H401" s="27"/>
      <c r="I401" s="27"/>
      <c r="J401" s="27"/>
      <c r="K401" s="28">
        <f t="shared" si="12"/>
        <v>0</v>
      </c>
      <c r="L401" s="13">
        <f>IFERROR(VLOOKUP(E401,PRODUCTOS!$A$4:$F$28,6,FALSE()),0)</f>
        <v>0</v>
      </c>
      <c r="M401" s="13">
        <f t="shared" si="9"/>
        <v>0</v>
      </c>
      <c r="N401" s="14">
        <f>IFERROR(M401*CONFIG!$B$4,0)</f>
        <v>0</v>
      </c>
      <c r="O401" s="15">
        <f t="shared" si="10"/>
        <v>0</v>
      </c>
      <c r="P401" s="25"/>
      <c r="Q401" s="17"/>
    </row>
    <row r="402" ht="15.0" customHeight="1">
      <c r="A402" s="26"/>
      <c r="B402" s="25"/>
      <c r="C402" s="25"/>
      <c r="D402" s="17"/>
      <c r="E402" s="17"/>
      <c r="F402" s="17"/>
      <c r="G402" s="27"/>
      <c r="H402" s="27"/>
      <c r="I402" s="27"/>
      <c r="J402" s="27"/>
      <c r="K402" s="28">
        <f t="shared" si="12"/>
        <v>0</v>
      </c>
      <c r="L402" s="13">
        <f>IFERROR(VLOOKUP(E402,PRODUCTOS!$A$4:$F$28,6,FALSE()),0)</f>
        <v>0</v>
      </c>
      <c r="M402" s="13">
        <f t="shared" si="9"/>
        <v>0</v>
      </c>
      <c r="N402" s="14">
        <f>IFERROR(M402*CONFIG!$B$4,0)</f>
        <v>0</v>
      </c>
      <c r="O402" s="15">
        <f t="shared" si="10"/>
        <v>0</v>
      </c>
      <c r="P402" s="25"/>
      <c r="Q402" s="17"/>
    </row>
    <row r="403" ht="15.0" customHeight="1">
      <c r="A403" s="26"/>
      <c r="B403" s="25"/>
      <c r="C403" s="25"/>
      <c r="D403" s="17"/>
      <c r="E403" s="17"/>
      <c r="F403" s="17"/>
      <c r="G403" s="27"/>
      <c r="H403" s="27"/>
      <c r="I403" s="27"/>
      <c r="J403" s="27"/>
      <c r="K403" s="28">
        <f t="shared" si="12"/>
        <v>0</v>
      </c>
      <c r="L403" s="13">
        <f>IFERROR(VLOOKUP(E403,PRODUCTOS!$A$4:$F$28,6,FALSE()),0)</f>
        <v>0</v>
      </c>
      <c r="M403" s="13">
        <f t="shared" si="9"/>
        <v>0</v>
      </c>
      <c r="N403" s="14">
        <f>IFERROR(M403*CONFIG!$B$4,0)</f>
        <v>0</v>
      </c>
      <c r="O403" s="15">
        <f t="shared" si="10"/>
        <v>0</v>
      </c>
      <c r="P403" s="25"/>
      <c r="Q403" s="17"/>
    </row>
    <row r="404" ht="15.0" customHeight="1">
      <c r="A404" s="26"/>
      <c r="B404" s="25"/>
      <c r="C404" s="25"/>
      <c r="D404" s="17"/>
      <c r="E404" s="17"/>
      <c r="F404" s="17"/>
      <c r="G404" s="27"/>
      <c r="H404" s="27"/>
      <c r="I404" s="27"/>
      <c r="J404" s="27"/>
      <c r="K404" s="28">
        <f t="shared" si="12"/>
        <v>0</v>
      </c>
      <c r="L404" s="13">
        <f>IFERROR(VLOOKUP(E404,PRODUCTOS!$A$4:$F$28,6,FALSE()),0)</f>
        <v>0</v>
      </c>
      <c r="M404" s="13">
        <f t="shared" si="9"/>
        <v>0</v>
      </c>
      <c r="N404" s="14">
        <f>IFERROR(M404*CONFIG!$B$4,0)</f>
        <v>0</v>
      </c>
      <c r="O404" s="15">
        <f t="shared" si="10"/>
        <v>0</v>
      </c>
      <c r="P404" s="25"/>
      <c r="Q404" s="17"/>
    </row>
    <row r="405" ht="15.0" customHeight="1">
      <c r="A405" s="26"/>
      <c r="B405" s="25"/>
      <c r="C405" s="25"/>
      <c r="D405" s="17"/>
      <c r="E405" s="17"/>
      <c r="F405" s="17"/>
      <c r="G405" s="27"/>
      <c r="H405" s="27"/>
      <c r="I405" s="27"/>
      <c r="J405" s="27"/>
      <c r="K405" s="28">
        <f t="shared" si="12"/>
        <v>0</v>
      </c>
      <c r="L405" s="13">
        <f>IFERROR(VLOOKUP(E405,PRODUCTOS!$A$4:$F$28,6,FALSE()),0)</f>
        <v>0</v>
      </c>
      <c r="M405" s="13">
        <f t="shared" si="9"/>
        <v>0</v>
      </c>
      <c r="N405" s="14">
        <f>IFERROR(M405*CONFIG!$B$4,0)</f>
        <v>0</v>
      </c>
      <c r="O405" s="15">
        <f t="shared" si="10"/>
        <v>0</v>
      </c>
      <c r="P405" s="25"/>
      <c r="Q405" s="17"/>
    </row>
    <row r="406" ht="15.0" customHeight="1">
      <c r="A406" s="26"/>
      <c r="B406" s="25"/>
      <c r="C406" s="25"/>
      <c r="D406" s="17"/>
      <c r="E406" s="17"/>
      <c r="F406" s="17"/>
      <c r="G406" s="27"/>
      <c r="H406" s="27"/>
      <c r="I406" s="27"/>
      <c r="J406" s="27"/>
      <c r="K406" s="28">
        <f t="shared" si="12"/>
        <v>0</v>
      </c>
      <c r="L406" s="13">
        <f>IFERROR(VLOOKUP(E406,PRODUCTOS!$A$4:$F$28,6,FALSE()),0)</f>
        <v>0</v>
      </c>
      <c r="M406" s="13">
        <f t="shared" si="9"/>
        <v>0</v>
      </c>
      <c r="N406" s="14">
        <f>IFERROR(M406*CONFIG!$B$4,0)</f>
        <v>0</v>
      </c>
      <c r="O406" s="15">
        <f t="shared" si="10"/>
        <v>0</v>
      </c>
      <c r="P406" s="25"/>
      <c r="Q406" s="17"/>
    </row>
    <row r="407" ht="15.0" customHeight="1">
      <c r="A407" s="26"/>
      <c r="B407" s="25"/>
      <c r="C407" s="25"/>
      <c r="D407" s="17"/>
      <c r="E407" s="17"/>
      <c r="F407" s="17"/>
      <c r="G407" s="27"/>
      <c r="H407" s="27"/>
      <c r="I407" s="27"/>
      <c r="J407" s="27"/>
      <c r="K407" s="28">
        <f t="shared" si="12"/>
        <v>0</v>
      </c>
      <c r="L407" s="13">
        <f>IFERROR(VLOOKUP(E407,PRODUCTOS!$A$4:$F$28,6,FALSE()),0)</f>
        <v>0</v>
      </c>
      <c r="M407" s="13">
        <f t="shared" si="9"/>
        <v>0</v>
      </c>
      <c r="N407" s="14">
        <f>IFERROR(M407*CONFIG!$B$4,0)</f>
        <v>0</v>
      </c>
      <c r="O407" s="15">
        <f t="shared" si="10"/>
        <v>0</v>
      </c>
      <c r="P407" s="25"/>
      <c r="Q407" s="17"/>
    </row>
    <row r="408" ht="15.0" customHeight="1">
      <c r="A408" s="26"/>
      <c r="B408" s="25"/>
      <c r="C408" s="25"/>
      <c r="D408" s="17"/>
      <c r="E408" s="17"/>
      <c r="F408" s="17"/>
      <c r="G408" s="27"/>
      <c r="H408" s="27"/>
      <c r="I408" s="27"/>
      <c r="J408" s="27"/>
      <c r="K408" s="28">
        <f t="shared" si="12"/>
        <v>0</v>
      </c>
      <c r="L408" s="13">
        <f>IFERROR(VLOOKUP(E408,PRODUCTOS!$A$4:$F$28,6,FALSE()),0)</f>
        <v>0</v>
      </c>
      <c r="M408" s="13">
        <f t="shared" si="9"/>
        <v>0</v>
      </c>
      <c r="N408" s="14">
        <f>IFERROR(M408*CONFIG!$B$4,0)</f>
        <v>0</v>
      </c>
      <c r="O408" s="15">
        <f t="shared" si="10"/>
        <v>0</v>
      </c>
      <c r="P408" s="25"/>
      <c r="Q408" s="17"/>
    </row>
    <row r="409" ht="15.0" customHeight="1">
      <c r="A409" s="26"/>
      <c r="B409" s="25"/>
      <c r="C409" s="25"/>
      <c r="D409" s="17"/>
      <c r="E409" s="17"/>
      <c r="F409" s="17"/>
      <c r="G409" s="27"/>
      <c r="H409" s="27"/>
      <c r="I409" s="27"/>
      <c r="J409" s="27"/>
      <c r="K409" s="28">
        <f t="shared" si="12"/>
        <v>0</v>
      </c>
      <c r="L409" s="13">
        <f>IFERROR(VLOOKUP(E409,PRODUCTOS!$A$4:$F$28,6,FALSE()),0)</f>
        <v>0</v>
      </c>
      <c r="M409" s="13">
        <f t="shared" si="9"/>
        <v>0</v>
      </c>
      <c r="N409" s="14">
        <f>IFERROR(M409*CONFIG!$B$4,0)</f>
        <v>0</v>
      </c>
      <c r="O409" s="15">
        <f t="shared" si="10"/>
        <v>0</v>
      </c>
      <c r="P409" s="25"/>
      <c r="Q409" s="17"/>
    </row>
    <row r="410" ht="15.0" customHeight="1">
      <c r="A410" s="26"/>
      <c r="B410" s="25"/>
      <c r="C410" s="25"/>
      <c r="D410" s="17"/>
      <c r="E410" s="17"/>
      <c r="F410" s="17"/>
      <c r="G410" s="27"/>
      <c r="H410" s="27"/>
      <c r="I410" s="27"/>
      <c r="J410" s="27"/>
      <c r="K410" s="28">
        <f t="shared" si="12"/>
        <v>0</v>
      </c>
      <c r="L410" s="13">
        <f>IFERROR(VLOOKUP(E410,PRODUCTOS!$A$4:$F$28,6,FALSE()),0)</f>
        <v>0</v>
      </c>
      <c r="M410" s="13">
        <f t="shared" si="9"/>
        <v>0</v>
      </c>
      <c r="N410" s="14">
        <f>IFERROR(M410*CONFIG!$B$4,0)</f>
        <v>0</v>
      </c>
      <c r="O410" s="15">
        <f t="shared" si="10"/>
        <v>0</v>
      </c>
      <c r="P410" s="25"/>
      <c r="Q410" s="17"/>
    </row>
    <row r="411" ht="15.0" customHeight="1">
      <c r="A411" s="26"/>
      <c r="B411" s="25"/>
      <c r="C411" s="25"/>
      <c r="D411" s="17"/>
      <c r="E411" s="17"/>
      <c r="F411" s="17"/>
      <c r="G411" s="27"/>
      <c r="H411" s="27"/>
      <c r="I411" s="27"/>
      <c r="J411" s="27"/>
      <c r="K411" s="28">
        <f t="shared" si="12"/>
        <v>0</v>
      </c>
      <c r="L411" s="13">
        <f>IFERROR(VLOOKUP(E411,PRODUCTOS!$A$4:$F$28,6,FALSE()),0)</f>
        <v>0</v>
      </c>
      <c r="M411" s="13">
        <f t="shared" si="9"/>
        <v>0</v>
      </c>
      <c r="N411" s="14">
        <f>IFERROR(M411*CONFIG!$B$4,0)</f>
        <v>0</v>
      </c>
      <c r="O411" s="15">
        <f t="shared" si="10"/>
        <v>0</v>
      </c>
      <c r="P411" s="25"/>
      <c r="Q411" s="17"/>
    </row>
    <row r="412" ht="15.0" customHeight="1">
      <c r="A412" s="26"/>
      <c r="B412" s="25"/>
      <c r="C412" s="25"/>
      <c r="D412" s="17"/>
      <c r="E412" s="17"/>
      <c r="F412" s="17"/>
      <c r="G412" s="27"/>
      <c r="H412" s="27"/>
      <c r="I412" s="27"/>
      <c r="J412" s="27"/>
      <c r="K412" s="28">
        <f t="shared" si="12"/>
        <v>0</v>
      </c>
      <c r="L412" s="13">
        <f>IFERROR(VLOOKUP(E412,PRODUCTOS!$A$4:$F$28,6,FALSE()),0)</f>
        <v>0</v>
      </c>
      <c r="M412" s="13">
        <f t="shared" si="9"/>
        <v>0</v>
      </c>
      <c r="N412" s="14">
        <f>IFERROR(M412*CONFIG!$B$4,0)</f>
        <v>0</v>
      </c>
      <c r="O412" s="15">
        <f t="shared" si="10"/>
        <v>0</v>
      </c>
      <c r="P412" s="25"/>
      <c r="Q412" s="17"/>
    </row>
    <row r="413" ht="15.0" customHeight="1">
      <c r="A413" s="26"/>
      <c r="B413" s="25"/>
      <c r="C413" s="25"/>
      <c r="D413" s="17"/>
      <c r="E413" s="17"/>
      <c r="F413" s="17"/>
      <c r="G413" s="27"/>
      <c r="H413" s="27"/>
      <c r="I413" s="27"/>
      <c r="J413" s="27"/>
      <c r="K413" s="28">
        <f t="shared" si="12"/>
        <v>0</v>
      </c>
      <c r="L413" s="13">
        <f>IFERROR(VLOOKUP(E413,PRODUCTOS!$A$4:$F$28,6,FALSE()),0)</f>
        <v>0</v>
      </c>
      <c r="M413" s="13">
        <f t="shared" si="9"/>
        <v>0</v>
      </c>
      <c r="N413" s="14">
        <f>IFERROR(M413*CONFIG!$B$4,0)</f>
        <v>0</v>
      </c>
      <c r="O413" s="15">
        <f t="shared" si="10"/>
        <v>0</v>
      </c>
      <c r="P413" s="25"/>
      <c r="Q413" s="17"/>
    </row>
    <row r="414" ht="15.0" customHeight="1">
      <c r="A414" s="26"/>
      <c r="B414" s="25"/>
      <c r="C414" s="25"/>
      <c r="D414" s="17"/>
      <c r="E414" s="17"/>
      <c r="F414" s="17"/>
      <c r="G414" s="27"/>
      <c r="H414" s="27"/>
      <c r="I414" s="27"/>
      <c r="J414" s="27"/>
      <c r="K414" s="28">
        <f t="shared" si="12"/>
        <v>0</v>
      </c>
      <c r="L414" s="13">
        <f>IFERROR(VLOOKUP(E414,PRODUCTOS!$A$4:$F$28,6,FALSE()),0)</f>
        <v>0</v>
      </c>
      <c r="M414" s="13">
        <f t="shared" si="9"/>
        <v>0</v>
      </c>
      <c r="N414" s="14">
        <f>IFERROR(M414*CONFIG!$B$4,0)</f>
        <v>0</v>
      </c>
      <c r="O414" s="15">
        <f t="shared" si="10"/>
        <v>0</v>
      </c>
      <c r="P414" s="25"/>
      <c r="Q414" s="17"/>
    </row>
    <row r="415" ht="15.0" customHeight="1">
      <c r="A415" s="26"/>
      <c r="B415" s="25"/>
      <c r="C415" s="25"/>
      <c r="D415" s="17"/>
      <c r="E415" s="17"/>
      <c r="F415" s="17"/>
      <c r="G415" s="27"/>
      <c r="H415" s="27"/>
      <c r="I415" s="27"/>
      <c r="J415" s="27"/>
      <c r="K415" s="28">
        <f t="shared" si="12"/>
        <v>0</v>
      </c>
      <c r="L415" s="13">
        <f>IFERROR(VLOOKUP(E415,PRODUCTOS!$A$4:$F$28,6,FALSE()),0)</f>
        <v>0</v>
      </c>
      <c r="M415" s="13">
        <f t="shared" si="9"/>
        <v>0</v>
      </c>
      <c r="N415" s="14">
        <f>IFERROR(M415*CONFIG!$B$4,0)</f>
        <v>0</v>
      </c>
      <c r="O415" s="15">
        <f t="shared" si="10"/>
        <v>0</v>
      </c>
      <c r="P415" s="25"/>
      <c r="Q415" s="17"/>
    </row>
    <row r="416" ht="15.0" customHeight="1">
      <c r="A416" s="26"/>
      <c r="B416" s="25"/>
      <c r="C416" s="25"/>
      <c r="D416" s="17"/>
      <c r="E416" s="17"/>
      <c r="F416" s="17"/>
      <c r="G416" s="27"/>
      <c r="H416" s="27"/>
      <c r="I416" s="27"/>
      <c r="J416" s="27"/>
      <c r="K416" s="28">
        <f t="shared" si="12"/>
        <v>0</v>
      </c>
      <c r="L416" s="13">
        <f>IFERROR(VLOOKUP(E416,PRODUCTOS!$A$4:$F$28,6,FALSE()),0)</f>
        <v>0</v>
      </c>
      <c r="M416" s="13">
        <f t="shared" si="9"/>
        <v>0</v>
      </c>
      <c r="N416" s="14">
        <f>IFERROR(M416*CONFIG!$B$4,0)</f>
        <v>0</v>
      </c>
      <c r="O416" s="15">
        <f t="shared" si="10"/>
        <v>0</v>
      </c>
      <c r="P416" s="25"/>
      <c r="Q416" s="17"/>
    </row>
    <row r="417" ht="15.0" customHeight="1">
      <c r="A417" s="26"/>
      <c r="B417" s="25"/>
      <c r="C417" s="25"/>
      <c r="D417" s="17"/>
      <c r="E417" s="17"/>
      <c r="F417" s="17"/>
      <c r="G417" s="27"/>
      <c r="H417" s="27"/>
      <c r="I417" s="27"/>
      <c r="J417" s="27"/>
      <c r="K417" s="28">
        <f t="shared" si="12"/>
        <v>0</v>
      </c>
      <c r="L417" s="13">
        <f>IFERROR(VLOOKUP(E417,PRODUCTOS!$A$4:$F$28,6,FALSE()),0)</f>
        <v>0</v>
      </c>
      <c r="M417" s="13">
        <f t="shared" si="9"/>
        <v>0</v>
      </c>
      <c r="N417" s="14">
        <f>IFERROR(M417*CONFIG!$B$4,0)</f>
        <v>0</v>
      </c>
      <c r="O417" s="15">
        <f t="shared" si="10"/>
        <v>0</v>
      </c>
      <c r="P417" s="25"/>
      <c r="Q417" s="17"/>
    </row>
    <row r="418" ht="15.0" customHeight="1">
      <c r="A418" s="26"/>
      <c r="B418" s="25"/>
      <c r="C418" s="25"/>
      <c r="D418" s="17"/>
      <c r="E418" s="17"/>
      <c r="F418" s="17"/>
      <c r="G418" s="27"/>
      <c r="H418" s="27"/>
      <c r="I418" s="27"/>
      <c r="J418" s="27"/>
      <c r="K418" s="28">
        <f t="shared" si="12"/>
        <v>0</v>
      </c>
      <c r="L418" s="13">
        <f>IFERROR(VLOOKUP(E418,PRODUCTOS!$A$4:$F$28,6,FALSE()),0)</f>
        <v>0</v>
      </c>
      <c r="M418" s="13">
        <f t="shared" si="9"/>
        <v>0</v>
      </c>
      <c r="N418" s="14">
        <f>IFERROR(M418*CONFIG!$B$4,0)</f>
        <v>0</v>
      </c>
      <c r="O418" s="15">
        <f t="shared" si="10"/>
        <v>0</v>
      </c>
      <c r="P418" s="25"/>
      <c r="Q418" s="17"/>
    </row>
    <row r="419" ht="15.0" customHeight="1">
      <c r="A419" s="26"/>
      <c r="B419" s="25"/>
      <c r="C419" s="25"/>
      <c r="D419" s="17"/>
      <c r="E419" s="17"/>
      <c r="F419" s="17"/>
      <c r="G419" s="27"/>
      <c r="H419" s="27"/>
      <c r="I419" s="27"/>
      <c r="J419" s="27"/>
      <c r="K419" s="28">
        <f t="shared" si="12"/>
        <v>0</v>
      </c>
      <c r="L419" s="13">
        <f>IFERROR(VLOOKUP(E419,PRODUCTOS!$A$4:$F$28,6,FALSE()),0)</f>
        <v>0</v>
      </c>
      <c r="M419" s="13">
        <f t="shared" si="9"/>
        <v>0</v>
      </c>
      <c r="N419" s="14">
        <f>IFERROR(M419*CONFIG!$B$4,0)</f>
        <v>0</v>
      </c>
      <c r="O419" s="15">
        <f t="shared" si="10"/>
        <v>0</v>
      </c>
      <c r="P419" s="25"/>
      <c r="Q419" s="17"/>
    </row>
    <row r="420" ht="15.0" customHeight="1">
      <c r="A420" s="26"/>
      <c r="B420" s="25"/>
      <c r="C420" s="25"/>
      <c r="D420" s="17"/>
      <c r="E420" s="17"/>
      <c r="F420" s="17"/>
      <c r="G420" s="27"/>
      <c r="H420" s="27"/>
      <c r="I420" s="27"/>
      <c r="J420" s="27"/>
      <c r="K420" s="28">
        <f t="shared" si="12"/>
        <v>0</v>
      </c>
      <c r="L420" s="13">
        <f>IFERROR(VLOOKUP(E420,PRODUCTOS!$A$4:$F$28,6,FALSE()),0)</f>
        <v>0</v>
      </c>
      <c r="M420" s="13">
        <f t="shared" si="9"/>
        <v>0</v>
      </c>
      <c r="N420" s="14">
        <f>IFERROR(M420*CONFIG!$B$4,0)</f>
        <v>0</v>
      </c>
      <c r="O420" s="15">
        <f t="shared" si="10"/>
        <v>0</v>
      </c>
      <c r="P420" s="25"/>
      <c r="Q420" s="17"/>
    </row>
    <row r="421" ht="15.0" customHeight="1">
      <c r="A421" s="26"/>
      <c r="B421" s="25"/>
      <c r="C421" s="25"/>
      <c r="D421" s="17"/>
      <c r="E421" s="17"/>
      <c r="F421" s="17"/>
      <c r="G421" s="27"/>
      <c r="H421" s="27"/>
      <c r="I421" s="27"/>
      <c r="J421" s="27"/>
      <c r="K421" s="28">
        <f t="shared" si="12"/>
        <v>0</v>
      </c>
      <c r="L421" s="13">
        <f>IFERROR(VLOOKUP(E421,PRODUCTOS!$A$4:$F$28,6,FALSE()),0)</f>
        <v>0</v>
      </c>
      <c r="M421" s="13">
        <f t="shared" si="9"/>
        <v>0</v>
      </c>
      <c r="N421" s="14">
        <f>IFERROR(M421*CONFIG!$B$4,0)</f>
        <v>0</v>
      </c>
      <c r="O421" s="15">
        <f t="shared" si="10"/>
        <v>0</v>
      </c>
      <c r="P421" s="25"/>
      <c r="Q421" s="17"/>
    </row>
    <row r="422" ht="15.0" customHeight="1">
      <c r="A422" s="26"/>
      <c r="B422" s="25"/>
      <c r="C422" s="25"/>
      <c r="D422" s="17"/>
      <c r="E422" s="17"/>
      <c r="F422" s="17"/>
      <c r="G422" s="27"/>
      <c r="H422" s="27"/>
      <c r="I422" s="27"/>
      <c r="J422" s="27"/>
      <c r="K422" s="28">
        <f t="shared" si="12"/>
        <v>0</v>
      </c>
      <c r="L422" s="13">
        <f>IFERROR(VLOOKUP(E422,PRODUCTOS!$A$4:$F$28,6,FALSE()),0)</f>
        <v>0</v>
      </c>
      <c r="M422" s="13">
        <f t="shared" si="9"/>
        <v>0</v>
      </c>
      <c r="N422" s="14">
        <f>IFERROR(M422*CONFIG!$B$4,0)</f>
        <v>0</v>
      </c>
      <c r="O422" s="15">
        <f t="shared" si="10"/>
        <v>0</v>
      </c>
      <c r="P422" s="25"/>
      <c r="Q422" s="17"/>
    </row>
    <row r="423" ht="15.0" customHeight="1">
      <c r="A423" s="26"/>
      <c r="B423" s="25"/>
      <c r="C423" s="25"/>
      <c r="D423" s="17"/>
      <c r="E423" s="17"/>
      <c r="F423" s="17"/>
      <c r="G423" s="27"/>
      <c r="H423" s="27"/>
      <c r="I423" s="27"/>
      <c r="J423" s="27"/>
      <c r="K423" s="28">
        <f t="shared" si="12"/>
        <v>0</v>
      </c>
      <c r="L423" s="13">
        <f>IFERROR(VLOOKUP(E423,PRODUCTOS!$A$4:$F$28,6,FALSE()),0)</f>
        <v>0</v>
      </c>
      <c r="M423" s="13">
        <f t="shared" si="9"/>
        <v>0</v>
      </c>
      <c r="N423" s="14">
        <f>IFERROR(M423*CONFIG!$B$4,0)</f>
        <v>0</v>
      </c>
      <c r="O423" s="15">
        <f t="shared" si="10"/>
        <v>0</v>
      </c>
      <c r="P423" s="25"/>
      <c r="Q423" s="17"/>
    </row>
    <row r="424" ht="15.0" customHeight="1">
      <c r="A424" s="26"/>
      <c r="B424" s="25"/>
      <c r="C424" s="25"/>
      <c r="D424" s="17"/>
      <c r="E424" s="17"/>
      <c r="F424" s="17"/>
      <c r="G424" s="27"/>
      <c r="H424" s="27"/>
      <c r="I424" s="27"/>
      <c r="J424" s="27"/>
      <c r="K424" s="28">
        <f t="shared" si="12"/>
        <v>0</v>
      </c>
      <c r="L424" s="13">
        <f>IFERROR(VLOOKUP(E424,PRODUCTOS!$A$4:$F$28,6,FALSE()),0)</f>
        <v>0</v>
      </c>
      <c r="M424" s="13">
        <f t="shared" si="9"/>
        <v>0</v>
      </c>
      <c r="N424" s="14">
        <f>IFERROR(M424*CONFIG!$B$4,0)</f>
        <v>0</v>
      </c>
      <c r="O424" s="15">
        <f t="shared" si="10"/>
        <v>0</v>
      </c>
      <c r="P424" s="25"/>
      <c r="Q424" s="17"/>
    </row>
    <row r="425" ht="15.0" customHeight="1">
      <c r="A425" s="26"/>
      <c r="B425" s="25"/>
      <c r="C425" s="25"/>
      <c r="D425" s="17"/>
      <c r="E425" s="17"/>
      <c r="F425" s="17"/>
      <c r="G425" s="27"/>
      <c r="H425" s="27"/>
      <c r="I425" s="27"/>
      <c r="J425" s="27"/>
      <c r="K425" s="28">
        <f t="shared" si="12"/>
        <v>0</v>
      </c>
      <c r="L425" s="13">
        <f>IFERROR(VLOOKUP(E425,PRODUCTOS!$A$4:$F$28,6,FALSE()),0)</f>
        <v>0</v>
      </c>
      <c r="M425" s="13">
        <f t="shared" si="9"/>
        <v>0</v>
      </c>
      <c r="N425" s="14">
        <f>IFERROR(M425*CONFIG!$B$4,0)</f>
        <v>0</v>
      </c>
      <c r="O425" s="15">
        <f t="shared" si="10"/>
        <v>0</v>
      </c>
      <c r="P425" s="25"/>
      <c r="Q425" s="17"/>
    </row>
    <row r="426" ht="15.0" customHeight="1">
      <c r="A426" s="26"/>
      <c r="B426" s="25"/>
      <c r="C426" s="25"/>
      <c r="D426" s="17"/>
      <c r="E426" s="17"/>
      <c r="F426" s="17"/>
      <c r="G426" s="27"/>
      <c r="H426" s="27"/>
      <c r="I426" s="27"/>
      <c r="J426" s="27"/>
      <c r="K426" s="28">
        <f t="shared" si="12"/>
        <v>0</v>
      </c>
      <c r="L426" s="13">
        <f>IFERROR(VLOOKUP(E426,PRODUCTOS!$A$4:$F$28,6,FALSE()),0)</f>
        <v>0</v>
      </c>
      <c r="M426" s="13">
        <f t="shared" si="9"/>
        <v>0</v>
      </c>
      <c r="N426" s="14">
        <f>IFERROR(M426*CONFIG!$B$4,0)</f>
        <v>0</v>
      </c>
      <c r="O426" s="15">
        <f t="shared" si="10"/>
        <v>0</v>
      </c>
      <c r="P426" s="25"/>
      <c r="Q426" s="17"/>
    </row>
    <row r="427" ht="15.0" customHeight="1">
      <c r="A427" s="26"/>
      <c r="B427" s="25"/>
      <c r="C427" s="25"/>
      <c r="D427" s="17"/>
      <c r="E427" s="17"/>
      <c r="F427" s="17"/>
      <c r="G427" s="27"/>
      <c r="H427" s="27"/>
      <c r="I427" s="27"/>
      <c r="J427" s="27"/>
      <c r="K427" s="28">
        <f t="shared" si="12"/>
        <v>0</v>
      </c>
      <c r="L427" s="13">
        <f>IFERROR(VLOOKUP(E427,PRODUCTOS!$A$4:$F$28,6,FALSE()),0)</f>
        <v>0</v>
      </c>
      <c r="M427" s="13">
        <f t="shared" si="9"/>
        <v>0</v>
      </c>
      <c r="N427" s="14">
        <f>IFERROR(M427*CONFIG!$B$4,0)</f>
        <v>0</v>
      </c>
      <c r="O427" s="15">
        <f t="shared" si="10"/>
        <v>0</v>
      </c>
      <c r="P427" s="25"/>
      <c r="Q427" s="17"/>
    </row>
    <row r="428" ht="15.0" customHeight="1">
      <c r="A428" s="26"/>
      <c r="B428" s="25"/>
      <c r="C428" s="25"/>
      <c r="D428" s="17"/>
      <c r="E428" s="17"/>
      <c r="F428" s="17"/>
      <c r="G428" s="27"/>
      <c r="H428" s="27"/>
      <c r="I428" s="27"/>
      <c r="J428" s="27"/>
      <c r="K428" s="28">
        <f t="shared" si="12"/>
        <v>0</v>
      </c>
      <c r="L428" s="13">
        <f>IFERROR(VLOOKUP(E428,PRODUCTOS!$A$4:$F$28,6,FALSE()),0)</f>
        <v>0</v>
      </c>
      <c r="M428" s="13">
        <f t="shared" si="9"/>
        <v>0</v>
      </c>
      <c r="N428" s="14">
        <f>IFERROR(M428*CONFIG!$B$4,0)</f>
        <v>0</v>
      </c>
      <c r="O428" s="15">
        <f t="shared" si="10"/>
        <v>0</v>
      </c>
      <c r="P428" s="25"/>
      <c r="Q428" s="17"/>
    </row>
    <row r="429" ht="15.0" customHeight="1">
      <c r="A429" s="26"/>
      <c r="B429" s="25"/>
      <c r="C429" s="25"/>
      <c r="D429" s="17"/>
      <c r="E429" s="17"/>
      <c r="F429" s="17"/>
      <c r="G429" s="27"/>
      <c r="H429" s="27"/>
      <c r="I429" s="27"/>
      <c r="J429" s="27"/>
      <c r="K429" s="28">
        <f t="shared" si="12"/>
        <v>0</v>
      </c>
      <c r="L429" s="13">
        <f>IFERROR(VLOOKUP(E429,PRODUCTOS!$A$4:$F$28,6,FALSE()),0)</f>
        <v>0</v>
      </c>
      <c r="M429" s="13">
        <f t="shared" si="9"/>
        <v>0</v>
      </c>
      <c r="N429" s="14">
        <f>IFERROR(M429*CONFIG!$B$4,0)</f>
        <v>0</v>
      </c>
      <c r="O429" s="15">
        <f t="shared" si="10"/>
        <v>0</v>
      </c>
      <c r="P429" s="25"/>
      <c r="Q429" s="17"/>
    </row>
    <row r="430" ht="15.0" customHeight="1">
      <c r="A430" s="26"/>
      <c r="B430" s="25"/>
      <c r="C430" s="25"/>
      <c r="D430" s="17"/>
      <c r="E430" s="17"/>
      <c r="F430" s="17"/>
      <c r="G430" s="27"/>
      <c r="H430" s="27"/>
      <c r="I430" s="27"/>
      <c r="J430" s="27"/>
      <c r="K430" s="28">
        <f t="shared" si="12"/>
        <v>0</v>
      </c>
      <c r="L430" s="13">
        <f>IFERROR(VLOOKUP(E430,PRODUCTOS!$A$4:$F$28,6,FALSE()),0)</f>
        <v>0</v>
      </c>
      <c r="M430" s="13">
        <f t="shared" si="9"/>
        <v>0</v>
      </c>
      <c r="N430" s="14">
        <f>IFERROR(M430*CONFIG!$B$4,0)</f>
        <v>0</v>
      </c>
      <c r="O430" s="15">
        <f t="shared" si="10"/>
        <v>0</v>
      </c>
      <c r="P430" s="25"/>
      <c r="Q430" s="17"/>
    </row>
    <row r="431" ht="15.0" customHeight="1">
      <c r="A431" s="26"/>
      <c r="B431" s="25"/>
      <c r="C431" s="25"/>
      <c r="D431" s="17"/>
      <c r="E431" s="17"/>
      <c r="F431" s="17"/>
      <c r="G431" s="27"/>
      <c r="H431" s="27"/>
      <c r="I431" s="27"/>
      <c r="J431" s="27"/>
      <c r="K431" s="28">
        <f t="shared" si="12"/>
        <v>0</v>
      </c>
      <c r="L431" s="13">
        <f>IFERROR(VLOOKUP(E431,PRODUCTOS!$A$4:$F$28,6,FALSE()),0)</f>
        <v>0</v>
      </c>
      <c r="M431" s="13">
        <f t="shared" si="9"/>
        <v>0</v>
      </c>
      <c r="N431" s="14">
        <f>IFERROR(M431*CONFIG!$B$4,0)</f>
        <v>0</v>
      </c>
      <c r="O431" s="15">
        <f t="shared" si="10"/>
        <v>0</v>
      </c>
      <c r="P431" s="25"/>
      <c r="Q431" s="17"/>
    </row>
    <row r="432" ht="15.0" customHeight="1">
      <c r="A432" s="26"/>
      <c r="B432" s="25"/>
      <c r="C432" s="25"/>
      <c r="D432" s="17"/>
      <c r="E432" s="17"/>
      <c r="F432" s="17"/>
      <c r="G432" s="27"/>
      <c r="H432" s="27"/>
      <c r="I432" s="27"/>
      <c r="J432" s="27"/>
      <c r="K432" s="28">
        <f t="shared" si="12"/>
        <v>0</v>
      </c>
      <c r="L432" s="13">
        <f>IFERROR(VLOOKUP(E432,PRODUCTOS!$A$4:$F$28,6,FALSE()),0)</f>
        <v>0</v>
      </c>
      <c r="M432" s="13">
        <f t="shared" si="9"/>
        <v>0</v>
      </c>
      <c r="N432" s="14">
        <f>IFERROR(M432*CONFIG!$B$4,0)</f>
        <v>0</v>
      </c>
      <c r="O432" s="15">
        <f t="shared" si="10"/>
        <v>0</v>
      </c>
      <c r="P432" s="25"/>
      <c r="Q432" s="17"/>
    </row>
    <row r="433" ht="15.0" customHeight="1">
      <c r="A433" s="26"/>
      <c r="B433" s="25"/>
      <c r="C433" s="25"/>
      <c r="D433" s="17"/>
      <c r="E433" s="17"/>
      <c r="F433" s="17"/>
      <c r="G433" s="27"/>
      <c r="H433" s="27"/>
      <c r="I433" s="27"/>
      <c r="J433" s="27"/>
      <c r="K433" s="28">
        <f t="shared" si="12"/>
        <v>0</v>
      </c>
      <c r="L433" s="13">
        <f>IFERROR(VLOOKUP(E433,PRODUCTOS!$A$4:$F$28,6,FALSE()),0)</f>
        <v>0</v>
      </c>
      <c r="M433" s="13">
        <f t="shared" si="9"/>
        <v>0</v>
      </c>
      <c r="N433" s="14">
        <f>IFERROR(M433*CONFIG!$B$4,0)</f>
        <v>0</v>
      </c>
      <c r="O433" s="15">
        <f t="shared" si="10"/>
        <v>0</v>
      </c>
      <c r="P433" s="25"/>
      <c r="Q433" s="17"/>
    </row>
    <row r="434" ht="15.0" customHeight="1">
      <c r="A434" s="26"/>
      <c r="B434" s="25"/>
      <c r="C434" s="25"/>
      <c r="D434" s="17"/>
      <c r="E434" s="17"/>
      <c r="F434" s="17"/>
      <c r="G434" s="27"/>
      <c r="H434" s="27"/>
      <c r="I434" s="27"/>
      <c r="J434" s="27"/>
      <c r="K434" s="28">
        <f t="shared" si="12"/>
        <v>0</v>
      </c>
      <c r="L434" s="13">
        <f>IFERROR(VLOOKUP(E434,PRODUCTOS!$A$4:$F$28,6,FALSE()),0)</f>
        <v>0</v>
      </c>
      <c r="M434" s="13">
        <f t="shared" si="9"/>
        <v>0</v>
      </c>
      <c r="N434" s="14">
        <f>IFERROR(M434*CONFIG!$B$4,0)</f>
        <v>0</v>
      </c>
      <c r="O434" s="15">
        <f t="shared" si="10"/>
        <v>0</v>
      </c>
      <c r="P434" s="25"/>
      <c r="Q434" s="17"/>
    </row>
    <row r="435" ht="15.0" customHeight="1">
      <c r="A435" s="26"/>
      <c r="B435" s="25"/>
      <c r="C435" s="25"/>
      <c r="D435" s="17"/>
      <c r="E435" s="17"/>
      <c r="F435" s="17"/>
      <c r="G435" s="27"/>
      <c r="H435" s="27"/>
      <c r="I435" s="27"/>
      <c r="J435" s="27"/>
      <c r="K435" s="28">
        <f t="shared" si="12"/>
        <v>0</v>
      </c>
      <c r="L435" s="13">
        <f>IFERROR(VLOOKUP(E435,PRODUCTOS!$A$4:$F$28,6,FALSE()),0)</f>
        <v>0</v>
      </c>
      <c r="M435" s="13">
        <f t="shared" si="9"/>
        <v>0</v>
      </c>
      <c r="N435" s="14">
        <f>IFERROR(M435*CONFIG!$B$4,0)</f>
        <v>0</v>
      </c>
      <c r="O435" s="15">
        <f t="shared" si="10"/>
        <v>0</v>
      </c>
      <c r="P435" s="25"/>
      <c r="Q435" s="17"/>
    </row>
    <row r="436" ht="15.0" customHeight="1">
      <c r="A436" s="26"/>
      <c r="B436" s="25"/>
      <c r="C436" s="25"/>
      <c r="D436" s="17"/>
      <c r="E436" s="17"/>
      <c r="F436" s="17"/>
      <c r="G436" s="27"/>
      <c r="H436" s="27"/>
      <c r="I436" s="27"/>
      <c r="J436" s="27"/>
      <c r="K436" s="28">
        <f t="shared" si="12"/>
        <v>0</v>
      </c>
      <c r="L436" s="13">
        <f>IFERROR(VLOOKUP(E436,PRODUCTOS!$A$4:$F$28,6,FALSE()),0)</f>
        <v>0</v>
      </c>
      <c r="M436" s="13">
        <f t="shared" si="9"/>
        <v>0</v>
      </c>
      <c r="N436" s="14">
        <f>IFERROR(M436*CONFIG!$B$4,0)</f>
        <v>0</v>
      </c>
      <c r="O436" s="15">
        <f t="shared" si="10"/>
        <v>0</v>
      </c>
      <c r="P436" s="25"/>
      <c r="Q436" s="17"/>
    </row>
    <row r="437" ht="15.0" customHeight="1">
      <c r="A437" s="26"/>
      <c r="B437" s="25"/>
      <c r="C437" s="25"/>
      <c r="D437" s="17"/>
      <c r="E437" s="17"/>
      <c r="F437" s="17"/>
      <c r="G437" s="27"/>
      <c r="H437" s="27"/>
      <c r="I437" s="27"/>
      <c r="J437" s="27"/>
      <c r="K437" s="28">
        <f t="shared" si="12"/>
        <v>0</v>
      </c>
      <c r="L437" s="13">
        <f>IFERROR(VLOOKUP(E437,PRODUCTOS!$A$4:$F$28,6,FALSE()),0)</f>
        <v>0</v>
      </c>
      <c r="M437" s="13">
        <f t="shared" si="9"/>
        <v>0</v>
      </c>
      <c r="N437" s="14">
        <f>IFERROR(M437*CONFIG!$B$4,0)</f>
        <v>0</v>
      </c>
      <c r="O437" s="15">
        <f t="shared" si="10"/>
        <v>0</v>
      </c>
      <c r="P437" s="25"/>
      <c r="Q437" s="17"/>
    </row>
    <row r="438" ht="15.0" customHeight="1">
      <c r="A438" s="26"/>
      <c r="B438" s="25"/>
      <c r="C438" s="25"/>
      <c r="D438" s="17"/>
      <c r="E438" s="17"/>
      <c r="F438" s="17"/>
      <c r="G438" s="27"/>
      <c r="H438" s="27"/>
      <c r="I438" s="27"/>
      <c r="J438" s="27"/>
      <c r="K438" s="28">
        <f t="shared" si="12"/>
        <v>0</v>
      </c>
      <c r="L438" s="13">
        <f>IFERROR(VLOOKUP(E438,PRODUCTOS!$A$4:$F$28,6,FALSE()),0)</f>
        <v>0</v>
      </c>
      <c r="M438" s="13">
        <f t="shared" si="9"/>
        <v>0</v>
      </c>
      <c r="N438" s="14">
        <f>IFERROR(M438*CONFIG!$B$4,0)</f>
        <v>0</v>
      </c>
      <c r="O438" s="15">
        <f t="shared" si="10"/>
        <v>0</v>
      </c>
      <c r="P438" s="25"/>
      <c r="Q438" s="17"/>
    </row>
    <row r="439" ht="15.0" customHeight="1">
      <c r="A439" s="26"/>
      <c r="B439" s="25"/>
      <c r="C439" s="25"/>
      <c r="D439" s="17"/>
      <c r="E439" s="17"/>
      <c r="F439" s="17"/>
      <c r="G439" s="27"/>
      <c r="H439" s="27"/>
      <c r="I439" s="27"/>
      <c r="J439" s="27"/>
      <c r="K439" s="28">
        <f t="shared" si="12"/>
        <v>0</v>
      </c>
      <c r="L439" s="13">
        <f>IFERROR(VLOOKUP(E439,PRODUCTOS!$A$4:$F$28,6,FALSE()),0)</f>
        <v>0</v>
      </c>
      <c r="M439" s="13">
        <f t="shared" si="9"/>
        <v>0</v>
      </c>
      <c r="N439" s="14">
        <f>IFERROR(M439*CONFIG!$B$4,0)</f>
        <v>0</v>
      </c>
      <c r="O439" s="15">
        <f t="shared" si="10"/>
        <v>0</v>
      </c>
      <c r="P439" s="25"/>
      <c r="Q439" s="17"/>
    </row>
    <row r="440" ht="15.0" customHeight="1">
      <c r="A440" s="26"/>
      <c r="B440" s="25"/>
      <c r="C440" s="25"/>
      <c r="D440" s="17"/>
      <c r="E440" s="17"/>
      <c r="F440" s="17"/>
      <c r="G440" s="27"/>
      <c r="H440" s="27"/>
      <c r="I440" s="27"/>
      <c r="J440" s="27"/>
      <c r="K440" s="28">
        <f t="shared" si="12"/>
        <v>0</v>
      </c>
      <c r="L440" s="13">
        <f>IFERROR(VLOOKUP(E440,PRODUCTOS!$A$4:$F$28,6,FALSE()),0)</f>
        <v>0</v>
      </c>
      <c r="M440" s="13">
        <f t="shared" si="9"/>
        <v>0</v>
      </c>
      <c r="N440" s="14">
        <f>IFERROR(M440*CONFIG!$B$4,0)</f>
        <v>0</v>
      </c>
      <c r="O440" s="15">
        <f t="shared" si="10"/>
        <v>0</v>
      </c>
      <c r="P440" s="25"/>
      <c r="Q440" s="17"/>
    </row>
    <row r="441" ht="15.0" customHeight="1">
      <c r="A441" s="26"/>
      <c r="B441" s="25"/>
      <c r="C441" s="25"/>
      <c r="D441" s="17"/>
      <c r="E441" s="17"/>
      <c r="F441" s="17"/>
      <c r="G441" s="27"/>
      <c r="H441" s="27"/>
      <c r="I441" s="27"/>
      <c r="J441" s="27"/>
      <c r="K441" s="28">
        <f t="shared" si="12"/>
        <v>0</v>
      </c>
      <c r="L441" s="13">
        <f>IFERROR(VLOOKUP(E441,PRODUCTOS!$A$4:$F$28,6,FALSE()),0)</f>
        <v>0</v>
      </c>
      <c r="M441" s="13">
        <f t="shared" si="9"/>
        <v>0</v>
      </c>
      <c r="N441" s="14">
        <f>IFERROR(M441*CONFIG!$B$4,0)</f>
        <v>0</v>
      </c>
      <c r="O441" s="15">
        <f t="shared" si="10"/>
        <v>0</v>
      </c>
      <c r="P441" s="25"/>
      <c r="Q441" s="17"/>
    </row>
    <row r="442" ht="15.0" customHeight="1">
      <c r="A442" s="26"/>
      <c r="B442" s="25"/>
      <c r="C442" s="25"/>
      <c r="D442" s="17"/>
      <c r="E442" s="17"/>
      <c r="F442" s="17"/>
      <c r="G442" s="27"/>
      <c r="H442" s="27"/>
      <c r="I442" s="27"/>
      <c r="J442" s="27"/>
      <c r="K442" s="28">
        <f t="shared" si="12"/>
        <v>0</v>
      </c>
      <c r="L442" s="13">
        <f>IFERROR(VLOOKUP(E442,PRODUCTOS!$A$4:$F$28,6,FALSE()),0)</f>
        <v>0</v>
      </c>
      <c r="M442" s="13">
        <f t="shared" si="9"/>
        <v>0</v>
      </c>
      <c r="N442" s="14">
        <f>IFERROR(M442*CONFIG!$B$4,0)</f>
        <v>0</v>
      </c>
      <c r="O442" s="15">
        <f t="shared" si="10"/>
        <v>0</v>
      </c>
      <c r="P442" s="25"/>
      <c r="Q442" s="17"/>
    </row>
    <row r="443" ht="15.0" customHeight="1">
      <c r="A443" s="26"/>
      <c r="B443" s="25"/>
      <c r="C443" s="25"/>
      <c r="D443" s="17"/>
      <c r="E443" s="17"/>
      <c r="F443" s="17"/>
      <c r="G443" s="27"/>
      <c r="H443" s="27"/>
      <c r="I443" s="27"/>
      <c r="J443" s="27"/>
      <c r="K443" s="28">
        <f t="shared" si="12"/>
        <v>0</v>
      </c>
      <c r="L443" s="13">
        <f>IFERROR(VLOOKUP(E443,PRODUCTOS!$A$4:$F$28,6,FALSE()),0)</f>
        <v>0</v>
      </c>
      <c r="M443" s="13">
        <f t="shared" si="9"/>
        <v>0</v>
      </c>
      <c r="N443" s="14">
        <f>IFERROR(M443*CONFIG!$B$4,0)</f>
        <v>0</v>
      </c>
      <c r="O443" s="15">
        <f t="shared" si="10"/>
        <v>0</v>
      </c>
      <c r="P443" s="25"/>
      <c r="Q443" s="17"/>
    </row>
    <row r="444" ht="15.0" customHeight="1">
      <c r="A444" s="26"/>
      <c r="B444" s="25"/>
      <c r="C444" s="25"/>
      <c r="D444" s="17"/>
      <c r="E444" s="17"/>
      <c r="F444" s="17"/>
      <c r="G444" s="27"/>
      <c r="H444" s="27"/>
      <c r="I444" s="27"/>
      <c r="J444" s="27"/>
      <c r="K444" s="28">
        <f t="shared" si="12"/>
        <v>0</v>
      </c>
      <c r="L444" s="13">
        <f>IFERROR(VLOOKUP(E444,PRODUCTOS!$A$4:$F$28,6,FALSE()),0)</f>
        <v>0</v>
      </c>
      <c r="M444" s="13">
        <f t="shared" si="9"/>
        <v>0</v>
      </c>
      <c r="N444" s="14">
        <f>IFERROR(M444*CONFIG!$B$4,0)</f>
        <v>0</v>
      </c>
      <c r="O444" s="15">
        <f t="shared" si="10"/>
        <v>0</v>
      </c>
      <c r="P444" s="25"/>
      <c r="Q444" s="17"/>
    </row>
    <row r="445" ht="15.0" customHeight="1">
      <c r="A445" s="26"/>
      <c r="B445" s="25"/>
      <c r="C445" s="25"/>
      <c r="D445" s="17"/>
      <c r="E445" s="17"/>
      <c r="F445" s="17"/>
      <c r="G445" s="27"/>
      <c r="H445" s="27"/>
      <c r="I445" s="27"/>
      <c r="J445" s="27"/>
      <c r="K445" s="28">
        <f t="shared" si="12"/>
        <v>0</v>
      </c>
      <c r="L445" s="13">
        <f>IFERROR(VLOOKUP(E445,PRODUCTOS!$A$4:$F$28,6,FALSE()),0)</f>
        <v>0</v>
      </c>
      <c r="M445" s="13">
        <f t="shared" si="9"/>
        <v>0</v>
      </c>
      <c r="N445" s="14">
        <f>IFERROR(M445*CONFIG!$B$4,0)</f>
        <v>0</v>
      </c>
      <c r="O445" s="15">
        <f t="shared" si="10"/>
        <v>0</v>
      </c>
      <c r="P445" s="25"/>
      <c r="Q445" s="17"/>
    </row>
    <row r="446" ht="15.0" customHeight="1">
      <c r="A446" s="26"/>
      <c r="B446" s="25"/>
      <c r="C446" s="25"/>
      <c r="D446" s="17"/>
      <c r="E446" s="17"/>
      <c r="F446" s="17"/>
      <c r="G446" s="27"/>
      <c r="H446" s="27"/>
      <c r="I446" s="27"/>
      <c r="J446" s="27"/>
      <c r="K446" s="28">
        <f t="shared" si="12"/>
        <v>0</v>
      </c>
      <c r="L446" s="13">
        <f>IFERROR(VLOOKUP(E446,PRODUCTOS!$A$4:$F$28,6,FALSE()),0)</f>
        <v>0</v>
      </c>
      <c r="M446" s="13">
        <f t="shared" si="9"/>
        <v>0</v>
      </c>
      <c r="N446" s="14">
        <f>IFERROR(M446*CONFIG!$B$4,0)</f>
        <v>0</v>
      </c>
      <c r="O446" s="15">
        <f t="shared" si="10"/>
        <v>0</v>
      </c>
      <c r="P446" s="25"/>
      <c r="Q446" s="17"/>
    </row>
    <row r="447" ht="15.0" customHeight="1">
      <c r="A447" s="26"/>
      <c r="B447" s="25"/>
      <c r="C447" s="25"/>
      <c r="D447" s="17"/>
      <c r="E447" s="17"/>
      <c r="F447" s="17"/>
      <c r="G447" s="27"/>
      <c r="H447" s="27"/>
      <c r="I447" s="27"/>
      <c r="J447" s="27"/>
      <c r="K447" s="28">
        <f t="shared" si="12"/>
        <v>0</v>
      </c>
      <c r="L447" s="13">
        <f>IFERROR(VLOOKUP(E447,PRODUCTOS!$A$4:$F$28,6,FALSE()),0)</f>
        <v>0</v>
      </c>
      <c r="M447" s="13">
        <f t="shared" si="9"/>
        <v>0</v>
      </c>
      <c r="N447" s="14">
        <f>IFERROR(M447*CONFIG!$B$4,0)</f>
        <v>0</v>
      </c>
      <c r="O447" s="15">
        <f t="shared" si="10"/>
        <v>0</v>
      </c>
      <c r="P447" s="25"/>
      <c r="Q447" s="17"/>
    </row>
    <row r="448" ht="15.0" customHeight="1">
      <c r="A448" s="26"/>
      <c r="B448" s="25"/>
      <c r="C448" s="25"/>
      <c r="D448" s="17"/>
      <c r="E448" s="17"/>
      <c r="F448" s="17"/>
      <c r="G448" s="27"/>
      <c r="H448" s="27"/>
      <c r="I448" s="27"/>
      <c r="J448" s="27"/>
      <c r="K448" s="28">
        <f t="shared" si="12"/>
        <v>0</v>
      </c>
      <c r="L448" s="13">
        <f>IFERROR(VLOOKUP(E448,PRODUCTOS!$A$4:$F$28,6,FALSE()),0)</f>
        <v>0</v>
      </c>
      <c r="M448" s="13">
        <f t="shared" si="9"/>
        <v>0</v>
      </c>
      <c r="N448" s="14">
        <f>IFERROR(M448*CONFIG!$B$4,0)</f>
        <v>0</v>
      </c>
      <c r="O448" s="15">
        <f t="shared" si="10"/>
        <v>0</v>
      </c>
      <c r="P448" s="25"/>
      <c r="Q448" s="17"/>
    </row>
    <row r="449" ht="15.0" customHeight="1">
      <c r="A449" s="26"/>
      <c r="B449" s="25"/>
      <c r="C449" s="25"/>
      <c r="D449" s="17"/>
      <c r="E449" s="17"/>
      <c r="F449" s="17"/>
      <c r="G449" s="27"/>
      <c r="H449" s="27"/>
      <c r="I449" s="27"/>
      <c r="J449" s="27"/>
      <c r="K449" s="28">
        <f t="shared" si="12"/>
        <v>0</v>
      </c>
      <c r="L449" s="13">
        <f>IFERROR(VLOOKUP(E449,PRODUCTOS!$A$4:$F$28,6,FALSE()),0)</f>
        <v>0</v>
      </c>
      <c r="M449" s="13">
        <f t="shared" si="9"/>
        <v>0</v>
      </c>
      <c r="N449" s="14">
        <f>IFERROR(M449*CONFIG!$B$4,0)</f>
        <v>0</v>
      </c>
      <c r="O449" s="15">
        <f t="shared" si="10"/>
        <v>0</v>
      </c>
      <c r="P449" s="25"/>
      <c r="Q449" s="17"/>
    </row>
    <row r="450" ht="15.0" customHeight="1">
      <c r="A450" s="26"/>
      <c r="B450" s="25"/>
      <c r="C450" s="25"/>
      <c r="D450" s="17"/>
      <c r="E450" s="17"/>
      <c r="F450" s="17"/>
      <c r="G450" s="27"/>
      <c r="H450" s="27"/>
      <c r="I450" s="27"/>
      <c r="J450" s="27"/>
      <c r="K450" s="28">
        <f t="shared" si="12"/>
        <v>0</v>
      </c>
      <c r="L450" s="13">
        <f>IFERROR(VLOOKUP(E450,PRODUCTOS!$A$4:$F$28,6,FALSE()),0)</f>
        <v>0</v>
      </c>
      <c r="M450" s="13">
        <f t="shared" si="9"/>
        <v>0</v>
      </c>
      <c r="N450" s="14">
        <f>IFERROR(M450*CONFIG!$B$4,0)</f>
        <v>0</v>
      </c>
      <c r="O450" s="15">
        <f t="shared" si="10"/>
        <v>0</v>
      </c>
      <c r="P450" s="25"/>
      <c r="Q450" s="17"/>
    </row>
    <row r="451" ht="15.0" customHeight="1">
      <c r="A451" s="26"/>
      <c r="B451" s="25"/>
      <c r="C451" s="25"/>
      <c r="D451" s="17"/>
      <c r="E451" s="17"/>
      <c r="F451" s="17"/>
      <c r="G451" s="27"/>
      <c r="H451" s="27"/>
      <c r="I451" s="27"/>
      <c r="J451" s="27"/>
      <c r="K451" s="28">
        <f t="shared" si="12"/>
        <v>0</v>
      </c>
      <c r="L451" s="13">
        <f>IFERROR(VLOOKUP(E451,PRODUCTOS!$A$4:$F$28,6,FALSE()),0)</f>
        <v>0</v>
      </c>
      <c r="M451" s="13">
        <f t="shared" si="9"/>
        <v>0</v>
      </c>
      <c r="N451" s="14">
        <f>IFERROR(M451*CONFIG!$B$4,0)</f>
        <v>0</v>
      </c>
      <c r="O451" s="15">
        <f t="shared" si="10"/>
        <v>0</v>
      </c>
      <c r="P451" s="25"/>
      <c r="Q451" s="17"/>
    </row>
    <row r="452" ht="15.0" customHeight="1">
      <c r="A452" s="26"/>
      <c r="B452" s="25"/>
      <c r="C452" s="25"/>
      <c r="D452" s="17"/>
      <c r="E452" s="17"/>
      <c r="F452" s="17"/>
      <c r="G452" s="27"/>
      <c r="H452" s="27"/>
      <c r="I452" s="27"/>
      <c r="J452" s="27"/>
      <c r="K452" s="28">
        <f t="shared" si="12"/>
        <v>0</v>
      </c>
      <c r="L452" s="13">
        <f>IFERROR(VLOOKUP(E452,PRODUCTOS!$A$4:$F$28,6,FALSE()),0)</f>
        <v>0</v>
      </c>
      <c r="M452" s="13">
        <f t="shared" si="9"/>
        <v>0</v>
      </c>
      <c r="N452" s="14">
        <f>IFERROR(M452*CONFIG!$B$4,0)</f>
        <v>0</v>
      </c>
      <c r="O452" s="15">
        <f t="shared" si="10"/>
        <v>0</v>
      </c>
      <c r="P452" s="25"/>
      <c r="Q452" s="17"/>
    </row>
    <row r="453" ht="15.0" customHeight="1">
      <c r="A453" s="26"/>
      <c r="B453" s="25"/>
      <c r="C453" s="25"/>
      <c r="D453" s="17"/>
      <c r="E453" s="17"/>
      <c r="F453" s="17"/>
      <c r="G453" s="27"/>
      <c r="H453" s="27"/>
      <c r="I453" s="27"/>
      <c r="J453" s="27"/>
      <c r="K453" s="28">
        <f t="shared" si="12"/>
        <v>0</v>
      </c>
      <c r="L453" s="13">
        <f>IFERROR(VLOOKUP(E453,PRODUCTOS!$A$4:$F$28,6,FALSE()),0)</f>
        <v>0</v>
      </c>
      <c r="M453" s="13">
        <f t="shared" si="9"/>
        <v>0</v>
      </c>
      <c r="N453" s="14">
        <f>IFERROR(M453*CONFIG!$B$4,0)</f>
        <v>0</v>
      </c>
      <c r="O453" s="15">
        <f t="shared" si="10"/>
        <v>0</v>
      </c>
      <c r="P453" s="25"/>
      <c r="Q453" s="17"/>
    </row>
    <row r="454" ht="15.0" customHeight="1">
      <c r="A454" s="26"/>
      <c r="B454" s="25"/>
      <c r="C454" s="25"/>
      <c r="D454" s="17"/>
      <c r="E454" s="17"/>
      <c r="F454" s="17"/>
      <c r="G454" s="27"/>
      <c r="H454" s="27"/>
      <c r="I454" s="27"/>
      <c r="J454" s="27"/>
      <c r="K454" s="28">
        <f t="shared" si="12"/>
        <v>0</v>
      </c>
      <c r="L454" s="13">
        <f>IFERROR(VLOOKUP(E454,PRODUCTOS!$A$4:$F$28,6,FALSE()),0)</f>
        <v>0</v>
      </c>
      <c r="M454" s="13">
        <f t="shared" si="9"/>
        <v>0</v>
      </c>
      <c r="N454" s="14">
        <f>IFERROR(M454*CONFIG!$B$4,0)</f>
        <v>0</v>
      </c>
      <c r="O454" s="15">
        <f t="shared" si="10"/>
        <v>0</v>
      </c>
      <c r="P454" s="25"/>
      <c r="Q454" s="17"/>
    </row>
    <row r="455" ht="15.0" customHeight="1">
      <c r="A455" s="26"/>
      <c r="B455" s="25"/>
      <c r="C455" s="25"/>
      <c r="D455" s="17"/>
      <c r="E455" s="17"/>
      <c r="F455" s="17"/>
      <c r="G455" s="27"/>
      <c r="H455" s="27"/>
      <c r="I455" s="27"/>
      <c r="J455" s="27"/>
      <c r="K455" s="28">
        <f t="shared" si="12"/>
        <v>0</v>
      </c>
      <c r="L455" s="13">
        <f>IFERROR(VLOOKUP(E455,PRODUCTOS!$A$4:$F$28,6,FALSE()),0)</f>
        <v>0</v>
      </c>
      <c r="M455" s="13">
        <f t="shared" si="9"/>
        <v>0</v>
      </c>
      <c r="N455" s="14">
        <f>IFERROR(M455*CONFIG!$B$4,0)</f>
        <v>0</v>
      </c>
      <c r="O455" s="15">
        <f t="shared" si="10"/>
        <v>0</v>
      </c>
      <c r="P455" s="25"/>
      <c r="Q455" s="17"/>
    </row>
    <row r="456" ht="15.0" customHeight="1">
      <c r="A456" s="26"/>
      <c r="B456" s="25"/>
      <c r="C456" s="25"/>
      <c r="D456" s="17"/>
      <c r="E456" s="17"/>
      <c r="F456" s="17"/>
      <c r="G456" s="27"/>
      <c r="H456" s="27"/>
      <c r="I456" s="27"/>
      <c r="J456" s="27"/>
      <c r="K456" s="28">
        <f t="shared" si="12"/>
        <v>0</v>
      </c>
      <c r="L456" s="13">
        <f>IFERROR(VLOOKUP(E456,PRODUCTOS!$A$4:$F$28,6,FALSE()),0)</f>
        <v>0</v>
      </c>
      <c r="M456" s="13">
        <f t="shared" si="9"/>
        <v>0</v>
      </c>
      <c r="N456" s="14">
        <f>IFERROR(M456*CONFIG!$B$4,0)</f>
        <v>0</v>
      </c>
      <c r="O456" s="15">
        <f t="shared" si="10"/>
        <v>0</v>
      </c>
      <c r="P456" s="25"/>
      <c r="Q456" s="17"/>
    </row>
    <row r="457" ht="15.0" customHeight="1">
      <c r="A457" s="26"/>
      <c r="B457" s="25"/>
      <c r="C457" s="25"/>
      <c r="D457" s="17"/>
      <c r="E457" s="17"/>
      <c r="F457" s="17"/>
      <c r="G457" s="27"/>
      <c r="H457" s="27"/>
      <c r="I457" s="27"/>
      <c r="J457" s="27"/>
      <c r="K457" s="28">
        <f t="shared" si="12"/>
        <v>0</v>
      </c>
      <c r="L457" s="13">
        <f>IFERROR(VLOOKUP(E457,PRODUCTOS!$A$4:$F$28,6,FALSE()),0)</f>
        <v>0</v>
      </c>
      <c r="M457" s="13">
        <f t="shared" si="9"/>
        <v>0</v>
      </c>
      <c r="N457" s="14">
        <f>IFERROR(M457*CONFIG!$B$4,0)</f>
        <v>0</v>
      </c>
      <c r="O457" s="15">
        <f t="shared" si="10"/>
        <v>0</v>
      </c>
      <c r="P457" s="25"/>
      <c r="Q457" s="17"/>
    </row>
    <row r="458" ht="15.0" customHeight="1">
      <c r="A458" s="26"/>
      <c r="B458" s="25"/>
      <c r="C458" s="25"/>
      <c r="D458" s="17"/>
      <c r="E458" s="17"/>
      <c r="F458" s="17"/>
      <c r="G458" s="27"/>
      <c r="H458" s="27"/>
      <c r="I458" s="27"/>
      <c r="J458" s="27"/>
      <c r="K458" s="28">
        <f t="shared" si="12"/>
        <v>0</v>
      </c>
      <c r="L458" s="13">
        <f>IFERROR(VLOOKUP(E458,PRODUCTOS!$A$4:$F$28,6,FALSE()),0)</f>
        <v>0</v>
      </c>
      <c r="M458" s="13">
        <f t="shared" si="9"/>
        <v>0</v>
      </c>
      <c r="N458" s="14">
        <f>IFERROR(M458*CONFIG!$B$4,0)</f>
        <v>0</v>
      </c>
      <c r="O458" s="15">
        <f t="shared" si="10"/>
        <v>0</v>
      </c>
      <c r="P458" s="25"/>
      <c r="Q458" s="17"/>
    </row>
    <row r="459" ht="15.0" customHeight="1">
      <c r="A459" s="26"/>
      <c r="B459" s="25"/>
      <c r="C459" s="25"/>
      <c r="D459" s="17"/>
      <c r="E459" s="17"/>
      <c r="F459" s="17"/>
      <c r="G459" s="27"/>
      <c r="H459" s="27"/>
      <c r="I459" s="27"/>
      <c r="J459" s="27"/>
      <c r="K459" s="28">
        <f t="shared" si="12"/>
        <v>0</v>
      </c>
      <c r="L459" s="13">
        <f>IFERROR(VLOOKUP(E459,PRODUCTOS!$A$4:$F$28,6,FALSE()),0)</f>
        <v>0</v>
      </c>
      <c r="M459" s="13">
        <f t="shared" si="9"/>
        <v>0</v>
      </c>
      <c r="N459" s="14">
        <f>IFERROR(M459*CONFIG!$B$4,0)</f>
        <v>0</v>
      </c>
      <c r="O459" s="15">
        <f t="shared" si="10"/>
        <v>0</v>
      </c>
      <c r="P459" s="25"/>
      <c r="Q459" s="17"/>
    </row>
    <row r="460" ht="15.0" customHeight="1">
      <c r="A460" s="26"/>
      <c r="B460" s="25"/>
      <c r="C460" s="25"/>
      <c r="D460" s="17"/>
      <c r="E460" s="17"/>
      <c r="F460" s="17"/>
      <c r="G460" s="27"/>
      <c r="H460" s="27"/>
      <c r="I460" s="27"/>
      <c r="J460" s="27"/>
      <c r="K460" s="28">
        <f t="shared" si="12"/>
        <v>0</v>
      </c>
      <c r="L460" s="13">
        <f>IFERROR(VLOOKUP(E460,PRODUCTOS!$A$4:$F$28,6,FALSE()),0)</f>
        <v>0</v>
      </c>
      <c r="M460" s="13">
        <f t="shared" si="9"/>
        <v>0</v>
      </c>
      <c r="N460" s="14">
        <f>IFERROR(M460*CONFIG!$B$4,0)</f>
        <v>0</v>
      </c>
      <c r="O460" s="15">
        <f t="shared" si="10"/>
        <v>0</v>
      </c>
      <c r="P460" s="25"/>
      <c r="Q460" s="17"/>
    </row>
    <row r="461" ht="15.0" customHeight="1">
      <c r="A461" s="26"/>
      <c r="B461" s="25"/>
      <c r="C461" s="25"/>
      <c r="D461" s="17"/>
      <c r="E461" s="17"/>
      <c r="F461" s="17"/>
      <c r="G461" s="27"/>
      <c r="H461" s="27"/>
      <c r="I461" s="27"/>
      <c r="J461" s="27"/>
      <c r="K461" s="28">
        <f t="shared" si="12"/>
        <v>0</v>
      </c>
      <c r="L461" s="13">
        <f>IFERROR(VLOOKUP(E461,PRODUCTOS!$A$4:$F$28,6,FALSE()),0)</f>
        <v>0</v>
      </c>
      <c r="M461" s="13">
        <f t="shared" si="9"/>
        <v>0</v>
      </c>
      <c r="N461" s="14">
        <f>IFERROR(M461*CONFIG!$B$4,0)</f>
        <v>0</v>
      </c>
      <c r="O461" s="15">
        <f t="shared" si="10"/>
        <v>0</v>
      </c>
      <c r="P461" s="25"/>
      <c r="Q461" s="17"/>
    </row>
    <row r="462" ht="15.0" customHeight="1">
      <c r="A462" s="26"/>
      <c r="B462" s="25"/>
      <c r="C462" s="25"/>
      <c r="D462" s="17"/>
      <c r="E462" s="17"/>
      <c r="F462" s="17"/>
      <c r="G462" s="27"/>
      <c r="H462" s="27"/>
      <c r="I462" s="27"/>
      <c r="J462" s="27"/>
      <c r="K462" s="28">
        <f t="shared" si="12"/>
        <v>0</v>
      </c>
      <c r="L462" s="13">
        <f>IFERROR(VLOOKUP(E462,PRODUCTOS!$A$4:$F$28,6,FALSE()),0)</f>
        <v>0</v>
      </c>
      <c r="M462" s="13">
        <f t="shared" si="9"/>
        <v>0</v>
      </c>
      <c r="N462" s="14">
        <f>IFERROR(M462*CONFIG!$B$4,0)</f>
        <v>0</v>
      </c>
      <c r="O462" s="15">
        <f t="shared" si="10"/>
        <v>0</v>
      </c>
      <c r="P462" s="25"/>
      <c r="Q462" s="17"/>
    </row>
    <row r="463" ht="15.0" customHeight="1">
      <c r="A463" s="26"/>
      <c r="B463" s="25"/>
      <c r="C463" s="25"/>
      <c r="D463" s="17"/>
      <c r="E463" s="17"/>
      <c r="F463" s="17"/>
      <c r="G463" s="27"/>
      <c r="H463" s="27"/>
      <c r="I463" s="27"/>
      <c r="J463" s="27"/>
      <c r="K463" s="28">
        <f t="shared" si="12"/>
        <v>0</v>
      </c>
      <c r="L463" s="13">
        <f>IFERROR(VLOOKUP(E463,PRODUCTOS!$A$4:$F$28,6,FALSE()),0)</f>
        <v>0</v>
      </c>
      <c r="M463" s="13">
        <f t="shared" si="9"/>
        <v>0</v>
      </c>
      <c r="N463" s="14">
        <f>IFERROR(M463*CONFIG!$B$4,0)</f>
        <v>0</v>
      </c>
      <c r="O463" s="15">
        <f t="shared" si="10"/>
        <v>0</v>
      </c>
      <c r="P463" s="25"/>
      <c r="Q463" s="17"/>
    </row>
    <row r="464" ht="15.0" customHeight="1">
      <c r="A464" s="26"/>
      <c r="B464" s="25"/>
      <c r="C464" s="25"/>
      <c r="D464" s="17"/>
      <c r="E464" s="17"/>
      <c r="F464" s="17"/>
      <c r="G464" s="27"/>
      <c r="H464" s="27"/>
      <c r="I464" s="27"/>
      <c r="J464" s="27"/>
      <c r="K464" s="28">
        <f t="shared" si="12"/>
        <v>0</v>
      </c>
      <c r="L464" s="13">
        <f>IFERROR(VLOOKUP(E464,PRODUCTOS!$A$4:$F$28,6,FALSE()),0)</f>
        <v>0</v>
      </c>
      <c r="M464" s="13">
        <f t="shared" si="9"/>
        <v>0</v>
      </c>
      <c r="N464" s="14">
        <f>IFERROR(M464*CONFIG!$B$4,0)</f>
        <v>0</v>
      </c>
      <c r="O464" s="15">
        <f t="shared" si="10"/>
        <v>0</v>
      </c>
      <c r="P464" s="25"/>
      <c r="Q464" s="17"/>
    </row>
    <row r="465" ht="15.0" customHeight="1">
      <c r="A465" s="26"/>
      <c r="B465" s="25"/>
      <c r="C465" s="25"/>
      <c r="D465" s="17"/>
      <c r="E465" s="17"/>
      <c r="F465" s="17"/>
      <c r="G465" s="27"/>
      <c r="H465" s="27"/>
      <c r="I465" s="27"/>
      <c r="J465" s="27"/>
      <c r="K465" s="28">
        <f t="shared" si="12"/>
        <v>0</v>
      </c>
      <c r="L465" s="13">
        <f>IFERROR(VLOOKUP(E465,PRODUCTOS!$A$4:$F$28,6,FALSE()),0)</f>
        <v>0</v>
      </c>
      <c r="M465" s="13">
        <f t="shared" si="9"/>
        <v>0</v>
      </c>
      <c r="N465" s="14">
        <f>IFERROR(M465*CONFIG!$B$4,0)</f>
        <v>0</v>
      </c>
      <c r="O465" s="15">
        <f t="shared" si="10"/>
        <v>0</v>
      </c>
      <c r="P465" s="25"/>
      <c r="Q465" s="17"/>
    </row>
    <row r="466" ht="15.0" customHeight="1">
      <c r="A466" s="26"/>
      <c r="B466" s="25"/>
      <c r="C466" s="25"/>
      <c r="D466" s="17"/>
      <c r="E466" s="17"/>
      <c r="F466" s="17"/>
      <c r="G466" s="27"/>
      <c r="H466" s="27"/>
      <c r="I466" s="27"/>
      <c r="J466" s="27"/>
      <c r="K466" s="28">
        <f t="shared" si="12"/>
        <v>0</v>
      </c>
      <c r="L466" s="13">
        <f>IFERROR(VLOOKUP(E466,PRODUCTOS!$A$4:$F$28,6,FALSE()),0)</f>
        <v>0</v>
      </c>
      <c r="M466" s="13">
        <f t="shared" si="9"/>
        <v>0</v>
      </c>
      <c r="N466" s="14">
        <f>IFERROR(M466*CONFIG!$B$4,0)</f>
        <v>0</v>
      </c>
      <c r="O466" s="15">
        <f t="shared" si="10"/>
        <v>0</v>
      </c>
      <c r="P466" s="25"/>
      <c r="Q466" s="17"/>
    </row>
    <row r="467" ht="15.0" customHeight="1">
      <c r="A467" s="26"/>
      <c r="B467" s="25"/>
      <c r="C467" s="25"/>
      <c r="D467" s="17"/>
      <c r="E467" s="17"/>
      <c r="F467" s="17"/>
      <c r="G467" s="27"/>
      <c r="H467" s="27"/>
      <c r="I467" s="27"/>
      <c r="J467" s="27"/>
      <c r="K467" s="28">
        <f t="shared" si="12"/>
        <v>0</v>
      </c>
      <c r="L467" s="13">
        <f>IFERROR(VLOOKUP(E467,PRODUCTOS!$A$4:$F$28,6,FALSE()),0)</f>
        <v>0</v>
      </c>
      <c r="M467" s="13">
        <f t="shared" si="9"/>
        <v>0</v>
      </c>
      <c r="N467" s="14">
        <f>IFERROR(M467*CONFIG!$B$4,0)</f>
        <v>0</v>
      </c>
      <c r="O467" s="15">
        <f t="shared" si="10"/>
        <v>0</v>
      </c>
      <c r="P467" s="25"/>
      <c r="Q467" s="17"/>
    </row>
    <row r="468" ht="15.0" customHeight="1">
      <c r="A468" s="26"/>
      <c r="B468" s="25"/>
      <c r="C468" s="25"/>
      <c r="D468" s="17"/>
      <c r="E468" s="17"/>
      <c r="F468" s="17"/>
      <c r="G468" s="27"/>
      <c r="H468" s="27"/>
      <c r="I468" s="27"/>
      <c r="J468" s="27"/>
      <c r="K468" s="28">
        <f t="shared" si="12"/>
        <v>0</v>
      </c>
      <c r="L468" s="13">
        <f>IFERROR(VLOOKUP(E468,PRODUCTOS!$A$4:$F$28,6,FALSE()),0)</f>
        <v>0</v>
      </c>
      <c r="M468" s="13">
        <f t="shared" si="9"/>
        <v>0</v>
      </c>
      <c r="N468" s="14">
        <f>IFERROR(M468*CONFIG!$B$4,0)</f>
        <v>0</v>
      </c>
      <c r="O468" s="15">
        <f t="shared" si="10"/>
        <v>0</v>
      </c>
      <c r="P468" s="25"/>
      <c r="Q468" s="17"/>
    </row>
    <row r="469" ht="15.0" customHeight="1">
      <c r="A469" s="26"/>
      <c r="B469" s="25"/>
      <c r="C469" s="25"/>
      <c r="D469" s="17"/>
      <c r="E469" s="17"/>
      <c r="F469" s="17"/>
      <c r="G469" s="27"/>
      <c r="H469" s="27"/>
      <c r="I469" s="27"/>
      <c r="J469" s="27"/>
      <c r="K469" s="28">
        <f t="shared" si="12"/>
        <v>0</v>
      </c>
      <c r="L469" s="13">
        <f>IFERROR(VLOOKUP(E469,PRODUCTOS!$A$4:$F$28,6,FALSE()),0)</f>
        <v>0</v>
      </c>
      <c r="M469" s="13">
        <f t="shared" si="9"/>
        <v>0</v>
      </c>
      <c r="N469" s="14">
        <f>IFERROR(M469*CONFIG!$B$4,0)</f>
        <v>0</v>
      </c>
      <c r="O469" s="15">
        <f t="shared" si="10"/>
        <v>0</v>
      </c>
      <c r="P469" s="25"/>
      <c r="Q469" s="17"/>
    </row>
    <row r="470" ht="15.0" customHeight="1">
      <c r="A470" s="26"/>
      <c r="B470" s="25"/>
      <c r="C470" s="25"/>
      <c r="D470" s="17"/>
      <c r="E470" s="17"/>
      <c r="F470" s="17"/>
      <c r="G470" s="27"/>
      <c r="H470" s="27"/>
      <c r="I470" s="27"/>
      <c r="J470" s="27"/>
      <c r="K470" s="28">
        <f t="shared" si="12"/>
        <v>0</v>
      </c>
      <c r="L470" s="13">
        <f>IFERROR(VLOOKUP(E470,PRODUCTOS!$A$4:$F$28,6,FALSE()),0)</f>
        <v>0</v>
      </c>
      <c r="M470" s="13">
        <f t="shared" si="9"/>
        <v>0</v>
      </c>
      <c r="N470" s="14">
        <f>IFERROR(M470*CONFIG!$B$4,0)</f>
        <v>0</v>
      </c>
      <c r="O470" s="15">
        <f t="shared" si="10"/>
        <v>0</v>
      </c>
      <c r="P470" s="25"/>
      <c r="Q470" s="17"/>
    </row>
    <row r="471" ht="15.0" customHeight="1">
      <c r="A471" s="26"/>
      <c r="B471" s="25"/>
      <c r="C471" s="25"/>
      <c r="D471" s="17"/>
      <c r="E471" s="17"/>
      <c r="F471" s="17"/>
      <c r="G471" s="27"/>
      <c r="H471" s="27"/>
      <c r="I471" s="27"/>
      <c r="J471" s="27"/>
      <c r="K471" s="28">
        <f t="shared" si="12"/>
        <v>0</v>
      </c>
      <c r="L471" s="13">
        <f>IFERROR(VLOOKUP(E471,PRODUCTOS!$A$4:$F$28,6,FALSE()),0)</f>
        <v>0</v>
      </c>
      <c r="M471" s="13">
        <f t="shared" si="9"/>
        <v>0</v>
      </c>
      <c r="N471" s="14">
        <f>IFERROR(M471*CONFIG!$B$4,0)</f>
        <v>0</v>
      </c>
      <c r="O471" s="15">
        <f t="shared" si="10"/>
        <v>0</v>
      </c>
      <c r="P471" s="25"/>
      <c r="Q471" s="17"/>
    </row>
    <row r="472" ht="15.0" customHeight="1">
      <c r="A472" s="26"/>
      <c r="B472" s="25"/>
      <c r="C472" s="25"/>
      <c r="D472" s="17"/>
      <c r="E472" s="17"/>
      <c r="F472" s="17"/>
      <c r="G472" s="27"/>
      <c r="H472" s="27"/>
      <c r="I472" s="27"/>
      <c r="J472" s="27"/>
      <c r="K472" s="28">
        <f t="shared" si="12"/>
        <v>0</v>
      </c>
      <c r="L472" s="13">
        <f>IFERROR(VLOOKUP(E472,PRODUCTOS!$A$4:$F$28,6,FALSE()),0)</f>
        <v>0</v>
      </c>
      <c r="M472" s="13">
        <f t="shared" si="9"/>
        <v>0</v>
      </c>
      <c r="N472" s="14">
        <f>IFERROR(M472*CONFIG!$B$4,0)</f>
        <v>0</v>
      </c>
      <c r="O472" s="15">
        <f t="shared" si="10"/>
        <v>0</v>
      </c>
      <c r="P472" s="25"/>
      <c r="Q472" s="17"/>
    </row>
    <row r="473" ht="15.0" customHeight="1">
      <c r="A473" s="26"/>
      <c r="B473" s="25"/>
      <c r="C473" s="25"/>
      <c r="D473" s="17"/>
      <c r="E473" s="17"/>
      <c r="F473" s="17"/>
      <c r="G473" s="27"/>
      <c r="H473" s="27"/>
      <c r="I473" s="27"/>
      <c r="J473" s="27"/>
      <c r="K473" s="28">
        <f t="shared" si="12"/>
        <v>0</v>
      </c>
      <c r="L473" s="13">
        <f>IFERROR(VLOOKUP(E473,PRODUCTOS!$A$4:$F$28,6,FALSE()),0)</f>
        <v>0</v>
      </c>
      <c r="M473" s="13">
        <f t="shared" si="9"/>
        <v>0</v>
      </c>
      <c r="N473" s="14">
        <f>IFERROR(M473*CONFIG!$B$4,0)</f>
        <v>0</v>
      </c>
      <c r="O473" s="15">
        <f t="shared" si="10"/>
        <v>0</v>
      </c>
      <c r="P473" s="25"/>
      <c r="Q473" s="17"/>
    </row>
    <row r="474" ht="15.0" customHeight="1">
      <c r="A474" s="26"/>
      <c r="B474" s="25"/>
      <c r="C474" s="25"/>
      <c r="D474" s="17"/>
      <c r="E474" s="17"/>
      <c r="F474" s="17"/>
      <c r="G474" s="27"/>
      <c r="H474" s="27"/>
      <c r="I474" s="27"/>
      <c r="J474" s="27"/>
      <c r="K474" s="28">
        <f t="shared" si="12"/>
        <v>0</v>
      </c>
      <c r="L474" s="13">
        <f>IFERROR(VLOOKUP(E474,PRODUCTOS!$A$4:$F$28,6,FALSE()),0)</f>
        <v>0</v>
      </c>
      <c r="M474" s="13">
        <f t="shared" si="9"/>
        <v>0</v>
      </c>
      <c r="N474" s="14">
        <f>IFERROR(M474*CONFIG!$B$4,0)</f>
        <v>0</v>
      </c>
      <c r="O474" s="15">
        <f t="shared" si="10"/>
        <v>0</v>
      </c>
      <c r="P474" s="25"/>
      <c r="Q474" s="17"/>
    </row>
    <row r="475" ht="15.0" customHeight="1">
      <c r="A475" s="26"/>
      <c r="B475" s="25"/>
      <c r="C475" s="25"/>
      <c r="D475" s="17"/>
      <c r="E475" s="17"/>
      <c r="F475" s="17"/>
      <c r="G475" s="27"/>
      <c r="H475" s="27"/>
      <c r="I475" s="27"/>
      <c r="J475" s="27"/>
      <c r="K475" s="28">
        <f t="shared" si="12"/>
        <v>0</v>
      </c>
      <c r="L475" s="13">
        <f>IFERROR(VLOOKUP(E475,PRODUCTOS!$A$4:$F$28,6,FALSE()),0)</f>
        <v>0</v>
      </c>
      <c r="M475" s="13">
        <f t="shared" si="9"/>
        <v>0</v>
      </c>
      <c r="N475" s="14">
        <f>IFERROR(M475*CONFIG!$B$4,0)</f>
        <v>0</v>
      </c>
      <c r="O475" s="15">
        <f t="shared" si="10"/>
        <v>0</v>
      </c>
      <c r="P475" s="25"/>
      <c r="Q475" s="17"/>
    </row>
    <row r="476" ht="15.0" customHeight="1">
      <c r="A476" s="26"/>
      <c r="B476" s="25"/>
      <c r="C476" s="25"/>
      <c r="D476" s="17"/>
      <c r="E476" s="17"/>
      <c r="F476" s="17"/>
      <c r="G476" s="27"/>
      <c r="H476" s="27"/>
      <c r="I476" s="27"/>
      <c r="J476" s="27"/>
      <c r="K476" s="28">
        <f t="shared" si="12"/>
        <v>0</v>
      </c>
      <c r="L476" s="13">
        <f>IFERROR(VLOOKUP(E476,PRODUCTOS!$A$4:$F$28,6,FALSE()),0)</f>
        <v>0</v>
      </c>
      <c r="M476" s="13">
        <f t="shared" si="9"/>
        <v>0</v>
      </c>
      <c r="N476" s="14">
        <f>IFERROR(M476*CONFIG!$B$4,0)</f>
        <v>0</v>
      </c>
      <c r="O476" s="15">
        <f t="shared" si="10"/>
        <v>0</v>
      </c>
      <c r="P476" s="25"/>
      <c r="Q476" s="17"/>
    </row>
    <row r="477" ht="15.0" customHeight="1">
      <c r="A477" s="26"/>
      <c r="B477" s="25"/>
      <c r="C477" s="25"/>
      <c r="D477" s="17"/>
      <c r="E477" s="17"/>
      <c r="F477" s="17"/>
      <c r="G477" s="27"/>
      <c r="H477" s="27"/>
      <c r="I477" s="27"/>
      <c r="J477" s="27"/>
      <c r="K477" s="28">
        <f t="shared" si="12"/>
        <v>0</v>
      </c>
      <c r="L477" s="13">
        <f>IFERROR(VLOOKUP(E477,PRODUCTOS!$A$4:$F$28,6,FALSE()),0)</f>
        <v>0</v>
      </c>
      <c r="M477" s="13">
        <f t="shared" si="9"/>
        <v>0</v>
      </c>
      <c r="N477" s="14">
        <f>IFERROR(M477*CONFIG!$B$4,0)</f>
        <v>0</v>
      </c>
      <c r="O477" s="15">
        <f t="shared" si="10"/>
        <v>0</v>
      </c>
      <c r="P477" s="25"/>
      <c r="Q477" s="17"/>
    </row>
    <row r="478" ht="15.0" customHeight="1">
      <c r="A478" s="26"/>
      <c r="B478" s="25"/>
      <c r="C478" s="25"/>
      <c r="D478" s="17"/>
      <c r="E478" s="17"/>
      <c r="F478" s="17"/>
      <c r="G478" s="27"/>
      <c r="H478" s="27"/>
      <c r="I478" s="27"/>
      <c r="J478" s="27"/>
      <c r="K478" s="28">
        <f t="shared" si="12"/>
        <v>0</v>
      </c>
      <c r="L478" s="13">
        <f>IFERROR(VLOOKUP(E478,PRODUCTOS!$A$4:$F$28,6,FALSE()),0)</f>
        <v>0</v>
      </c>
      <c r="M478" s="13">
        <f t="shared" si="9"/>
        <v>0</v>
      </c>
      <c r="N478" s="14">
        <f>IFERROR(M478*CONFIG!$B$4,0)</f>
        <v>0</v>
      </c>
      <c r="O478" s="15">
        <f t="shared" si="10"/>
        <v>0</v>
      </c>
      <c r="P478" s="25"/>
      <c r="Q478" s="17"/>
    </row>
    <row r="479" ht="15.0" customHeight="1">
      <c r="A479" s="26"/>
      <c r="B479" s="25"/>
      <c r="C479" s="25"/>
      <c r="D479" s="17"/>
      <c r="E479" s="17"/>
      <c r="F479" s="17"/>
      <c r="G479" s="27"/>
      <c r="H479" s="27"/>
      <c r="I479" s="27"/>
      <c r="J479" s="27"/>
      <c r="K479" s="28">
        <f t="shared" si="12"/>
        <v>0</v>
      </c>
      <c r="L479" s="13">
        <f>IFERROR(VLOOKUP(E479,PRODUCTOS!$A$4:$F$28,6,FALSE()),0)</f>
        <v>0</v>
      </c>
      <c r="M479" s="13">
        <f t="shared" si="9"/>
        <v>0</v>
      </c>
      <c r="N479" s="14">
        <f>IFERROR(M479*CONFIG!$B$4,0)</f>
        <v>0</v>
      </c>
      <c r="O479" s="15">
        <f t="shared" si="10"/>
        <v>0</v>
      </c>
      <c r="P479" s="25"/>
      <c r="Q479" s="17"/>
    </row>
    <row r="480" ht="15.0" customHeight="1">
      <c r="A480" s="26"/>
      <c r="B480" s="25"/>
      <c r="C480" s="25"/>
      <c r="D480" s="17"/>
      <c r="E480" s="17"/>
      <c r="F480" s="17"/>
      <c r="G480" s="27"/>
      <c r="H480" s="27"/>
      <c r="I480" s="27"/>
      <c r="J480" s="27"/>
      <c r="K480" s="28">
        <f t="shared" si="12"/>
        <v>0</v>
      </c>
      <c r="L480" s="13">
        <f>IFERROR(VLOOKUP(E480,PRODUCTOS!$A$4:$F$28,6,FALSE()),0)</f>
        <v>0</v>
      </c>
      <c r="M480" s="13">
        <f t="shared" si="9"/>
        <v>0</v>
      </c>
      <c r="N480" s="14">
        <f>IFERROR(M480*CONFIG!$B$4,0)</f>
        <v>0</v>
      </c>
      <c r="O480" s="15">
        <f t="shared" si="10"/>
        <v>0</v>
      </c>
      <c r="P480" s="25"/>
      <c r="Q480" s="17"/>
    </row>
    <row r="481" ht="15.0" customHeight="1">
      <c r="A481" s="26"/>
      <c r="B481" s="25"/>
      <c r="C481" s="25"/>
      <c r="D481" s="17"/>
      <c r="E481" s="17"/>
      <c r="F481" s="17"/>
      <c r="G481" s="27"/>
      <c r="H481" s="27"/>
      <c r="I481" s="27"/>
      <c r="J481" s="27"/>
      <c r="K481" s="28">
        <f t="shared" si="12"/>
        <v>0</v>
      </c>
      <c r="L481" s="13">
        <f>IFERROR(VLOOKUP(E481,PRODUCTOS!$A$4:$F$28,6,FALSE()),0)</f>
        <v>0</v>
      </c>
      <c r="M481" s="13">
        <f t="shared" si="9"/>
        <v>0</v>
      </c>
      <c r="N481" s="14">
        <f>IFERROR(M481*CONFIG!$B$4,0)</f>
        <v>0</v>
      </c>
      <c r="O481" s="15">
        <f t="shared" si="10"/>
        <v>0</v>
      </c>
      <c r="P481" s="25"/>
      <c r="Q481" s="17"/>
    </row>
    <row r="482" ht="15.0" customHeight="1">
      <c r="A482" s="26"/>
      <c r="B482" s="25"/>
      <c r="C482" s="25"/>
      <c r="D482" s="17"/>
      <c r="E482" s="17"/>
      <c r="F482" s="17"/>
      <c r="G482" s="27"/>
      <c r="H482" s="27"/>
      <c r="I482" s="27"/>
      <c r="J482" s="27"/>
      <c r="K482" s="28">
        <f t="shared" si="12"/>
        <v>0</v>
      </c>
      <c r="L482" s="13">
        <f>IFERROR(VLOOKUP(E482,PRODUCTOS!$A$4:$F$28,6,FALSE()),0)</f>
        <v>0</v>
      </c>
      <c r="M482" s="13">
        <f t="shared" si="9"/>
        <v>0</v>
      </c>
      <c r="N482" s="14">
        <f>IFERROR(M482*CONFIG!$B$4,0)</f>
        <v>0</v>
      </c>
      <c r="O482" s="15">
        <f t="shared" si="10"/>
        <v>0</v>
      </c>
      <c r="P482" s="25"/>
      <c r="Q482" s="17"/>
    </row>
    <row r="483" ht="15.0" customHeight="1">
      <c r="A483" s="26"/>
      <c r="B483" s="25"/>
      <c r="C483" s="25"/>
      <c r="D483" s="17"/>
      <c r="E483" s="17"/>
      <c r="F483" s="17"/>
      <c r="G483" s="27"/>
      <c r="H483" s="27"/>
      <c r="I483" s="27"/>
      <c r="J483" s="27"/>
      <c r="K483" s="28">
        <f t="shared" si="12"/>
        <v>0</v>
      </c>
      <c r="L483" s="13">
        <f>IFERROR(VLOOKUP(E483,PRODUCTOS!$A$4:$F$28,6,FALSE()),0)</f>
        <v>0</v>
      </c>
      <c r="M483" s="13">
        <f t="shared" si="9"/>
        <v>0</v>
      </c>
      <c r="N483" s="14">
        <f>IFERROR(M483*CONFIG!$B$4,0)</f>
        <v>0</v>
      </c>
      <c r="O483" s="15">
        <f t="shared" si="10"/>
        <v>0</v>
      </c>
      <c r="P483" s="25"/>
      <c r="Q483" s="17"/>
    </row>
    <row r="484" ht="15.0" customHeight="1">
      <c r="A484" s="26"/>
      <c r="B484" s="25"/>
      <c r="C484" s="25"/>
      <c r="D484" s="17"/>
      <c r="E484" s="17"/>
      <c r="F484" s="17"/>
      <c r="G484" s="27"/>
      <c r="H484" s="27"/>
      <c r="I484" s="27"/>
      <c r="J484" s="27"/>
      <c r="K484" s="28">
        <f t="shared" si="12"/>
        <v>0</v>
      </c>
      <c r="L484" s="13">
        <f>IFERROR(VLOOKUP(E484,PRODUCTOS!$A$4:$F$28,6,FALSE()),0)</f>
        <v>0</v>
      </c>
      <c r="M484" s="13">
        <f t="shared" si="9"/>
        <v>0</v>
      </c>
      <c r="N484" s="14">
        <f>IFERROR(M484*CONFIG!$B$4,0)</f>
        <v>0</v>
      </c>
      <c r="O484" s="15">
        <f t="shared" si="10"/>
        <v>0</v>
      </c>
      <c r="P484" s="25"/>
      <c r="Q484" s="17"/>
    </row>
    <row r="485" ht="15.0" customHeight="1">
      <c r="A485" s="26"/>
      <c r="B485" s="25"/>
      <c r="C485" s="25"/>
      <c r="D485" s="17"/>
      <c r="E485" s="17"/>
      <c r="F485" s="17"/>
      <c r="G485" s="27"/>
      <c r="H485" s="27"/>
      <c r="I485" s="27"/>
      <c r="J485" s="27"/>
      <c r="K485" s="28">
        <f t="shared" si="12"/>
        <v>0</v>
      </c>
      <c r="L485" s="13">
        <f>IFERROR(VLOOKUP(E485,PRODUCTOS!$A$4:$F$28,6,FALSE()),0)</f>
        <v>0</v>
      </c>
      <c r="M485" s="13">
        <f t="shared" si="9"/>
        <v>0</v>
      </c>
      <c r="N485" s="14">
        <f>IFERROR(M485*CONFIG!$B$4,0)</f>
        <v>0</v>
      </c>
      <c r="O485" s="15">
        <f t="shared" si="10"/>
        <v>0</v>
      </c>
      <c r="P485" s="25"/>
      <c r="Q485" s="17"/>
    </row>
    <row r="486" ht="15.0" customHeight="1">
      <c r="A486" s="26"/>
      <c r="B486" s="25"/>
      <c r="C486" s="25"/>
      <c r="D486" s="17"/>
      <c r="E486" s="17"/>
      <c r="F486" s="17"/>
      <c r="G486" s="27"/>
      <c r="H486" s="27"/>
      <c r="I486" s="27"/>
      <c r="J486" s="27"/>
      <c r="K486" s="28">
        <f t="shared" si="12"/>
        <v>0</v>
      </c>
      <c r="L486" s="13">
        <f>IFERROR(VLOOKUP(E486,PRODUCTOS!$A$4:$F$28,6,FALSE()),0)</f>
        <v>0</v>
      </c>
      <c r="M486" s="13">
        <f t="shared" si="9"/>
        <v>0</v>
      </c>
      <c r="N486" s="14">
        <f>IFERROR(M486*CONFIG!$B$4,0)</f>
        <v>0</v>
      </c>
      <c r="O486" s="15">
        <f t="shared" si="10"/>
        <v>0</v>
      </c>
      <c r="P486" s="25"/>
      <c r="Q486" s="17"/>
    </row>
    <row r="487" ht="15.0" customHeight="1">
      <c r="A487" s="26"/>
      <c r="B487" s="25"/>
      <c r="C487" s="25"/>
      <c r="D487" s="17"/>
      <c r="E487" s="17"/>
      <c r="F487" s="17"/>
      <c r="G487" s="27"/>
      <c r="H487" s="27"/>
      <c r="I487" s="27"/>
      <c r="J487" s="27"/>
      <c r="K487" s="28">
        <f t="shared" si="12"/>
        <v>0</v>
      </c>
      <c r="L487" s="13">
        <f>IFERROR(VLOOKUP(E487,PRODUCTOS!$A$4:$F$28,6,FALSE()),0)</f>
        <v>0</v>
      </c>
      <c r="M487" s="13">
        <f t="shared" si="9"/>
        <v>0</v>
      </c>
      <c r="N487" s="14">
        <f>IFERROR(M487*CONFIG!$B$4,0)</f>
        <v>0</v>
      </c>
      <c r="O487" s="15">
        <f t="shared" si="10"/>
        <v>0</v>
      </c>
      <c r="P487" s="25"/>
      <c r="Q487" s="17"/>
    </row>
    <row r="488" ht="15.0" customHeight="1">
      <c r="A488" s="26"/>
      <c r="B488" s="25"/>
      <c r="C488" s="25"/>
      <c r="D488" s="17"/>
      <c r="E488" s="17"/>
      <c r="F488" s="17"/>
      <c r="G488" s="27"/>
      <c r="H488" s="27"/>
      <c r="I488" s="27"/>
      <c r="J488" s="27"/>
      <c r="K488" s="28">
        <f t="shared" si="12"/>
        <v>0</v>
      </c>
      <c r="L488" s="13">
        <f>IFERROR(VLOOKUP(E488,PRODUCTOS!$A$4:$F$28,6,FALSE()),0)</f>
        <v>0</v>
      </c>
      <c r="M488" s="13">
        <f t="shared" si="9"/>
        <v>0</v>
      </c>
      <c r="N488" s="14">
        <f>IFERROR(M488*CONFIG!$B$4,0)</f>
        <v>0</v>
      </c>
      <c r="O488" s="15">
        <f t="shared" si="10"/>
        <v>0</v>
      </c>
      <c r="P488" s="25"/>
      <c r="Q488" s="17"/>
    </row>
    <row r="489" ht="15.0" customHeight="1">
      <c r="A489" s="26"/>
      <c r="B489" s="25"/>
      <c r="C489" s="25"/>
      <c r="D489" s="17"/>
      <c r="E489" s="17"/>
      <c r="F489" s="17"/>
      <c r="G489" s="27"/>
      <c r="H489" s="27"/>
      <c r="I489" s="27"/>
      <c r="J489" s="27"/>
      <c r="K489" s="28">
        <f t="shared" si="12"/>
        <v>0</v>
      </c>
      <c r="L489" s="13">
        <f>IFERROR(VLOOKUP(E489,PRODUCTOS!$A$4:$F$28,6,FALSE()),0)</f>
        <v>0</v>
      </c>
      <c r="M489" s="13">
        <f t="shared" si="9"/>
        <v>0</v>
      </c>
      <c r="N489" s="14">
        <f>IFERROR(M489*CONFIG!$B$4,0)</f>
        <v>0</v>
      </c>
      <c r="O489" s="15">
        <f t="shared" si="10"/>
        <v>0</v>
      </c>
      <c r="P489" s="25"/>
      <c r="Q489" s="17"/>
    </row>
    <row r="490" ht="15.0" customHeight="1">
      <c r="A490" s="26"/>
      <c r="B490" s="25"/>
      <c r="C490" s="25"/>
      <c r="D490" s="17"/>
      <c r="E490" s="17"/>
      <c r="F490" s="17"/>
      <c r="G490" s="27"/>
      <c r="H490" s="27"/>
      <c r="I490" s="27"/>
      <c r="J490" s="27"/>
      <c r="K490" s="28">
        <f t="shared" si="12"/>
        <v>0</v>
      </c>
      <c r="L490" s="13">
        <f>IFERROR(VLOOKUP(E490,PRODUCTOS!$A$4:$F$28,6,FALSE()),0)</f>
        <v>0</v>
      </c>
      <c r="M490" s="13">
        <f t="shared" si="9"/>
        <v>0</v>
      </c>
      <c r="N490" s="14">
        <f>IFERROR(M490*CONFIG!$B$4,0)</f>
        <v>0</v>
      </c>
      <c r="O490" s="15">
        <f t="shared" si="10"/>
        <v>0</v>
      </c>
      <c r="P490" s="25"/>
      <c r="Q490" s="17"/>
    </row>
    <row r="491" ht="15.0" customHeight="1">
      <c r="A491" s="26"/>
      <c r="B491" s="25"/>
      <c r="C491" s="25"/>
      <c r="D491" s="17"/>
      <c r="E491" s="17"/>
      <c r="F491" s="17"/>
      <c r="G491" s="27"/>
      <c r="H491" s="27"/>
      <c r="I491" s="27"/>
      <c r="J491" s="27"/>
      <c r="K491" s="28">
        <f t="shared" si="12"/>
        <v>0</v>
      </c>
      <c r="L491" s="13">
        <f>IFERROR(VLOOKUP(E491,PRODUCTOS!$A$4:$F$28,6,FALSE()),0)</f>
        <v>0</v>
      </c>
      <c r="M491" s="13">
        <f t="shared" si="9"/>
        <v>0</v>
      </c>
      <c r="N491" s="14">
        <f>IFERROR(M491*CONFIG!$B$4,0)</f>
        <v>0</v>
      </c>
      <c r="O491" s="15">
        <f t="shared" si="10"/>
        <v>0</v>
      </c>
      <c r="P491" s="25"/>
      <c r="Q491" s="17"/>
    </row>
    <row r="492" ht="15.0" customHeight="1">
      <c r="A492" s="26"/>
      <c r="B492" s="25"/>
      <c r="C492" s="25"/>
      <c r="D492" s="17"/>
      <c r="E492" s="17"/>
      <c r="F492" s="17"/>
      <c r="G492" s="27"/>
      <c r="H492" s="27"/>
      <c r="I492" s="27"/>
      <c r="J492" s="27"/>
      <c r="K492" s="28">
        <f t="shared" si="12"/>
        <v>0</v>
      </c>
      <c r="L492" s="13">
        <f>IFERROR(VLOOKUP(E492,PRODUCTOS!$A$4:$F$28,6,FALSE()),0)</f>
        <v>0</v>
      </c>
      <c r="M492" s="13">
        <f t="shared" si="9"/>
        <v>0</v>
      </c>
      <c r="N492" s="14">
        <f>IFERROR(M492*CONFIG!$B$4,0)</f>
        <v>0</v>
      </c>
      <c r="O492" s="15">
        <f t="shared" si="10"/>
        <v>0</v>
      </c>
      <c r="P492" s="25"/>
      <c r="Q492" s="17"/>
    </row>
    <row r="493" ht="15.0" customHeight="1">
      <c r="A493" s="26"/>
      <c r="B493" s="25"/>
      <c r="C493" s="25"/>
      <c r="D493" s="17"/>
      <c r="E493" s="17"/>
      <c r="F493" s="17"/>
      <c r="G493" s="27"/>
      <c r="H493" s="27"/>
      <c r="I493" s="27"/>
      <c r="J493" s="27"/>
      <c r="K493" s="28">
        <f t="shared" si="12"/>
        <v>0</v>
      </c>
      <c r="L493" s="13">
        <f>IFERROR(VLOOKUP(E493,PRODUCTOS!$A$4:$F$28,6,FALSE()),0)</f>
        <v>0</v>
      </c>
      <c r="M493" s="13">
        <f t="shared" si="9"/>
        <v>0</v>
      </c>
      <c r="N493" s="14">
        <f>IFERROR(M493*CONFIG!$B$4,0)</f>
        <v>0</v>
      </c>
      <c r="O493" s="15">
        <f t="shared" si="10"/>
        <v>0</v>
      </c>
      <c r="P493" s="25"/>
      <c r="Q493" s="17"/>
    </row>
    <row r="494" ht="15.0" customHeight="1">
      <c r="A494" s="26"/>
      <c r="B494" s="25"/>
      <c r="C494" s="25"/>
      <c r="D494" s="17"/>
      <c r="E494" s="17"/>
      <c r="F494" s="17"/>
      <c r="G494" s="27"/>
      <c r="H494" s="27"/>
      <c r="I494" s="27"/>
      <c r="J494" s="27"/>
      <c r="K494" s="28">
        <f t="shared" si="12"/>
        <v>0</v>
      </c>
      <c r="L494" s="13">
        <f>IFERROR(VLOOKUP(E494,PRODUCTOS!$A$4:$F$28,6,FALSE()),0)</f>
        <v>0</v>
      </c>
      <c r="M494" s="13">
        <f t="shared" si="9"/>
        <v>0</v>
      </c>
      <c r="N494" s="14">
        <f>IFERROR(M494*CONFIG!$B$4,0)</f>
        <v>0</v>
      </c>
      <c r="O494" s="15">
        <f t="shared" si="10"/>
        <v>0</v>
      </c>
      <c r="P494" s="25"/>
      <c r="Q494" s="17"/>
    </row>
    <row r="495" ht="15.0" customHeight="1">
      <c r="A495" s="26"/>
      <c r="B495" s="25"/>
      <c r="C495" s="25"/>
      <c r="D495" s="17"/>
      <c r="E495" s="17"/>
      <c r="F495" s="17"/>
      <c r="G495" s="27"/>
      <c r="H495" s="27"/>
      <c r="I495" s="27"/>
      <c r="J495" s="27"/>
      <c r="K495" s="28">
        <f t="shared" si="12"/>
        <v>0</v>
      </c>
      <c r="L495" s="13">
        <f>IFERROR(VLOOKUP(E495,PRODUCTOS!$A$4:$F$28,6,FALSE()),0)</f>
        <v>0</v>
      </c>
      <c r="M495" s="13">
        <f t="shared" si="9"/>
        <v>0</v>
      </c>
      <c r="N495" s="14">
        <f>IFERROR(M495*CONFIG!$B$4,0)</f>
        <v>0</v>
      </c>
      <c r="O495" s="15">
        <f t="shared" si="10"/>
        <v>0</v>
      </c>
      <c r="P495" s="25"/>
      <c r="Q495" s="17"/>
    </row>
    <row r="496" ht="15.0" customHeight="1">
      <c r="A496" s="26"/>
      <c r="B496" s="25"/>
      <c r="C496" s="25"/>
      <c r="D496" s="17"/>
      <c r="E496" s="17"/>
      <c r="F496" s="17"/>
      <c r="G496" s="27"/>
      <c r="H496" s="27"/>
      <c r="I496" s="27"/>
      <c r="J496" s="27"/>
      <c r="K496" s="28">
        <f t="shared" si="12"/>
        <v>0</v>
      </c>
      <c r="L496" s="13">
        <f>IFERROR(VLOOKUP(E496,PRODUCTOS!$A$4:$F$28,6,FALSE()),0)</f>
        <v>0</v>
      </c>
      <c r="M496" s="13">
        <f t="shared" si="9"/>
        <v>0</v>
      </c>
      <c r="N496" s="14">
        <f>IFERROR(M496*CONFIG!$B$4,0)</f>
        <v>0</v>
      </c>
      <c r="O496" s="15">
        <f t="shared" si="10"/>
        <v>0</v>
      </c>
      <c r="P496" s="25"/>
      <c r="Q496" s="17"/>
    </row>
    <row r="497" ht="15.0" customHeight="1">
      <c r="A497" s="26"/>
      <c r="B497" s="25"/>
      <c r="C497" s="25"/>
      <c r="D497" s="17"/>
      <c r="E497" s="17"/>
      <c r="F497" s="17"/>
      <c r="G497" s="27"/>
      <c r="H497" s="27"/>
      <c r="I497" s="27"/>
      <c r="J497" s="27"/>
      <c r="K497" s="28">
        <f t="shared" si="12"/>
        <v>0</v>
      </c>
      <c r="L497" s="13">
        <f>IFERROR(VLOOKUP(E497,PRODUCTOS!$A$4:$F$28,6,FALSE()),0)</f>
        <v>0</v>
      </c>
      <c r="M497" s="13">
        <f t="shared" si="9"/>
        <v>0</v>
      </c>
      <c r="N497" s="14">
        <f>IFERROR(M497*CONFIG!$B$4,0)</f>
        <v>0</v>
      </c>
      <c r="O497" s="15">
        <f t="shared" si="10"/>
        <v>0</v>
      </c>
      <c r="P497" s="25"/>
      <c r="Q497" s="17"/>
    </row>
    <row r="498" ht="15.0" customHeight="1">
      <c r="A498" s="26"/>
      <c r="B498" s="25"/>
      <c r="C498" s="25"/>
      <c r="D498" s="17"/>
      <c r="E498" s="17"/>
      <c r="F498" s="17"/>
      <c r="G498" s="27"/>
      <c r="H498" s="27"/>
      <c r="I498" s="27"/>
      <c r="J498" s="27"/>
      <c r="K498" s="28">
        <f t="shared" si="12"/>
        <v>0</v>
      </c>
      <c r="L498" s="13">
        <f>IFERROR(VLOOKUP(E498,PRODUCTOS!$A$4:$F$28,6,FALSE()),0)</f>
        <v>0</v>
      </c>
      <c r="M498" s="13">
        <f t="shared" si="9"/>
        <v>0</v>
      </c>
      <c r="N498" s="14">
        <f>IFERROR(M498*CONFIG!$B$4,0)</f>
        <v>0</v>
      </c>
      <c r="O498" s="15">
        <f t="shared" si="10"/>
        <v>0</v>
      </c>
      <c r="P498" s="25"/>
      <c r="Q498" s="17"/>
    </row>
    <row r="499" ht="15.0" customHeight="1">
      <c r="A499" s="26"/>
      <c r="B499" s="25"/>
      <c r="C499" s="25"/>
      <c r="D499" s="17"/>
      <c r="E499" s="17"/>
      <c r="F499" s="17"/>
      <c r="G499" s="27"/>
      <c r="H499" s="27"/>
      <c r="I499" s="27"/>
      <c r="J499" s="27"/>
      <c r="K499" s="28">
        <f t="shared" si="12"/>
        <v>0</v>
      </c>
      <c r="L499" s="13">
        <f>IFERROR(VLOOKUP(E499,PRODUCTOS!$A$4:$F$28,6,FALSE()),0)</f>
        <v>0</v>
      </c>
      <c r="M499" s="13">
        <f t="shared" si="9"/>
        <v>0</v>
      </c>
      <c r="N499" s="14">
        <f>IFERROR(M499*CONFIG!$B$4,0)</f>
        <v>0</v>
      </c>
      <c r="O499" s="15">
        <f t="shared" si="10"/>
        <v>0</v>
      </c>
      <c r="P499" s="25"/>
      <c r="Q499" s="17"/>
    </row>
    <row r="500" ht="15.0" customHeight="1">
      <c r="A500" s="26"/>
      <c r="B500" s="25"/>
      <c r="C500" s="25"/>
      <c r="D500" s="17"/>
      <c r="E500" s="17"/>
      <c r="F500" s="17"/>
      <c r="G500" s="27"/>
      <c r="H500" s="27"/>
      <c r="I500" s="27"/>
      <c r="J500" s="27"/>
      <c r="K500" s="28">
        <f t="shared" si="12"/>
        <v>0</v>
      </c>
      <c r="L500" s="13">
        <f>IFERROR(VLOOKUP(E500,PRODUCTOS!$A$4:$F$28,6,FALSE()),0)</f>
        <v>0</v>
      </c>
      <c r="M500" s="13">
        <f t="shared" si="9"/>
        <v>0</v>
      </c>
      <c r="N500" s="14">
        <f>IFERROR(M500*CONFIG!$B$4,0)</f>
        <v>0</v>
      </c>
      <c r="O500" s="15">
        <f t="shared" si="10"/>
        <v>0</v>
      </c>
      <c r="P500" s="25"/>
      <c r="Q500" s="17"/>
    </row>
    <row r="501" ht="15.0" customHeight="1">
      <c r="A501" s="26"/>
      <c r="B501" s="25"/>
      <c r="C501" s="25"/>
      <c r="D501" s="17"/>
      <c r="E501" s="17"/>
      <c r="F501" s="17"/>
      <c r="G501" s="27"/>
      <c r="H501" s="27"/>
      <c r="I501" s="27"/>
      <c r="J501" s="27"/>
      <c r="K501" s="28">
        <f t="shared" si="12"/>
        <v>0</v>
      </c>
      <c r="L501" s="13">
        <f>IFERROR(VLOOKUP(E501,PRODUCTOS!$A$4:$F$28,6,FALSE()),0)</f>
        <v>0</v>
      </c>
      <c r="M501" s="13">
        <f t="shared" si="9"/>
        <v>0</v>
      </c>
      <c r="N501" s="14">
        <f>IFERROR(M501*CONFIG!$B$4,0)</f>
        <v>0</v>
      </c>
      <c r="O501" s="15">
        <f t="shared" si="10"/>
        <v>0</v>
      </c>
      <c r="P501" s="25"/>
      <c r="Q501" s="17"/>
    </row>
    <row r="502" ht="15.0" customHeight="1">
      <c r="A502" s="26"/>
      <c r="B502" s="25"/>
      <c r="C502" s="25"/>
      <c r="D502" s="17"/>
      <c r="E502" s="17"/>
      <c r="F502" s="17"/>
      <c r="G502" s="27"/>
      <c r="H502" s="27"/>
      <c r="I502" s="27"/>
      <c r="J502" s="27"/>
      <c r="K502" s="28">
        <f t="shared" si="12"/>
        <v>0</v>
      </c>
      <c r="L502" s="13">
        <f>IFERROR(VLOOKUP(E502,PRODUCTOS!$A$4:$F$28,6,FALSE()),0)</f>
        <v>0</v>
      </c>
      <c r="M502" s="13">
        <f t="shared" si="9"/>
        <v>0</v>
      </c>
      <c r="N502" s="14">
        <f>IFERROR(M502*CONFIG!$B$4,0)</f>
        <v>0</v>
      </c>
      <c r="O502" s="15">
        <f t="shared" si="10"/>
        <v>0</v>
      </c>
      <c r="P502" s="25"/>
      <c r="Q502" s="17"/>
    </row>
    <row r="503" ht="15.0" customHeight="1">
      <c r="A503" s="26"/>
      <c r="B503" s="25"/>
      <c r="C503" s="25"/>
      <c r="D503" s="17"/>
      <c r="E503" s="17"/>
      <c r="F503" s="17"/>
      <c r="G503" s="27"/>
      <c r="H503" s="27"/>
      <c r="I503" s="27"/>
      <c r="J503" s="27"/>
      <c r="K503" s="28">
        <f t="shared" si="12"/>
        <v>0</v>
      </c>
      <c r="L503" s="13">
        <f>IFERROR(VLOOKUP(E503,PRODUCTOS!$A$4:$F$28,6,FALSE()),0)</f>
        <v>0</v>
      </c>
      <c r="M503" s="13">
        <f t="shared" si="9"/>
        <v>0</v>
      </c>
      <c r="N503" s="14">
        <f>IFERROR(M503*CONFIG!$B$4,0)</f>
        <v>0</v>
      </c>
      <c r="O503" s="15">
        <f t="shared" si="10"/>
        <v>0</v>
      </c>
      <c r="P503" s="25"/>
      <c r="Q503" s="17"/>
    </row>
    <row r="504" ht="15.0" customHeight="1">
      <c r="A504" s="26"/>
      <c r="B504" s="25"/>
      <c r="C504" s="25"/>
      <c r="D504" s="17"/>
      <c r="E504" s="17"/>
      <c r="F504" s="17"/>
      <c r="G504" s="27"/>
      <c r="H504" s="27"/>
      <c r="I504" s="27"/>
      <c r="J504" s="27"/>
      <c r="K504" s="28">
        <f t="shared" si="12"/>
        <v>0</v>
      </c>
      <c r="L504" s="13">
        <f>IFERROR(VLOOKUP(E504,PRODUCTOS!$A$4:$F$28,6,FALSE()),0)</f>
        <v>0</v>
      </c>
      <c r="M504" s="13">
        <f t="shared" si="9"/>
        <v>0</v>
      </c>
      <c r="N504" s="14">
        <f>IFERROR(M504*CONFIG!$B$4,0)</f>
        <v>0</v>
      </c>
      <c r="O504" s="15">
        <f t="shared" si="10"/>
        <v>0</v>
      </c>
      <c r="P504" s="25"/>
      <c r="Q504" s="17"/>
    </row>
    <row r="505" ht="15.0" customHeight="1">
      <c r="A505" s="26"/>
      <c r="B505" s="25"/>
      <c r="C505" s="25"/>
      <c r="D505" s="17"/>
      <c r="E505" s="17"/>
      <c r="F505" s="17"/>
      <c r="G505" s="27"/>
      <c r="H505" s="27"/>
      <c r="I505" s="27"/>
      <c r="J505" s="27"/>
      <c r="K505" s="28">
        <f t="shared" si="12"/>
        <v>0</v>
      </c>
      <c r="L505" s="13">
        <f>IFERROR(VLOOKUP(E505,PRODUCTOS!$A$4:$F$28,6,FALSE()),0)</f>
        <v>0</v>
      </c>
      <c r="M505" s="13">
        <f t="shared" si="9"/>
        <v>0</v>
      </c>
      <c r="N505" s="14">
        <f>IFERROR(M505*CONFIG!$B$4,0)</f>
        <v>0</v>
      </c>
      <c r="O505" s="15">
        <f t="shared" si="10"/>
        <v>0</v>
      </c>
      <c r="P505" s="25"/>
      <c r="Q505" s="17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Q1"/>
    <mergeCell ref="A2:Q2"/>
  </mergeCells>
  <conditionalFormatting sqref="P4:P505">
    <cfRule type="expression" dxfId="0" priority="1">
      <formula>P4="PAGADO"</formula>
    </cfRule>
  </conditionalFormatting>
  <conditionalFormatting sqref="P4:P505">
    <cfRule type="expression" dxfId="1" priority="2">
      <formula>P4="PENDIENTE"</formula>
    </cfRule>
  </conditionalFormatting>
  <conditionalFormatting sqref="P4:P505">
    <cfRule type="expression" dxfId="2" priority="3">
      <formula>P4="PARCIAL"</formula>
    </cfRule>
  </conditionalFormatting>
  <conditionalFormatting sqref="P4:P505">
    <cfRule type="expression" dxfId="3" priority="4">
      <formula>P4="ANULADO"</formula>
    </cfRule>
  </conditionalFormatting>
  <conditionalFormatting sqref="P4:P505">
    <cfRule type="expression" dxfId="4" priority="5">
      <formula>P4="ENTREGADO SIN FACTURAR"</formula>
    </cfRule>
  </conditionalFormatting>
  <dataValidations>
    <dataValidation type="list" allowBlank="1" sqref="P4:P505">
      <formula1>"PAGADO,PENDIENTE,PARCIAL,ANULADO,ENTREGADO SIN FACTURAR"</formula1>
    </dataValidation>
    <dataValidation type="list" allowBlank="1" sqref="D4:D505">
      <formula1>LISTA_CLIENTES</formula1>
    </dataValidation>
    <dataValidation type="list" allowBlank="1" sqref="E4:E505">
      <formula1>LISTA_PRODUCTOS</formula1>
    </dataValidation>
    <dataValidation type="list" allowBlank="1" sqref="F4:F505">
      <formula1>LISTA_COLORES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7.75" customHeight="1">
      <c r="A1" s="32" t="s">
        <v>54</v>
      </c>
    </row>
    <row r="3" ht="18.0" customHeight="1">
      <c r="A3" s="33" t="s">
        <v>55</v>
      </c>
    </row>
    <row r="4" ht="18.0" customHeight="1">
      <c r="A4" s="34" t="s">
        <v>56</v>
      </c>
    </row>
    <row r="5" ht="18.0" customHeight="1">
      <c r="A5" s="34" t="s">
        <v>57</v>
      </c>
    </row>
    <row r="6" ht="18.0" customHeight="1">
      <c r="A6" s="34" t="s">
        <v>58</v>
      </c>
    </row>
    <row r="7" ht="18.0" customHeight="1">
      <c r="A7" s="34"/>
    </row>
    <row r="8" ht="18.0" customHeight="1">
      <c r="A8" s="33" t="s">
        <v>59</v>
      </c>
    </row>
    <row r="9" ht="18.0" customHeight="1">
      <c r="A9" s="34" t="s">
        <v>60</v>
      </c>
    </row>
    <row r="10" ht="18.0" customHeight="1">
      <c r="A10" s="34" t="s">
        <v>61</v>
      </c>
    </row>
    <row r="11" ht="18.0" customHeight="1">
      <c r="A11" s="34" t="s">
        <v>62</v>
      </c>
    </row>
    <row r="12" ht="18.0" customHeight="1">
      <c r="A12" s="34" t="s">
        <v>63</v>
      </c>
    </row>
    <row r="13" ht="18.0" customHeight="1">
      <c r="A13" s="34"/>
    </row>
    <row r="14" ht="18.0" customHeight="1">
      <c r="A14" s="34" t="s">
        <v>64</v>
      </c>
    </row>
    <row r="15" ht="18.0" customHeight="1">
      <c r="A15" s="34" t="s">
        <v>65</v>
      </c>
    </row>
    <row r="16" ht="18.0" customHeight="1">
      <c r="A16" s="34" t="s">
        <v>66</v>
      </c>
    </row>
    <row r="17" ht="18.0" customHeight="1">
      <c r="A17" s="34"/>
    </row>
    <row r="18" ht="18.0" customHeight="1">
      <c r="A18" s="34" t="s">
        <v>67</v>
      </c>
    </row>
    <row r="19" ht="18.0" customHeight="1">
      <c r="A19" s="34" t="s">
        <v>68</v>
      </c>
    </row>
    <row r="20" ht="18.0" customHeight="1">
      <c r="A20" s="34" t="s">
        <v>69</v>
      </c>
    </row>
    <row r="21" ht="18.0" customHeight="1">
      <c r="A21" s="34"/>
    </row>
    <row r="22" ht="18.0" customHeight="1">
      <c r="A22" s="33" t="s">
        <v>70</v>
      </c>
    </row>
    <row r="23" ht="18.0" customHeight="1">
      <c r="A23" s="34" t="s">
        <v>71</v>
      </c>
    </row>
    <row r="24" ht="18.0" customHeight="1">
      <c r="A24" s="34" t="s">
        <v>72</v>
      </c>
    </row>
    <row r="25" ht="18.0" customHeight="1">
      <c r="A25" s="34" t="s">
        <v>73</v>
      </c>
    </row>
    <row r="26" ht="18.0" customHeight="1">
      <c r="A26" s="34" t="s">
        <v>74</v>
      </c>
    </row>
    <row r="27" ht="18.0" customHeight="1">
      <c r="A27" s="34" t="s">
        <v>75</v>
      </c>
    </row>
    <row r="28" ht="18.0" customHeight="1">
      <c r="A28" s="34" t="s">
        <v>76</v>
      </c>
    </row>
    <row r="29" ht="18.0" customHeight="1">
      <c r="A29" s="34" t="s">
        <v>77</v>
      </c>
    </row>
    <row r="30" ht="18.0" customHeight="1">
      <c r="A30" s="34" t="s">
        <v>78</v>
      </c>
    </row>
    <row r="31" ht="18.0" customHeight="1">
      <c r="A31" s="34" t="s">
        <v>79</v>
      </c>
    </row>
    <row r="32" ht="18.0" customHeight="1">
      <c r="A32" s="34" t="s">
        <v>80</v>
      </c>
    </row>
    <row r="33" ht="18.0" customHeight="1">
      <c r="A33" s="34" t="s">
        <v>81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4.0"/>
    <col customWidth="1" min="3" max="3" width="50.0"/>
    <col customWidth="1" min="4" max="26" width="8.71"/>
  </cols>
  <sheetData>
    <row r="1" ht="27.75" customHeight="1">
      <c r="A1" s="1" t="s">
        <v>82</v>
      </c>
      <c r="B1" s="2"/>
      <c r="C1" s="3"/>
    </row>
    <row r="2" ht="15.0" customHeight="1">
      <c r="A2" s="35" t="s">
        <v>83</v>
      </c>
      <c r="B2" s="35" t="s">
        <v>84</v>
      </c>
      <c r="C2" s="35" t="s">
        <v>85</v>
      </c>
    </row>
    <row r="3" ht="15.0" customHeight="1">
      <c r="A3" s="36" t="s">
        <v>86</v>
      </c>
      <c r="B3" s="37">
        <v>0.4</v>
      </c>
      <c r="C3" s="38" t="s">
        <v>87</v>
      </c>
    </row>
    <row r="4" ht="15.0" customHeight="1">
      <c r="A4" s="36" t="s">
        <v>88</v>
      </c>
      <c r="B4" s="37">
        <v>0.1</v>
      </c>
      <c r="C4" s="38" t="s">
        <v>89</v>
      </c>
    </row>
    <row r="5" ht="15.0" customHeight="1">
      <c r="A5" s="36" t="s">
        <v>90</v>
      </c>
      <c r="B5" s="37">
        <v>0.18</v>
      </c>
      <c r="C5" s="38" t="s">
        <v>91</v>
      </c>
    </row>
    <row r="6" ht="15.0" customHeight="1">
      <c r="A6" s="36" t="s">
        <v>92</v>
      </c>
      <c r="B6" s="25" t="s">
        <v>93</v>
      </c>
      <c r="C6" s="38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6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5911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9.0"/>
    <col customWidth="1" min="4" max="4" width="14.0"/>
    <col customWidth="1" min="5" max="5" width="16.0"/>
    <col customWidth="1" min="6" max="6" width="14.0"/>
    <col customWidth="1" min="7" max="7" width="13.0"/>
    <col customWidth="1" min="8" max="8" width="14.0"/>
    <col customWidth="1" min="9" max="9" width="13.0"/>
    <col customWidth="1" min="10" max="26" width="8.71"/>
  </cols>
  <sheetData>
    <row r="1" ht="27.75" customHeight="1">
      <c r="A1" s="39" t="s">
        <v>95</v>
      </c>
      <c r="B1" s="2"/>
      <c r="C1" s="2"/>
      <c r="D1" s="2"/>
      <c r="E1" s="2"/>
      <c r="F1" s="2"/>
      <c r="G1" s="2"/>
      <c r="H1" s="2"/>
      <c r="I1" s="3"/>
    </row>
    <row r="2" ht="15.0" customHeight="1">
      <c r="A2" s="4" t="s">
        <v>96</v>
      </c>
    </row>
    <row r="3" ht="31.5" customHeight="1">
      <c r="A3" s="40" t="s">
        <v>6</v>
      </c>
      <c r="B3" s="40" t="s">
        <v>97</v>
      </c>
      <c r="C3" s="40" t="s">
        <v>98</v>
      </c>
      <c r="D3" s="40" t="s">
        <v>99</v>
      </c>
      <c r="E3" s="40" t="s">
        <v>100</v>
      </c>
      <c r="F3" s="40" t="s">
        <v>101</v>
      </c>
      <c r="G3" s="40" t="s">
        <v>102</v>
      </c>
      <c r="H3" s="40" t="s">
        <v>103</v>
      </c>
      <c r="I3" s="40" t="s">
        <v>104</v>
      </c>
    </row>
    <row r="4" ht="15.0" customHeight="1">
      <c r="A4" s="41" t="s">
        <v>27</v>
      </c>
      <c r="B4" s="42">
        <v>0.95</v>
      </c>
      <c r="C4" s="43">
        <f>CONFIG!$B$3</f>
        <v>0.4</v>
      </c>
      <c r="D4" s="44">
        <f t="shared" ref="D4:D28" si="1">IFERROR(B4*(1+C4),0)</f>
        <v>1.33</v>
      </c>
      <c r="E4" s="15">
        <f>IFERROR(IF(B4="","",IF(CONFIG!$B$6="SÍ",D4*(1+CONFIG!$B$5),D4)),"")</f>
        <v>1.33</v>
      </c>
      <c r="F4" s="42">
        <v>1.7</v>
      </c>
      <c r="G4" s="13">
        <f>IFERROR(F4*CONFIG!$B$4,0)</f>
        <v>0.17</v>
      </c>
      <c r="H4" s="13">
        <f t="shared" ref="H4:H28" si="2">IFERROR(F4-G4,0)</f>
        <v>1.53</v>
      </c>
      <c r="I4" s="45">
        <f t="shared" ref="I4:I28" si="3">IFERROR(IF(F4&gt;0,(F4-B4)/F4,""),"")</f>
        <v>0.4411764706</v>
      </c>
    </row>
    <row r="5" ht="15.0" customHeight="1">
      <c r="A5" s="41" t="s">
        <v>43</v>
      </c>
      <c r="B5" s="42">
        <v>1.0</v>
      </c>
      <c r="C5" s="43">
        <f>CONFIG!$B$3</f>
        <v>0.4</v>
      </c>
      <c r="D5" s="44">
        <f t="shared" si="1"/>
        <v>1.4</v>
      </c>
      <c r="E5" s="15">
        <f>IFERROR(IF(B5="","",IF(CONFIG!$B$6="SÍ",D5*(1+CONFIG!$B$5),D5)),"")</f>
        <v>1.4</v>
      </c>
      <c r="F5" s="46">
        <v>2.0</v>
      </c>
      <c r="G5" s="13">
        <f>IFERROR(F5*CONFIG!$B$4,0)</f>
        <v>0.2</v>
      </c>
      <c r="H5" s="13">
        <f t="shared" si="2"/>
        <v>1.8</v>
      </c>
      <c r="I5" s="45">
        <f t="shared" si="3"/>
        <v>0.5</v>
      </c>
    </row>
    <row r="6" ht="15.0" customHeight="1">
      <c r="A6" s="41" t="s">
        <v>29</v>
      </c>
      <c r="B6" s="42">
        <v>0.95</v>
      </c>
      <c r="C6" s="43">
        <f>CONFIG!$B$3</f>
        <v>0.4</v>
      </c>
      <c r="D6" s="44">
        <f t="shared" si="1"/>
        <v>1.33</v>
      </c>
      <c r="E6" s="15">
        <f>IFERROR(IF(B6="","",IF(CONFIG!$B$6="SÍ",D6*(1+CONFIG!$B$5),D6)),"")</f>
        <v>1.33</v>
      </c>
      <c r="F6" s="42">
        <v>1.7</v>
      </c>
      <c r="G6" s="13">
        <f>IFERROR(F6*CONFIG!$B$4,0)</f>
        <v>0.17</v>
      </c>
      <c r="H6" s="13">
        <f t="shared" si="2"/>
        <v>1.53</v>
      </c>
      <c r="I6" s="45">
        <f t="shared" si="3"/>
        <v>0.4411764706</v>
      </c>
    </row>
    <row r="7" ht="15.0" customHeight="1">
      <c r="A7" s="41" t="s">
        <v>49</v>
      </c>
      <c r="B7" s="42">
        <v>1.0</v>
      </c>
      <c r="C7" s="43">
        <f>CONFIG!$B$3</f>
        <v>0.4</v>
      </c>
      <c r="D7" s="44">
        <f t="shared" si="1"/>
        <v>1.4</v>
      </c>
      <c r="E7" s="15">
        <f>IFERROR(IF(B7="","",IF(CONFIG!$B$6="SÍ",D7*(1+CONFIG!$B$5),D7)),"")</f>
        <v>1.4</v>
      </c>
      <c r="F7" s="46">
        <v>2.0</v>
      </c>
      <c r="G7" s="13">
        <f>IFERROR(F7*CONFIG!$B$4,0)</f>
        <v>0.2</v>
      </c>
      <c r="H7" s="13">
        <f t="shared" si="2"/>
        <v>1.8</v>
      </c>
      <c r="I7" s="45">
        <f t="shared" si="3"/>
        <v>0.5</v>
      </c>
    </row>
    <row r="8" ht="15.0" customHeight="1">
      <c r="A8" s="41" t="s">
        <v>45</v>
      </c>
      <c r="B8" s="42">
        <v>1.96</v>
      </c>
      <c r="C8" s="43">
        <f>CONFIG!$B$3</f>
        <v>0.4</v>
      </c>
      <c r="D8" s="44">
        <f t="shared" si="1"/>
        <v>2.744</v>
      </c>
      <c r="E8" s="15">
        <f>IFERROR(IF(B8="","",IF(CONFIG!$B$6="SÍ",D8*(1+CONFIG!$B$5),D8)),"")</f>
        <v>2.744</v>
      </c>
      <c r="F8" s="46">
        <v>4.0</v>
      </c>
      <c r="G8" s="13">
        <f>IFERROR(F8*CONFIG!$B$4,0)</f>
        <v>0.4</v>
      </c>
      <c r="H8" s="13">
        <f t="shared" si="2"/>
        <v>3.6</v>
      </c>
      <c r="I8" s="45">
        <f t="shared" si="3"/>
        <v>0.51</v>
      </c>
    </row>
    <row r="9" ht="15.0" customHeight="1">
      <c r="A9" s="41" t="s">
        <v>25</v>
      </c>
      <c r="B9" s="42">
        <v>1.96</v>
      </c>
      <c r="C9" s="43">
        <f>CONFIG!$B$3</f>
        <v>0.4</v>
      </c>
      <c r="D9" s="44">
        <f t="shared" si="1"/>
        <v>2.744</v>
      </c>
      <c r="E9" s="15">
        <f>IFERROR(IF(B9="","",IF(CONFIG!$B$6="SÍ",D9*(1+CONFIG!$B$5),D9)),"")</f>
        <v>2.744</v>
      </c>
      <c r="F9" s="46">
        <v>4.0</v>
      </c>
      <c r="G9" s="13">
        <f>IFERROR(F9*CONFIG!$B$4,0)</f>
        <v>0.4</v>
      </c>
      <c r="H9" s="13">
        <f t="shared" si="2"/>
        <v>3.6</v>
      </c>
      <c r="I9" s="45">
        <f t="shared" si="3"/>
        <v>0.51</v>
      </c>
    </row>
    <row r="10" ht="15.0" customHeight="1">
      <c r="A10" s="41" t="s">
        <v>50</v>
      </c>
      <c r="B10" s="42">
        <v>0.74</v>
      </c>
      <c r="C10" s="43">
        <f>CONFIG!$B$3</f>
        <v>0.4</v>
      </c>
      <c r="D10" s="44">
        <f t="shared" si="1"/>
        <v>1.036</v>
      </c>
      <c r="E10" s="15">
        <f>IFERROR(IF(B10="","",IF(CONFIG!$B$6="SÍ",D10*(1+CONFIG!$B$5),D10)),"")</f>
        <v>1.036</v>
      </c>
      <c r="F10" s="46">
        <v>1.1</v>
      </c>
      <c r="G10" s="13">
        <f>IFERROR(F10*CONFIG!$B$4,0)</f>
        <v>0.11</v>
      </c>
      <c r="H10" s="13">
        <f t="shared" si="2"/>
        <v>0.99</v>
      </c>
      <c r="I10" s="45">
        <f t="shared" si="3"/>
        <v>0.3272727273</v>
      </c>
    </row>
    <row r="11" ht="15.0" customHeight="1">
      <c r="A11" s="41" t="s">
        <v>42</v>
      </c>
      <c r="B11" s="42">
        <v>0.8</v>
      </c>
      <c r="C11" s="43">
        <f>CONFIG!$B$3</f>
        <v>0.4</v>
      </c>
      <c r="D11" s="44">
        <f t="shared" si="1"/>
        <v>1.12</v>
      </c>
      <c r="E11" s="15">
        <f>IFERROR(IF(B11="","",IF(CONFIG!$B$6="SÍ",D11*(1+CONFIG!$B$5),D11)),"")</f>
        <v>1.12</v>
      </c>
      <c r="F11" s="46">
        <v>1.7</v>
      </c>
      <c r="G11" s="13">
        <f>IFERROR(F11*CONFIG!$B$4,0)</f>
        <v>0.17</v>
      </c>
      <c r="H11" s="13">
        <f t="shared" si="2"/>
        <v>1.53</v>
      </c>
      <c r="I11" s="45">
        <f t="shared" si="3"/>
        <v>0.5294117647</v>
      </c>
    </row>
    <row r="12" ht="15.0" customHeight="1">
      <c r="A12" s="41" t="s">
        <v>41</v>
      </c>
      <c r="B12" s="42">
        <v>0.85</v>
      </c>
      <c r="C12" s="43">
        <f>CONFIG!$B$3</f>
        <v>0.4</v>
      </c>
      <c r="D12" s="44">
        <f t="shared" si="1"/>
        <v>1.19</v>
      </c>
      <c r="E12" s="15">
        <f>IFERROR(IF(B12="","",IF(CONFIG!$B$6="SÍ",D12*(1+CONFIG!$B$5),D12)),"")</f>
        <v>1.19</v>
      </c>
      <c r="F12" s="46">
        <v>1.7</v>
      </c>
      <c r="G12" s="13">
        <f>IFERROR(F12*CONFIG!$B$4,0)</f>
        <v>0.17</v>
      </c>
      <c r="H12" s="13">
        <f t="shared" si="2"/>
        <v>1.53</v>
      </c>
      <c r="I12" s="45">
        <f t="shared" si="3"/>
        <v>0.5</v>
      </c>
    </row>
    <row r="13" ht="15.0" customHeight="1">
      <c r="A13" s="41" t="s">
        <v>53</v>
      </c>
      <c r="B13" s="42">
        <v>0.76</v>
      </c>
      <c r="C13" s="43">
        <f>CONFIG!$B$3</f>
        <v>0.4</v>
      </c>
      <c r="D13" s="44">
        <f t="shared" si="1"/>
        <v>1.064</v>
      </c>
      <c r="E13" s="15">
        <f>IFERROR(IF(B13="","",IF(CONFIG!$B$6="SÍ",D13*(1+CONFIG!$B$5),D13)),"")</f>
        <v>1.064</v>
      </c>
      <c r="F13" s="46">
        <v>1.7</v>
      </c>
      <c r="G13" s="13">
        <f>IFERROR(F13*CONFIG!$B$4,0)</f>
        <v>0.17</v>
      </c>
      <c r="H13" s="13">
        <f t="shared" si="2"/>
        <v>1.53</v>
      </c>
      <c r="I13" s="45">
        <f t="shared" si="3"/>
        <v>0.5529411765</v>
      </c>
    </row>
    <row r="14" ht="15.0" customHeight="1">
      <c r="A14" s="41" t="s">
        <v>21</v>
      </c>
      <c r="B14" s="42">
        <v>0.83</v>
      </c>
      <c r="C14" s="43">
        <f>CONFIG!$B$3</f>
        <v>0.4</v>
      </c>
      <c r="D14" s="44">
        <f t="shared" si="1"/>
        <v>1.162</v>
      </c>
      <c r="E14" s="15">
        <f>IFERROR(IF(B14="","",IF(CONFIG!$B$6="SÍ",D14*(1+CONFIG!$B$5),D14)),"")</f>
        <v>1.162</v>
      </c>
      <c r="F14" s="46">
        <v>1.7</v>
      </c>
      <c r="G14" s="13">
        <f>IFERROR(F14*CONFIG!$B$4,0)</f>
        <v>0.17</v>
      </c>
      <c r="H14" s="13">
        <f t="shared" si="2"/>
        <v>1.53</v>
      </c>
      <c r="I14" s="45">
        <f t="shared" si="3"/>
        <v>0.5117647059</v>
      </c>
    </row>
    <row r="15" ht="15.0" customHeight="1">
      <c r="A15" s="41" t="s">
        <v>37</v>
      </c>
      <c r="B15" s="42">
        <v>0.64</v>
      </c>
      <c r="C15" s="43">
        <f>CONFIG!$B$3</f>
        <v>0.4</v>
      </c>
      <c r="D15" s="44">
        <f t="shared" si="1"/>
        <v>0.896</v>
      </c>
      <c r="E15" s="15">
        <f>IFERROR(IF(B15="","",IF(CONFIG!$B$6="SÍ",D15*(1+CONFIG!$B$5),D15)),"")</f>
        <v>0.896</v>
      </c>
      <c r="F15" s="46">
        <v>1.7</v>
      </c>
      <c r="G15" s="13">
        <f>IFERROR(F15*CONFIG!$B$4,0)</f>
        <v>0.17</v>
      </c>
      <c r="H15" s="13">
        <f t="shared" si="2"/>
        <v>1.53</v>
      </c>
      <c r="I15" s="45">
        <f t="shared" si="3"/>
        <v>0.6235294118</v>
      </c>
    </row>
    <row r="16" ht="15.0" customHeight="1">
      <c r="A16" s="47" t="s">
        <v>38</v>
      </c>
      <c r="B16" s="42">
        <v>0.74</v>
      </c>
      <c r="C16" s="43">
        <f>CONFIG!$B$3</f>
        <v>0.4</v>
      </c>
      <c r="D16" s="44">
        <f t="shared" si="1"/>
        <v>1.036</v>
      </c>
      <c r="E16" s="15">
        <f>IFERROR(IF(B16="","",IF(CONFIG!$B$6="SÍ",D16*(1+CONFIG!$B$5),D16)),"")</f>
        <v>1.036</v>
      </c>
      <c r="F16" s="46">
        <v>1.7</v>
      </c>
      <c r="G16" s="13">
        <f>IFERROR(F16*CONFIG!$B$4,0)</f>
        <v>0.17</v>
      </c>
      <c r="H16" s="13">
        <f t="shared" si="2"/>
        <v>1.53</v>
      </c>
      <c r="I16" s="45">
        <f t="shared" si="3"/>
        <v>0.5647058824</v>
      </c>
    </row>
    <row r="17" ht="15.0" customHeight="1">
      <c r="A17" s="41" t="s">
        <v>32</v>
      </c>
      <c r="B17" s="42">
        <v>3.32</v>
      </c>
      <c r="C17" s="43">
        <f>CONFIG!$B$3</f>
        <v>0.4</v>
      </c>
      <c r="D17" s="44">
        <f t="shared" si="1"/>
        <v>4.648</v>
      </c>
      <c r="E17" s="15">
        <f>IFERROR(IF(B17="","",IF(CONFIG!$B$6="SÍ",D17*(1+CONFIG!$B$5),D17)),"")</f>
        <v>4.648</v>
      </c>
      <c r="F17" s="46">
        <v>6.0</v>
      </c>
      <c r="G17" s="13">
        <f>IFERROR(F17*CONFIG!$B$4,0)</f>
        <v>0.6</v>
      </c>
      <c r="H17" s="13">
        <f t="shared" si="2"/>
        <v>5.4</v>
      </c>
      <c r="I17" s="45">
        <f t="shared" si="3"/>
        <v>0.4466666667</v>
      </c>
    </row>
    <row r="18" ht="15.0" customHeight="1">
      <c r="A18" s="47" t="s">
        <v>105</v>
      </c>
      <c r="B18" s="42">
        <v>1.66</v>
      </c>
      <c r="C18" s="43">
        <f>CONFIG!$B$3</f>
        <v>0.4</v>
      </c>
      <c r="D18" s="44">
        <f t="shared" si="1"/>
        <v>2.324</v>
      </c>
      <c r="E18" s="15">
        <f>IFERROR(IF(B18="","",IF(CONFIG!$B$6="SÍ",D18*(1+CONFIG!$B$5),D18)),"")</f>
        <v>2.324</v>
      </c>
      <c r="F18" s="46">
        <v>4.0</v>
      </c>
      <c r="G18" s="13">
        <f>IFERROR(F18*CONFIG!$B$4,0)</f>
        <v>0.4</v>
      </c>
      <c r="H18" s="13">
        <f t="shared" si="2"/>
        <v>3.6</v>
      </c>
      <c r="I18" s="45">
        <f t="shared" si="3"/>
        <v>0.585</v>
      </c>
    </row>
    <row r="19" ht="15.0" customHeight="1">
      <c r="A19" s="41" t="s">
        <v>106</v>
      </c>
      <c r="B19" s="42">
        <v>1.53</v>
      </c>
      <c r="C19" s="43">
        <f>CONFIG!$B$3</f>
        <v>0.4</v>
      </c>
      <c r="D19" s="44">
        <f t="shared" si="1"/>
        <v>2.142</v>
      </c>
      <c r="E19" s="15">
        <f>IFERROR(IF(B19="","",IF(CONFIG!$B$6="SÍ",D19*(1+CONFIG!$B$5),D19)),"")</f>
        <v>2.142</v>
      </c>
      <c r="F19" s="42"/>
      <c r="G19" s="13">
        <f>IFERROR(F19*CONFIG!$B$4,0)</f>
        <v>0</v>
      </c>
      <c r="H19" s="13">
        <f t="shared" si="2"/>
        <v>0</v>
      </c>
      <c r="I19" s="45" t="str">
        <f t="shared" si="3"/>
        <v/>
      </c>
    </row>
    <row r="20" ht="15.0" customHeight="1">
      <c r="A20" s="41" t="s">
        <v>51</v>
      </c>
      <c r="B20" s="42">
        <v>1.91</v>
      </c>
      <c r="C20" s="43">
        <f>CONFIG!$B$3</f>
        <v>0.4</v>
      </c>
      <c r="D20" s="44">
        <f t="shared" si="1"/>
        <v>2.674</v>
      </c>
      <c r="E20" s="15">
        <f>IFERROR(IF(B20="","",IF(CONFIG!$B$6="SÍ",D20*(1+CONFIG!$B$5),D20)),"")</f>
        <v>2.674</v>
      </c>
      <c r="F20" s="42"/>
      <c r="G20" s="13">
        <f>IFERROR(F20*CONFIG!$B$4,0)</f>
        <v>0</v>
      </c>
      <c r="H20" s="13">
        <f t="shared" si="2"/>
        <v>0</v>
      </c>
      <c r="I20" s="45" t="str">
        <f t="shared" si="3"/>
        <v/>
      </c>
    </row>
    <row r="21" ht="15.0" customHeight="1">
      <c r="A21" s="17"/>
      <c r="B21" s="42"/>
      <c r="C21" s="43">
        <f>CONFIG!$B$3</f>
        <v>0.4</v>
      </c>
      <c r="D21" s="13">
        <f t="shared" si="1"/>
        <v>0</v>
      </c>
      <c r="E21" s="15" t="str">
        <f>IFERROR(IF(B21="","",IF(CONFIG!$B$6="SÍ",D21*(1+CONFIG!$B$5),D21)),"")</f>
        <v/>
      </c>
      <c r="F21" s="42"/>
      <c r="G21" s="13">
        <f>IFERROR(F21*CONFIG!$B$4,0)</f>
        <v>0</v>
      </c>
      <c r="H21" s="13">
        <f t="shared" si="2"/>
        <v>0</v>
      </c>
      <c r="I21" s="45" t="str">
        <f t="shared" si="3"/>
        <v/>
      </c>
    </row>
    <row r="22" ht="15.0" customHeight="1">
      <c r="A22" s="17"/>
      <c r="B22" s="42"/>
      <c r="C22" s="43">
        <f>CONFIG!$B$3</f>
        <v>0.4</v>
      </c>
      <c r="D22" s="13">
        <f t="shared" si="1"/>
        <v>0</v>
      </c>
      <c r="E22" s="15" t="str">
        <f>IFERROR(IF(B22="","",IF(CONFIG!$B$6="SÍ",D22*(1+CONFIG!$B$5),D22)),"")</f>
        <v/>
      </c>
      <c r="F22" s="42"/>
      <c r="G22" s="13">
        <f>IFERROR(F22*CONFIG!$B$4,0)</f>
        <v>0</v>
      </c>
      <c r="H22" s="13">
        <f t="shared" si="2"/>
        <v>0</v>
      </c>
      <c r="I22" s="45" t="str">
        <f t="shared" si="3"/>
        <v/>
      </c>
    </row>
    <row r="23" ht="15.0" customHeight="1">
      <c r="A23" s="17"/>
      <c r="B23" s="42"/>
      <c r="C23" s="43">
        <f>CONFIG!$B$3</f>
        <v>0.4</v>
      </c>
      <c r="D23" s="13">
        <f t="shared" si="1"/>
        <v>0</v>
      </c>
      <c r="E23" s="15" t="str">
        <f>IFERROR(IF(B23="","",IF(CONFIG!$B$6="SÍ",D23*(1+CONFIG!$B$5),D23)),"")</f>
        <v/>
      </c>
      <c r="F23" s="42"/>
      <c r="G23" s="13">
        <f>IFERROR(F23*CONFIG!$B$4,0)</f>
        <v>0</v>
      </c>
      <c r="H23" s="13">
        <f t="shared" si="2"/>
        <v>0</v>
      </c>
      <c r="I23" s="45" t="str">
        <f t="shared" si="3"/>
        <v/>
      </c>
    </row>
    <row r="24" ht="15.0" customHeight="1">
      <c r="A24" s="17"/>
      <c r="B24" s="42"/>
      <c r="C24" s="43">
        <f>CONFIG!$B$3</f>
        <v>0.4</v>
      </c>
      <c r="D24" s="13">
        <f t="shared" si="1"/>
        <v>0</v>
      </c>
      <c r="E24" s="15" t="str">
        <f>IFERROR(IF(B24="","",IF(CONFIG!$B$6="SÍ",D24*(1+CONFIG!$B$5),D24)),"")</f>
        <v/>
      </c>
      <c r="F24" s="42"/>
      <c r="G24" s="13">
        <f>IFERROR(F24*CONFIG!$B$4,0)</f>
        <v>0</v>
      </c>
      <c r="H24" s="13">
        <f t="shared" si="2"/>
        <v>0</v>
      </c>
      <c r="I24" s="45" t="str">
        <f t="shared" si="3"/>
        <v/>
      </c>
    </row>
    <row r="25" ht="15.0" customHeight="1">
      <c r="A25" s="17"/>
      <c r="B25" s="42"/>
      <c r="C25" s="43">
        <f>CONFIG!$B$3</f>
        <v>0.4</v>
      </c>
      <c r="D25" s="13">
        <f t="shared" si="1"/>
        <v>0</v>
      </c>
      <c r="E25" s="15" t="str">
        <f>IFERROR(IF(B25="","",IF(CONFIG!$B$6="SÍ",D25*(1+CONFIG!$B$5),D25)),"")</f>
        <v/>
      </c>
      <c r="F25" s="42"/>
      <c r="G25" s="13">
        <f>IFERROR(F25*CONFIG!$B$4,0)</f>
        <v>0</v>
      </c>
      <c r="H25" s="13">
        <f t="shared" si="2"/>
        <v>0</v>
      </c>
      <c r="I25" s="45" t="str">
        <f t="shared" si="3"/>
        <v/>
      </c>
    </row>
    <row r="26" ht="15.0" customHeight="1">
      <c r="A26" s="17"/>
      <c r="B26" s="42"/>
      <c r="C26" s="43">
        <f>CONFIG!$B$3</f>
        <v>0.4</v>
      </c>
      <c r="D26" s="13">
        <f t="shared" si="1"/>
        <v>0</v>
      </c>
      <c r="E26" s="15" t="str">
        <f>IFERROR(IF(B26="","",IF(CONFIG!$B$6="SÍ",D26*(1+CONFIG!$B$5),D26)),"")</f>
        <v/>
      </c>
      <c r="F26" s="42"/>
      <c r="G26" s="13">
        <f>IFERROR(F26*CONFIG!$B$4,0)</f>
        <v>0</v>
      </c>
      <c r="H26" s="13">
        <f t="shared" si="2"/>
        <v>0</v>
      </c>
      <c r="I26" s="45" t="str">
        <f t="shared" si="3"/>
        <v/>
      </c>
    </row>
    <row r="27" ht="15.0" customHeight="1">
      <c r="A27" s="17"/>
      <c r="B27" s="42"/>
      <c r="C27" s="43">
        <f>CONFIG!$B$3</f>
        <v>0.4</v>
      </c>
      <c r="D27" s="13">
        <f t="shared" si="1"/>
        <v>0</v>
      </c>
      <c r="E27" s="15" t="str">
        <f>IFERROR(IF(B27="","",IF(CONFIG!$B$6="SÍ",D27*(1+CONFIG!$B$5),D27)),"")</f>
        <v/>
      </c>
      <c r="F27" s="42"/>
      <c r="G27" s="13">
        <f>IFERROR(F27*CONFIG!$B$4,0)</f>
        <v>0</v>
      </c>
      <c r="H27" s="13">
        <f t="shared" si="2"/>
        <v>0</v>
      </c>
      <c r="I27" s="45" t="str">
        <f t="shared" si="3"/>
        <v/>
      </c>
    </row>
    <row r="28" ht="15.0" customHeight="1">
      <c r="A28" s="17"/>
      <c r="B28" s="42"/>
      <c r="C28" s="43">
        <f>CONFIG!$B$3</f>
        <v>0.4</v>
      </c>
      <c r="D28" s="13">
        <f t="shared" si="1"/>
        <v>0</v>
      </c>
      <c r="E28" s="15" t="str">
        <f>IFERROR(IF(B28="","",IF(CONFIG!$B$6="SÍ",D28*(1+CONFIG!$B$5),D28)),"")</f>
        <v/>
      </c>
      <c r="F28" s="42"/>
      <c r="G28" s="13">
        <f>IFERROR(F28*CONFIG!$B$4,0)</f>
        <v>0</v>
      </c>
      <c r="H28" s="13">
        <f t="shared" si="2"/>
        <v>0</v>
      </c>
      <c r="I28" s="45" t="str">
        <f t="shared" si="3"/>
        <v/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I$28"/>
  <mergeCells count="2">
    <mergeCell ref="A1:I1"/>
    <mergeCell ref="A2:I2"/>
  </mergeCells>
  <conditionalFormatting sqref="F4:F28">
    <cfRule type="expression" dxfId="4" priority="1">
      <formula>AND(F4&lt;&gt;"",F4&gt;0,F4&lt;E4)</formula>
    </cfRule>
  </conditionalFormatting>
  <conditionalFormatting sqref="I4:I28">
    <cfRule type="expression" dxfId="1" priority="2">
      <formula>AND(I4&lt;&gt;"",I4&lt;0.2)</formula>
    </cfRule>
  </conditionalFormatting>
  <conditionalFormatting sqref="I4:I28">
    <cfRule type="expression" dxfId="2" priority="3">
      <formula>AND(I4&lt;&gt;"",I4&gt;=0.2,I4&lt;0.35)</formula>
    </cfRule>
  </conditionalFormatting>
  <conditionalFormatting sqref="I4:I28">
    <cfRule type="expression" dxfId="0" priority="4">
      <formula>AND(I4&lt;&gt;"",I4&gt;=0.35)</formula>
    </cfRule>
  </conditionalFormatting>
  <dataValidations>
    <dataValidation type="list" allowBlank="1" sqref="A15:A16">
      <formula1>LISTA_PRODUCTOS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6E"/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4" width="32.0"/>
    <col customWidth="1" min="5" max="26" width="8.71"/>
  </cols>
  <sheetData>
    <row r="1" ht="27.75" customHeight="1">
      <c r="A1" s="48" t="s">
        <v>107</v>
      </c>
      <c r="B1" s="2"/>
      <c r="C1" s="2"/>
      <c r="D1" s="3"/>
    </row>
    <row r="3" ht="31.5" customHeight="1">
      <c r="A3" s="49" t="s">
        <v>5</v>
      </c>
      <c r="B3" s="49" t="s">
        <v>108</v>
      </c>
      <c r="C3" s="49" t="s">
        <v>109</v>
      </c>
      <c r="D3" s="49" t="s">
        <v>18</v>
      </c>
    </row>
    <row r="4" ht="15.0" customHeight="1">
      <c r="A4" s="17" t="s">
        <v>20</v>
      </c>
      <c r="B4" s="17"/>
      <c r="C4" s="17"/>
      <c r="D4" s="17" t="s">
        <v>110</v>
      </c>
    </row>
    <row r="5" ht="15.0" customHeight="1">
      <c r="A5" s="17" t="s">
        <v>31</v>
      </c>
      <c r="B5" s="17"/>
      <c r="C5" s="17"/>
      <c r="D5" s="17" t="s">
        <v>110</v>
      </c>
    </row>
    <row r="6" ht="15.0" customHeight="1">
      <c r="A6" s="17"/>
      <c r="B6" s="17"/>
      <c r="C6" s="17"/>
      <c r="D6" s="17"/>
    </row>
    <row r="7" ht="15.0" customHeight="1">
      <c r="A7" s="17"/>
      <c r="B7" s="17"/>
      <c r="C7" s="17"/>
      <c r="D7" s="17"/>
    </row>
    <row r="8" ht="15.0" customHeight="1">
      <c r="A8" s="17"/>
      <c r="B8" s="17"/>
      <c r="C8" s="17"/>
      <c r="D8" s="17"/>
    </row>
    <row r="9" ht="15.0" customHeight="1">
      <c r="A9" s="17"/>
      <c r="B9" s="17"/>
      <c r="C9" s="17"/>
      <c r="D9" s="17"/>
    </row>
    <row r="10" ht="15.0" customHeight="1">
      <c r="A10" s="17"/>
      <c r="B10" s="17"/>
      <c r="C10" s="17"/>
      <c r="D10" s="17"/>
    </row>
    <row r="11" ht="15.0" customHeight="1">
      <c r="A11" s="17"/>
      <c r="B11" s="17"/>
      <c r="C11" s="17"/>
      <c r="D11" s="17"/>
    </row>
    <row r="12" ht="15.0" customHeight="1">
      <c r="A12" s="17"/>
      <c r="B12" s="17"/>
      <c r="C12" s="17"/>
      <c r="D12" s="17"/>
    </row>
    <row r="13" ht="15.0" customHeight="1">
      <c r="A13" s="17"/>
      <c r="B13" s="17"/>
      <c r="C13" s="17"/>
      <c r="D13" s="17"/>
    </row>
    <row r="14" ht="15.0" customHeight="1">
      <c r="A14" s="17"/>
      <c r="B14" s="17"/>
      <c r="C14" s="17"/>
      <c r="D14" s="17"/>
    </row>
    <row r="15" ht="15.0" customHeight="1">
      <c r="A15" s="17"/>
      <c r="B15" s="17"/>
      <c r="C15" s="17"/>
      <c r="D15" s="17"/>
    </row>
    <row r="16" ht="15.0" customHeight="1">
      <c r="A16" s="17"/>
      <c r="B16" s="17"/>
      <c r="C16" s="17"/>
      <c r="D16" s="17"/>
    </row>
    <row r="17" ht="15.0" customHeight="1">
      <c r="A17" s="17"/>
      <c r="B17" s="17"/>
      <c r="C17" s="17"/>
      <c r="D17" s="17"/>
    </row>
    <row r="18" ht="15.0" customHeight="1">
      <c r="A18" s="17"/>
      <c r="B18" s="17"/>
      <c r="C18" s="17"/>
      <c r="D18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6.0"/>
    <col customWidth="1" min="3" max="26" width="8.71"/>
  </cols>
  <sheetData>
    <row r="1" ht="27.75" customHeight="1">
      <c r="A1" s="50" t="s">
        <v>111</v>
      </c>
      <c r="B1" s="3"/>
    </row>
    <row r="3" ht="31.5" customHeight="1">
      <c r="A3" s="51" t="s">
        <v>7</v>
      </c>
      <c r="B3" s="51" t="s">
        <v>18</v>
      </c>
    </row>
    <row r="4" ht="15.0" customHeight="1">
      <c r="A4" s="41" t="s">
        <v>34</v>
      </c>
      <c r="B4" s="17"/>
    </row>
    <row r="5" ht="15.0" customHeight="1">
      <c r="A5" s="41" t="s">
        <v>22</v>
      </c>
      <c r="B5" s="17"/>
    </row>
    <row r="6" ht="15.0" customHeight="1">
      <c r="A6" s="41" t="s">
        <v>112</v>
      </c>
      <c r="B6" s="17"/>
    </row>
    <row r="7" ht="15.0" customHeight="1">
      <c r="A7" s="41" t="s">
        <v>113</v>
      </c>
      <c r="B7" s="17"/>
    </row>
    <row r="8" ht="15.0" customHeight="1">
      <c r="A8" s="41" t="s">
        <v>30</v>
      </c>
      <c r="B8" s="17"/>
    </row>
    <row r="9" ht="15.0" customHeight="1">
      <c r="A9" s="41" t="s">
        <v>47</v>
      </c>
      <c r="B9" s="17"/>
    </row>
    <row r="10" ht="15.0" customHeight="1">
      <c r="A10" s="41" t="s">
        <v>46</v>
      </c>
      <c r="B10" s="17"/>
    </row>
    <row r="11" ht="15.0" customHeight="1">
      <c r="A11" s="41" t="s">
        <v>114</v>
      </c>
      <c r="B11" s="17"/>
    </row>
    <row r="12" ht="15.0" customHeight="1">
      <c r="A12" s="41" t="s">
        <v>40</v>
      </c>
      <c r="B12" s="17"/>
    </row>
    <row r="13" ht="15.0" customHeight="1">
      <c r="A13" s="41" t="s">
        <v>44</v>
      </c>
      <c r="B13" s="17"/>
    </row>
    <row r="14" ht="15.0" customHeight="1">
      <c r="A14" s="41" t="s">
        <v>115</v>
      </c>
      <c r="B14" s="17"/>
    </row>
    <row r="15" ht="15.0" customHeight="1">
      <c r="A15" s="41" t="s">
        <v>28</v>
      </c>
      <c r="B15" s="17"/>
    </row>
    <row r="16" ht="15.0" customHeight="1">
      <c r="A16" s="41" t="s">
        <v>116</v>
      </c>
      <c r="B16" s="17"/>
    </row>
    <row r="17" ht="15.0" customHeight="1">
      <c r="A17" s="41" t="s">
        <v>36</v>
      </c>
      <c r="B17" s="17"/>
    </row>
    <row r="18" ht="15.0" customHeight="1">
      <c r="A18" s="41" t="s">
        <v>24</v>
      </c>
      <c r="B18" s="17"/>
    </row>
    <row r="19" ht="15.0" customHeight="1">
      <c r="A19" s="41" t="s">
        <v>52</v>
      </c>
      <c r="B19" s="17"/>
    </row>
    <row r="20" ht="15.0" customHeight="1">
      <c r="A20" s="41" t="s">
        <v>35</v>
      </c>
      <c r="B20" s="17"/>
    </row>
    <row r="21" ht="15.0" customHeight="1">
      <c r="A21" s="41" t="s">
        <v>117</v>
      </c>
      <c r="B21" s="17"/>
    </row>
    <row r="22" ht="15.0" customHeight="1">
      <c r="A22" s="41" t="s">
        <v>26</v>
      </c>
      <c r="B22" s="17"/>
    </row>
    <row r="23" ht="15.0" customHeight="1">
      <c r="A23" s="41" t="s">
        <v>118</v>
      </c>
      <c r="B23" s="17"/>
    </row>
    <row r="24" ht="15.0" customHeight="1">
      <c r="A24" s="41" t="s">
        <v>119</v>
      </c>
      <c r="B24" s="17"/>
    </row>
    <row r="25" ht="15.0" customHeight="1">
      <c r="A25" s="41" t="s">
        <v>120</v>
      </c>
      <c r="B25" s="17"/>
    </row>
    <row r="26" ht="15.0" customHeight="1">
      <c r="A26" s="41" t="s">
        <v>39</v>
      </c>
      <c r="B26" s="17"/>
    </row>
    <row r="27" ht="15.0" customHeight="1">
      <c r="A27" s="41" t="s">
        <v>121</v>
      </c>
      <c r="B27" s="17"/>
    </row>
    <row r="28" ht="15.0" customHeight="1">
      <c r="A28" s="41" t="s">
        <v>122</v>
      </c>
      <c r="B28" s="17"/>
    </row>
    <row r="29" ht="15.0" customHeight="1">
      <c r="A29" s="41" t="s">
        <v>123</v>
      </c>
      <c r="B29" s="17"/>
    </row>
    <row r="30" ht="15.0" customHeight="1">
      <c r="A30" s="41" t="s">
        <v>124</v>
      </c>
      <c r="B30" s="17"/>
    </row>
    <row r="31" ht="15.0" customHeight="1">
      <c r="A31" s="41" t="s">
        <v>125</v>
      </c>
      <c r="B31" s="17"/>
    </row>
    <row r="32" ht="15.0" customHeight="1">
      <c r="A32" s="41" t="s">
        <v>126</v>
      </c>
      <c r="B32" s="17"/>
    </row>
    <row r="33" ht="15.0" customHeight="1">
      <c r="A33" s="41" t="s">
        <v>127</v>
      </c>
      <c r="B33" s="17"/>
    </row>
    <row r="34" ht="15.0" customHeight="1">
      <c r="A34" s="17"/>
      <c r="B34" s="17"/>
    </row>
    <row r="35" ht="15.0" customHeight="1">
      <c r="A35" s="17"/>
      <c r="B35" s="17"/>
    </row>
    <row r="36" ht="15.0" customHeight="1">
      <c r="A36" s="17"/>
      <c r="B36" s="17"/>
    </row>
    <row r="37" ht="15.0" customHeight="1">
      <c r="A37" s="17"/>
      <c r="B37" s="17"/>
    </row>
    <row r="38" ht="15.0" customHeight="1">
      <c r="A38" s="17"/>
      <c r="B38" s="17"/>
    </row>
    <row r="39" ht="15.0" customHeight="1">
      <c r="A39" s="17"/>
      <c r="B39" s="17"/>
    </row>
    <row r="40" ht="15.0" customHeight="1">
      <c r="A40" s="17"/>
      <c r="B40" s="17"/>
    </row>
    <row r="41" ht="15.0" customHeight="1">
      <c r="A41" s="17"/>
      <c r="B41" s="17"/>
    </row>
    <row r="42" ht="15.0" customHeight="1">
      <c r="A42" s="17"/>
      <c r="B42" s="17"/>
    </row>
    <row r="43" ht="15.0" customHeight="1">
      <c r="A43" s="17"/>
      <c r="B43" s="17"/>
    </row>
    <row r="44" ht="15.0" customHeight="1">
      <c r="A44" s="17"/>
      <c r="B44" s="17"/>
    </row>
    <row r="45" ht="15.0" customHeight="1">
      <c r="A45" s="17"/>
      <c r="B45" s="17"/>
    </row>
    <row r="46" ht="15.0" customHeight="1">
      <c r="A46" s="17"/>
      <c r="B46" s="17"/>
    </row>
    <row r="47" ht="15.0" customHeight="1">
      <c r="A47" s="17"/>
      <c r="B47" s="17"/>
    </row>
    <row r="48" ht="15.0" customHeight="1">
      <c r="A48" s="17"/>
      <c r="B48" s="17"/>
    </row>
    <row r="49" ht="15.0" customHeight="1">
      <c r="A49" s="17"/>
      <c r="B49" s="17"/>
    </row>
    <row r="50" ht="15.0" customHeight="1">
      <c r="A50" s="17"/>
      <c r="B50" s="17"/>
    </row>
    <row r="51" ht="15.0" customHeight="1">
      <c r="A51" s="17"/>
      <c r="B51" s="17"/>
    </row>
    <row r="52" ht="15.0" customHeight="1">
      <c r="A52" s="17"/>
      <c r="B52" s="17"/>
    </row>
    <row r="53" ht="15.0" customHeight="1">
      <c r="A53" s="17"/>
      <c r="B53" s="17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5" width="11.0"/>
    <col customWidth="1" min="6" max="6" width="13.14"/>
    <col customWidth="1" min="7" max="7" width="14.0"/>
    <col customWidth="1" min="8" max="26" width="9.0"/>
    <col customWidth="1" min="27" max="27" width="10.0"/>
  </cols>
  <sheetData>
    <row r="1" ht="27.75" customHeight="1">
      <c r="A1" s="1" t="s">
        <v>128</v>
      </c>
      <c r="B1" s="2"/>
      <c r="C1" s="2"/>
      <c r="D1" s="2"/>
      <c r="E1" s="2"/>
      <c r="F1" s="2"/>
      <c r="G1" s="2"/>
      <c r="H1" s="2"/>
      <c r="I1" s="2"/>
      <c r="J1" s="3"/>
    </row>
    <row r="2" ht="15.0" customHeight="1">
      <c r="A2" s="52" t="s">
        <v>129</v>
      </c>
      <c r="B2" s="53">
        <f>EOMONTH(TODAY(),-1)+1</f>
        <v>46143</v>
      </c>
      <c r="C2" s="54" t="s">
        <v>130</v>
      </c>
    </row>
    <row r="4" ht="21.75" customHeight="1">
      <c r="A4" s="55" t="s">
        <v>131</v>
      </c>
      <c r="B4" s="3"/>
      <c r="C4" s="56" t="s">
        <v>132</v>
      </c>
      <c r="D4" s="3"/>
      <c r="E4" s="57" t="s">
        <v>133</v>
      </c>
      <c r="F4" s="3"/>
      <c r="G4" s="58" t="s">
        <v>134</v>
      </c>
      <c r="H4" s="3"/>
    </row>
    <row r="5" ht="31.5" customHeight="1">
      <c r="A5" s="59">
        <f>SUMIFS(COBROS_DIARIOS!$M$4:$M$505,COBROS_DIARIOS!$A$4:$A$505,"&gt;="&amp;$B$2,COBROS_DIARIOS!$A$4:$A$505,"&lt;="&amp;EOMONTH($B$2,0),COBROS_DIARIOS!$P$4:$P$505,"PAGADO")</f>
        <v>0</v>
      </c>
      <c r="B5" s="3"/>
      <c r="C5" s="59">
        <f>SUMIFS(COBROS_DIARIOS!$M$4:$M$505,COBROS_DIARIOS!$A$4:$A$505,"&gt;="&amp;$B$2,COBROS_DIARIOS!$A$4:$A$505,"&lt;="&amp;EOMONTH($B$2,0),COBROS_DIARIOS!$P$4:$P$505,"PENDIENTE")+SUMIFS(COBROS_DIARIOS!$M$4:$M$505,COBROS_DIARIOS!$A$4:$A$505,"&gt;="&amp;$B$2,COBROS_DIARIOS!$A$4:$A$505,"&lt;="&amp;EOMONTH($B$2,0),COBROS_DIARIOS!$P$4:$P$505,"PARCIAL")</f>
        <v>80793.1</v>
      </c>
      <c r="D5" s="3"/>
      <c r="E5" s="59">
        <f>SUMIFS(COBROS_DIARIOS!$M$4:$M$505,COBROS_DIARIOS!$A$4:$A$505,"&gt;="&amp;$B$2,COBROS_DIARIOS!$A$4:$A$505,"&lt;="&amp;EOMONTH($B$2,0),COBROS_DIARIOS!$P$4:$P$505,"ENTREGADO SIN FACTURAR")</f>
        <v>0</v>
      </c>
      <c r="F5" s="3"/>
      <c r="G5" s="59">
        <f>SUMIFS(COBROS_DIARIOS!$M$4:$M$505,COBROS_DIARIOS!$A$4:$A$505,"&gt;="&amp;$B$2,COBROS_DIARIOS!$A$4:$A$505,"&lt;="&amp;EOMONTH($B$2,0))</f>
        <v>82583.2</v>
      </c>
      <c r="H5" s="3"/>
    </row>
    <row r="6" ht="21.75" customHeight="1">
      <c r="A6" s="60" t="s">
        <v>135</v>
      </c>
      <c r="B6" s="3"/>
      <c r="C6" s="55" t="s">
        <v>136</v>
      </c>
      <c r="D6" s="3"/>
      <c r="E6" s="61" t="s">
        <v>137</v>
      </c>
      <c r="F6" s="3"/>
      <c r="G6" s="62" t="s">
        <v>138</v>
      </c>
      <c r="H6" s="3"/>
    </row>
    <row r="7" ht="31.5" customHeight="1">
      <c r="A7" s="59">
        <f>SUMIFS(COBROS_DIARIOS!$N$4:$N$505,COBROS_DIARIOS!$A$4:$A$505,"&gt;="&amp;$B$2,COBROS_DIARIOS!$A$4:$A$505,"&lt;="&amp;EOMONTH($B$2,0),COBROS_DIARIOS!$P$4:$P$505,"PAGADO")</f>
        <v>0</v>
      </c>
      <c r="B7" s="3"/>
      <c r="C7" s="59">
        <f>SUMIFS(COBROS_DIARIOS!$O$4:$O$505,COBROS_DIARIOS!$A$4:$A$505,"&gt;="&amp;$B$2,COBROS_DIARIOS!$A$4:$A$505,"&lt;="&amp;EOMONTH($B$2,0),COBROS_DIARIOS!$P$4:$P$505,"PAGADO")</f>
        <v>0</v>
      </c>
      <c r="D7" s="3"/>
      <c r="E7" s="63">
        <f>SUMIFS(COBROS_DIARIOS!$K$4:$K$505,COBROS_DIARIOS!$A$4:$A$505,"&gt;="&amp;$B$2,COBROS_DIARIOS!$A$4:$A$505,"&lt;="&amp;EOMONTH($B$2,0),COBROS_DIARIOS!$P$4:$P$505,"PAGADO")</f>
        <v>0</v>
      </c>
      <c r="F7" s="3"/>
      <c r="G7" s="63">
        <f>COUNTIFS(COBROS_DIARIOS!$A$4:$A$505,"&gt;="&amp;$B$2,COBROS_DIARIOS!$A$4:$A$505,"&lt;="&amp;EOMONTH($B$2,0))</f>
        <v>253</v>
      </c>
      <c r="H7" s="3"/>
    </row>
    <row r="9" ht="21.75" customHeight="1">
      <c r="A9" s="64" t="s">
        <v>139</v>
      </c>
      <c r="B9" s="2"/>
      <c r="C9" s="2"/>
      <c r="D9" s="2"/>
      <c r="E9" s="2"/>
      <c r="F9" s="2"/>
      <c r="G9" s="3"/>
    </row>
    <row r="10" ht="31.5" customHeight="1">
      <c r="A10" s="40" t="s">
        <v>6</v>
      </c>
      <c r="B10" s="40" t="s">
        <v>8</v>
      </c>
      <c r="C10" s="40" t="s">
        <v>9</v>
      </c>
      <c r="D10" s="40" t="s">
        <v>10</v>
      </c>
      <c r="E10" s="40" t="s">
        <v>11</v>
      </c>
      <c r="F10" s="40" t="s">
        <v>140</v>
      </c>
      <c r="G10" s="40" t="s">
        <v>141</v>
      </c>
    </row>
    <row r="11" ht="15.0" customHeight="1">
      <c r="A11" s="65" t="str">
        <f>IFERROR(IF(PRODUCTOS!A4="","",PRODUCTOS!A4),"")</f>
        <v>jersey manga corta</v>
      </c>
      <c r="B11" s="66">
        <f>IF(A11="","",SUMIFS(COBROS_DIARIOS!$G$4:$G$505,COBROS_DIARIOS!$E$4:$E$505,A11,COBROS_DIARIOS!$A$4:$A$505,"&gt;="&amp;$B$2,COBROS_DIARIOS!$A$4:$A$505,"&lt;="&amp;EOMONTH($B$2,0)))</f>
        <v>959</v>
      </c>
      <c r="C11" s="66">
        <f>IF(A11="","",SUMIFS(COBROS_DIARIOS!$H$4:$H$505,COBROS_DIARIOS!$E$4:$E$505,A11,COBROS_DIARIOS!$A$4:$A$505,"&gt;="&amp;$B$2,COBROS_DIARIOS!$A$4:$A$505,"&lt;="&amp;EOMONTH($B$2,0)))</f>
        <v>1969</v>
      </c>
      <c r="D11" s="66">
        <f>IF(A11="","",SUMIFS(COBROS_DIARIOS!$I$4:$I$505,COBROS_DIARIOS!$E$4:$E$505,A11,COBROS_DIARIOS!$A$4:$A$505,"&gt;="&amp;$B$2,COBROS_DIARIOS!$A$4:$A$505,"&lt;="&amp;EOMONTH($B$2,0)))</f>
        <v>1577</v>
      </c>
      <c r="E11" s="66">
        <f>IF(A11="","",SUMIFS(COBROS_DIARIOS!$J$4:$J$505,COBROS_DIARIOS!$E$4:$E$505,A11,COBROS_DIARIOS!$A$4:$A$505,"&gt;="&amp;$B$2,COBROS_DIARIOS!$A$4:$A$505,"&lt;="&amp;EOMONTH($B$2,0)))</f>
        <v>1016</v>
      </c>
      <c r="F11" s="67">
        <f t="shared" ref="F11:F35" si="1">IF(A11="","",B11+C11+D11+E11)</f>
        <v>5521</v>
      </c>
      <c r="G11" s="68">
        <f>IF(A11="","",SUMIFS(COBROS_DIARIOS!$M$4:$M$505,COBROS_DIARIOS!$E$4:$E$505,A11,COBROS_DIARIOS!$A$4:$A$505,"&gt;="&amp;$B$2,COBROS_DIARIOS!$A$4:$A$505,"&lt;="&amp;EOMONTH($B$2,0)))</f>
        <v>9385.7</v>
      </c>
    </row>
    <row r="12" ht="15.0" customHeight="1">
      <c r="A12" s="65" t="str">
        <f>IFERROR(IF(PRODUCTOS!A5="","",PRODUCTOS!A5),"")</f>
        <v>jersey manga larga</v>
      </c>
      <c r="B12" s="66">
        <f>IF(A12="","",SUMIFS(COBROS_DIARIOS!$G$4:$G$505,COBROS_DIARIOS!$E$4:$E$505,A12,COBROS_DIARIOS!$A$4:$A$505,"&gt;="&amp;$B$2,COBROS_DIARIOS!$A$4:$A$505,"&lt;="&amp;EOMONTH($B$2,0)))</f>
        <v>513</v>
      </c>
      <c r="C12" s="66">
        <f>IF(A12="","",SUMIFS(COBROS_DIARIOS!$H$4:$H$505,COBROS_DIARIOS!$E$4:$E$505,A12,COBROS_DIARIOS!$A$4:$A$505,"&gt;="&amp;$B$2,COBROS_DIARIOS!$A$4:$A$505,"&lt;="&amp;EOMONTH($B$2,0)))</f>
        <v>830</v>
      </c>
      <c r="D12" s="66">
        <f>IF(A12="","",SUMIFS(COBROS_DIARIOS!$I$4:$I$505,COBROS_DIARIOS!$E$4:$E$505,A12,COBROS_DIARIOS!$A$4:$A$505,"&gt;="&amp;$B$2,COBROS_DIARIOS!$A$4:$A$505,"&lt;="&amp;EOMONTH($B$2,0)))</f>
        <v>990</v>
      </c>
      <c r="E12" s="66">
        <f>IF(A12="","",SUMIFS(COBROS_DIARIOS!$J$4:$J$505,COBROS_DIARIOS!$E$4:$E$505,A12,COBROS_DIARIOS!$A$4:$A$505,"&gt;="&amp;$B$2,COBROS_DIARIOS!$A$4:$A$505,"&lt;="&amp;EOMONTH($B$2,0)))</f>
        <v>514</v>
      </c>
      <c r="F12" s="67">
        <f t="shared" si="1"/>
        <v>2847</v>
      </c>
      <c r="G12" s="68">
        <f>IF(A12="","",SUMIFS(COBROS_DIARIOS!$M$4:$M$505,COBROS_DIARIOS!$E$4:$E$505,A12,COBROS_DIARIOS!$A$4:$A$505,"&gt;="&amp;$B$2,COBROS_DIARIOS!$A$4:$A$505,"&lt;="&amp;EOMONTH($B$2,0)))</f>
        <v>5694</v>
      </c>
    </row>
    <row r="13" ht="15.0" customHeight="1">
      <c r="A13" s="65" t="str">
        <f>IFERROR(IF(PRODUCTOS!A6="","",PRODUCTOS!A6),"")</f>
        <v>wafle clasico</v>
      </c>
      <c r="B13" s="66">
        <f>IF(A13="","",SUMIFS(COBROS_DIARIOS!$G$4:$G$505,COBROS_DIARIOS!$E$4:$E$505,A13,COBROS_DIARIOS!$A$4:$A$505,"&gt;="&amp;$B$2,COBROS_DIARIOS!$A$4:$A$505,"&lt;="&amp;EOMONTH($B$2,0)))</f>
        <v>1520</v>
      </c>
      <c r="C13" s="66">
        <f>IF(A13="","",SUMIFS(COBROS_DIARIOS!$H$4:$H$505,COBROS_DIARIOS!$E$4:$E$505,A13,COBROS_DIARIOS!$A$4:$A$505,"&gt;="&amp;$B$2,COBROS_DIARIOS!$A$4:$A$505,"&lt;="&amp;EOMONTH($B$2,0)))</f>
        <v>2386</v>
      </c>
      <c r="D13" s="66">
        <f>IF(A13="","",SUMIFS(COBROS_DIARIOS!$I$4:$I$505,COBROS_DIARIOS!$E$4:$E$505,A13,COBROS_DIARIOS!$A$4:$A$505,"&gt;="&amp;$B$2,COBROS_DIARIOS!$A$4:$A$505,"&lt;="&amp;EOMONTH($B$2,0)))</f>
        <v>2565</v>
      </c>
      <c r="E13" s="66">
        <f>IF(A13="","",SUMIFS(COBROS_DIARIOS!$J$4:$J$505,COBROS_DIARIOS!$E$4:$E$505,A13,COBROS_DIARIOS!$A$4:$A$505,"&gt;="&amp;$B$2,COBROS_DIARIOS!$A$4:$A$505,"&lt;="&amp;EOMONTH($B$2,0)))</f>
        <v>1477</v>
      </c>
      <c r="F13" s="67">
        <f t="shared" si="1"/>
        <v>7948</v>
      </c>
      <c r="G13" s="68">
        <f>IF(A13="","",SUMIFS(COBROS_DIARIOS!$M$4:$M$505,COBROS_DIARIOS!$E$4:$E$505,A13,COBROS_DIARIOS!$A$4:$A$505,"&gt;="&amp;$B$2,COBROS_DIARIOS!$A$4:$A$505,"&lt;="&amp;EOMONTH($B$2,0)))</f>
        <v>13511.6</v>
      </c>
    </row>
    <row r="14" ht="15.0" customHeight="1">
      <c r="A14" s="65" t="str">
        <f>IFERROR(IF(PRODUCTOS!A7="","",PRODUCTOS!A7),"")</f>
        <v>wafle manga larga</v>
      </c>
      <c r="B14" s="66">
        <f>IF(A14="","",SUMIFS(COBROS_DIARIOS!$G$4:$G$505,COBROS_DIARIOS!$E$4:$E$505,A14,COBROS_DIARIOS!$A$4:$A$505,"&gt;="&amp;$B$2,COBROS_DIARIOS!$A$4:$A$505,"&lt;="&amp;EOMONTH($B$2,0)))</f>
        <v>134</v>
      </c>
      <c r="C14" s="66">
        <f>IF(A14="","",SUMIFS(COBROS_DIARIOS!$H$4:$H$505,COBROS_DIARIOS!$E$4:$E$505,A14,COBROS_DIARIOS!$A$4:$A$505,"&gt;="&amp;$B$2,COBROS_DIARIOS!$A$4:$A$505,"&lt;="&amp;EOMONTH($B$2,0)))</f>
        <v>358</v>
      </c>
      <c r="D14" s="66">
        <f>IF(A14="","",SUMIFS(COBROS_DIARIOS!$I$4:$I$505,COBROS_DIARIOS!$E$4:$E$505,A14,COBROS_DIARIOS!$A$4:$A$505,"&gt;="&amp;$B$2,COBROS_DIARIOS!$A$4:$A$505,"&lt;="&amp;EOMONTH($B$2,0)))</f>
        <v>315</v>
      </c>
      <c r="E14" s="66">
        <f>IF(A14="","",SUMIFS(COBROS_DIARIOS!$J$4:$J$505,COBROS_DIARIOS!$E$4:$E$505,A14,COBROS_DIARIOS!$A$4:$A$505,"&gt;="&amp;$B$2,COBROS_DIARIOS!$A$4:$A$505,"&lt;="&amp;EOMONTH($B$2,0)))</f>
        <v>135</v>
      </c>
      <c r="F14" s="67">
        <f t="shared" si="1"/>
        <v>942</v>
      </c>
      <c r="G14" s="68">
        <f>IF(A14="","",SUMIFS(COBROS_DIARIOS!$M$4:$M$505,COBROS_DIARIOS!$E$4:$E$505,A14,COBROS_DIARIOS!$A$4:$A$505,"&gt;="&amp;$B$2,COBROS_DIARIOS!$A$4:$A$505,"&lt;="&amp;EOMONTH($B$2,0)))</f>
        <v>1884</v>
      </c>
    </row>
    <row r="15" ht="15.0" customHeight="1">
      <c r="A15" s="65" t="str">
        <f>IFERROR(IF(PRODUCTOS!A8="","",PRODUCTOS!A8),"")</f>
        <v>wafle camisero</v>
      </c>
      <c r="B15" s="66">
        <f>IF(A15="","",SUMIFS(COBROS_DIARIOS!$G$4:$G$505,COBROS_DIARIOS!$E$4:$E$505,A15,COBROS_DIARIOS!$A$4:$A$505,"&gt;="&amp;$B$2,COBROS_DIARIOS!$A$4:$A$505,"&lt;="&amp;EOMONTH($B$2,0)))</f>
        <v>82</v>
      </c>
      <c r="C15" s="66">
        <f>IF(A15="","",SUMIFS(COBROS_DIARIOS!$H$4:$H$505,COBROS_DIARIOS!$E$4:$E$505,A15,COBROS_DIARIOS!$A$4:$A$505,"&gt;="&amp;$B$2,COBROS_DIARIOS!$A$4:$A$505,"&lt;="&amp;EOMONTH($B$2,0)))</f>
        <v>294</v>
      </c>
      <c r="D15" s="66">
        <f>IF(A15="","",SUMIFS(COBROS_DIARIOS!$I$4:$I$505,COBROS_DIARIOS!$E$4:$E$505,A15,COBROS_DIARIOS!$A$4:$A$505,"&gt;="&amp;$B$2,COBROS_DIARIOS!$A$4:$A$505,"&lt;="&amp;EOMONTH($B$2,0)))</f>
        <v>11</v>
      </c>
      <c r="E15" s="66">
        <f>IF(A15="","",SUMIFS(COBROS_DIARIOS!$J$4:$J$505,COBROS_DIARIOS!$E$4:$E$505,A15,COBROS_DIARIOS!$A$4:$A$505,"&gt;="&amp;$B$2,COBROS_DIARIOS!$A$4:$A$505,"&lt;="&amp;EOMONTH($B$2,0)))</f>
        <v>80</v>
      </c>
      <c r="F15" s="67">
        <f t="shared" si="1"/>
        <v>467</v>
      </c>
      <c r="G15" s="68">
        <f>IF(A15="","",SUMIFS(COBROS_DIARIOS!$M$4:$M$505,COBROS_DIARIOS!$E$4:$E$505,A15,COBROS_DIARIOS!$A$4:$A$505,"&gt;="&amp;$B$2,COBROS_DIARIOS!$A$4:$A$505,"&lt;="&amp;EOMONTH($B$2,0)))</f>
        <v>1868</v>
      </c>
    </row>
    <row r="16" ht="15.0" customHeight="1">
      <c r="A16" s="65" t="str">
        <f>IFERROR(IF(PRODUCTOS!A9="","",PRODUCTOS!A9),"")</f>
        <v>pique camisero</v>
      </c>
      <c r="B16" s="66">
        <f>IF(A16="","",SUMIFS(COBROS_DIARIOS!$G$4:$G$505,COBROS_DIARIOS!$E$4:$E$505,A16,COBROS_DIARIOS!$A$4:$A$505,"&gt;="&amp;$B$2,COBROS_DIARIOS!$A$4:$A$505,"&lt;="&amp;EOMONTH($B$2,0)))</f>
        <v>772</v>
      </c>
      <c r="C16" s="66">
        <f>IF(A16="","",SUMIFS(COBROS_DIARIOS!$H$4:$H$505,COBROS_DIARIOS!$E$4:$E$505,A16,COBROS_DIARIOS!$A$4:$A$505,"&gt;="&amp;$B$2,COBROS_DIARIOS!$A$4:$A$505,"&lt;="&amp;EOMONTH($B$2,0)))</f>
        <v>1331</v>
      </c>
      <c r="D16" s="66">
        <f>IF(A16="","",SUMIFS(COBROS_DIARIOS!$I$4:$I$505,COBROS_DIARIOS!$E$4:$E$505,A16,COBROS_DIARIOS!$A$4:$A$505,"&gt;="&amp;$B$2,COBROS_DIARIOS!$A$4:$A$505,"&lt;="&amp;EOMONTH($B$2,0)))</f>
        <v>1313</v>
      </c>
      <c r="E16" s="66">
        <f>IF(A16="","",SUMIFS(COBROS_DIARIOS!$J$4:$J$505,COBROS_DIARIOS!$E$4:$E$505,A16,COBROS_DIARIOS!$A$4:$A$505,"&gt;="&amp;$B$2,COBROS_DIARIOS!$A$4:$A$505,"&lt;="&amp;EOMONTH($B$2,0)))</f>
        <v>893</v>
      </c>
      <c r="F16" s="67">
        <f t="shared" si="1"/>
        <v>4309</v>
      </c>
      <c r="G16" s="68">
        <f>IF(A16="","",SUMIFS(COBROS_DIARIOS!$M$4:$M$505,COBROS_DIARIOS!$E$4:$E$505,A16,COBROS_DIARIOS!$A$4:$A$505,"&gt;="&amp;$B$2,COBROS_DIARIOS!$A$4:$A$505,"&lt;="&amp;EOMONTH($B$2,0)))</f>
        <v>17236</v>
      </c>
    </row>
    <row r="17" ht="15.0" customHeight="1">
      <c r="A17" s="65" t="str">
        <f>IFERROR(IF(PRODUCTOS!A10="","",PRODUCTOS!A10),"")</f>
        <v>top cero rib</v>
      </c>
      <c r="B17" s="66">
        <f>IF(A17="","",SUMIFS(COBROS_DIARIOS!$G$4:$G$505,COBROS_DIARIOS!$E$4:$E$505,A17,COBROS_DIARIOS!$A$4:$A$505,"&gt;="&amp;$B$2,COBROS_DIARIOS!$A$4:$A$505,"&lt;="&amp;EOMONTH($B$2,0)))</f>
        <v>0</v>
      </c>
      <c r="C17" s="66">
        <f>IF(A17="","",SUMIFS(COBROS_DIARIOS!$H$4:$H$505,COBROS_DIARIOS!$E$4:$E$505,A17,COBROS_DIARIOS!$A$4:$A$505,"&gt;="&amp;$B$2,COBROS_DIARIOS!$A$4:$A$505,"&lt;="&amp;EOMONTH($B$2,0)))</f>
        <v>0</v>
      </c>
      <c r="D17" s="66">
        <f>IF(A17="","",SUMIFS(COBROS_DIARIOS!$I$4:$I$505,COBROS_DIARIOS!$E$4:$E$505,A17,COBROS_DIARIOS!$A$4:$A$505,"&gt;="&amp;$B$2,COBROS_DIARIOS!$A$4:$A$505,"&lt;="&amp;EOMONTH($B$2,0)))</f>
        <v>0</v>
      </c>
      <c r="E17" s="66">
        <f>IF(A17="","",SUMIFS(COBROS_DIARIOS!$J$4:$J$505,COBROS_DIARIOS!$E$4:$E$505,A17,COBROS_DIARIOS!$A$4:$A$505,"&gt;="&amp;$B$2,COBROS_DIARIOS!$A$4:$A$505,"&lt;="&amp;EOMONTH($B$2,0)))</f>
        <v>0</v>
      </c>
      <c r="F17" s="67">
        <f t="shared" si="1"/>
        <v>0</v>
      </c>
      <c r="G17" s="68">
        <f>IF(A17="","",SUMIFS(COBROS_DIARIOS!$M$4:$M$505,COBROS_DIARIOS!$E$4:$E$505,A17,COBROS_DIARIOS!$A$4:$A$505,"&gt;="&amp;$B$2,COBROS_DIARIOS!$A$4:$A$505,"&lt;="&amp;EOMONTH($B$2,0)))</f>
        <v>411.4</v>
      </c>
    </row>
    <row r="18" ht="15.0" customHeight="1">
      <c r="A18" s="65" t="str">
        <f>IFERROR(IF(PRODUCTOS!A11="","",PRODUCTOS!A11),"")</f>
        <v>top mc rib</v>
      </c>
      <c r="B18" s="66">
        <f>IF(A18="","",SUMIFS(COBROS_DIARIOS!$G$4:$G$505,COBROS_DIARIOS!$E$4:$E$505,A18,COBROS_DIARIOS!$A$4:$A$505,"&gt;="&amp;$B$2,COBROS_DIARIOS!$A$4:$A$505,"&lt;="&amp;EOMONTH($B$2,0)))</f>
        <v>0</v>
      </c>
      <c r="C18" s="66">
        <f>IF(A18="","",SUMIFS(COBROS_DIARIOS!$H$4:$H$505,COBROS_DIARIOS!$E$4:$E$505,A18,COBROS_DIARIOS!$A$4:$A$505,"&gt;="&amp;$B$2,COBROS_DIARIOS!$A$4:$A$505,"&lt;="&amp;EOMONTH($B$2,0)))</f>
        <v>0</v>
      </c>
      <c r="D18" s="66">
        <f>IF(A18="","",SUMIFS(COBROS_DIARIOS!$I$4:$I$505,COBROS_DIARIOS!$E$4:$E$505,A18,COBROS_DIARIOS!$A$4:$A$505,"&gt;="&amp;$B$2,COBROS_DIARIOS!$A$4:$A$505,"&lt;="&amp;EOMONTH($B$2,0)))</f>
        <v>0</v>
      </c>
      <c r="E18" s="66">
        <f>IF(A18="","",SUMIFS(COBROS_DIARIOS!$J$4:$J$505,COBROS_DIARIOS!$E$4:$E$505,A18,COBROS_DIARIOS!$A$4:$A$505,"&gt;="&amp;$B$2,COBROS_DIARIOS!$A$4:$A$505,"&lt;="&amp;EOMONTH($B$2,0)))</f>
        <v>0</v>
      </c>
      <c r="F18" s="67">
        <f t="shared" si="1"/>
        <v>0</v>
      </c>
      <c r="G18" s="68">
        <f>IF(A18="","",SUMIFS(COBROS_DIARIOS!$M$4:$M$505,COBROS_DIARIOS!$E$4:$E$505,A18,COBROS_DIARIOS!$A$4:$A$505,"&gt;="&amp;$B$2,COBROS_DIARIOS!$A$4:$A$505,"&lt;="&amp;EOMONTH($B$2,0)))</f>
        <v>1232.5</v>
      </c>
    </row>
    <row r="19" ht="15.0" customHeight="1">
      <c r="A19" s="65" t="str">
        <f>IFERROR(IF(PRODUCTOS!A12="","",PRODUCTOS!A12),"")</f>
        <v>top ml rib</v>
      </c>
      <c r="B19" s="66">
        <f>IF(A19="","",SUMIFS(COBROS_DIARIOS!$G$4:$G$505,COBROS_DIARIOS!$E$4:$E$505,A19,COBROS_DIARIOS!$A$4:$A$505,"&gt;="&amp;$B$2,COBROS_DIARIOS!$A$4:$A$505,"&lt;="&amp;EOMONTH($B$2,0)))</f>
        <v>0</v>
      </c>
      <c r="C19" s="66">
        <f>IF(A19="","",SUMIFS(COBROS_DIARIOS!$H$4:$H$505,COBROS_DIARIOS!$E$4:$E$505,A19,COBROS_DIARIOS!$A$4:$A$505,"&gt;="&amp;$B$2,COBROS_DIARIOS!$A$4:$A$505,"&lt;="&amp;EOMONTH($B$2,0)))</f>
        <v>0</v>
      </c>
      <c r="D19" s="66">
        <f>IF(A19="","",SUMIFS(COBROS_DIARIOS!$I$4:$I$505,COBROS_DIARIOS!$E$4:$E$505,A19,COBROS_DIARIOS!$A$4:$A$505,"&gt;="&amp;$B$2,COBROS_DIARIOS!$A$4:$A$505,"&lt;="&amp;EOMONTH($B$2,0)))</f>
        <v>0</v>
      </c>
      <c r="E19" s="66">
        <f>IF(A19="","",SUMIFS(COBROS_DIARIOS!$J$4:$J$505,COBROS_DIARIOS!$E$4:$E$505,A19,COBROS_DIARIOS!$A$4:$A$505,"&gt;="&amp;$B$2,COBROS_DIARIOS!$A$4:$A$505,"&lt;="&amp;EOMONTH($B$2,0)))</f>
        <v>0</v>
      </c>
      <c r="F19" s="67">
        <f t="shared" si="1"/>
        <v>0</v>
      </c>
      <c r="G19" s="68">
        <f>IF(A19="","",SUMIFS(COBROS_DIARIOS!$M$4:$M$505,COBROS_DIARIOS!$E$4:$E$505,A19,COBROS_DIARIOS!$A$4:$A$505,"&gt;="&amp;$B$2,COBROS_DIARIOS!$A$4:$A$505,"&lt;="&amp;EOMONTH($B$2,0)))</f>
        <v>1084.6</v>
      </c>
    </row>
    <row r="20" ht="15.0" customHeight="1">
      <c r="A20" s="65" t="str">
        <f>IFERROR(IF(PRODUCTOS!A13="","",PRODUCTOS!A13),"")</f>
        <v>baby ty mc</v>
      </c>
      <c r="B20" s="66">
        <f>IF(A20="","",SUMIFS(COBROS_DIARIOS!$G$4:$G$505,COBROS_DIARIOS!$E$4:$E$505,A20,COBROS_DIARIOS!$A$4:$A$505,"&gt;="&amp;$B$2,COBROS_DIARIOS!$A$4:$A$505,"&lt;="&amp;EOMONTH($B$2,0)))</f>
        <v>634</v>
      </c>
      <c r="C20" s="66">
        <f>IF(A20="","",SUMIFS(COBROS_DIARIOS!$H$4:$H$505,COBROS_DIARIOS!$E$4:$E$505,A20,COBROS_DIARIOS!$A$4:$A$505,"&gt;="&amp;$B$2,COBROS_DIARIOS!$A$4:$A$505,"&lt;="&amp;EOMONTH($B$2,0)))</f>
        <v>671</v>
      </c>
      <c r="D20" s="66">
        <f>IF(A20="","",SUMIFS(COBROS_DIARIOS!$I$4:$I$505,COBROS_DIARIOS!$E$4:$E$505,A20,COBROS_DIARIOS!$A$4:$A$505,"&gt;="&amp;$B$2,COBROS_DIARIOS!$A$4:$A$505,"&lt;="&amp;EOMONTH($B$2,0)))</f>
        <v>667</v>
      </c>
      <c r="E20" s="66">
        <f>IF(A20="","",SUMIFS(COBROS_DIARIOS!$J$4:$J$505,COBROS_DIARIOS!$E$4:$E$505,A20,COBROS_DIARIOS!$A$4:$A$505,"&gt;="&amp;$B$2,COBROS_DIARIOS!$A$4:$A$505,"&lt;="&amp;EOMONTH($B$2,0)))</f>
        <v>0</v>
      </c>
      <c r="F20" s="67">
        <f t="shared" si="1"/>
        <v>1972</v>
      </c>
      <c r="G20" s="68">
        <f>IF(A20="","",SUMIFS(COBROS_DIARIOS!$M$4:$M$505,COBROS_DIARIOS!$E$4:$E$505,A20,COBROS_DIARIOS!$A$4:$A$505,"&gt;="&amp;$B$2,COBROS_DIARIOS!$A$4:$A$505,"&lt;="&amp;EOMONTH($B$2,0)))</f>
        <v>3352.4</v>
      </c>
    </row>
    <row r="21" ht="15.0" customHeight="1">
      <c r="A21" s="65" t="str">
        <f>IFERROR(IF(PRODUCTOS!A14="","",PRODUCTOS!A14),"")</f>
        <v>baby ty ml</v>
      </c>
      <c r="B21" s="66">
        <f>IF(A21="","",SUMIFS(COBROS_DIARIOS!$G$4:$G$505,COBROS_DIARIOS!$E$4:$E$505,A21,COBROS_DIARIOS!$A$4:$A$505,"&gt;="&amp;$B$2,COBROS_DIARIOS!$A$4:$A$505,"&lt;="&amp;EOMONTH($B$2,0)))</f>
        <v>358</v>
      </c>
      <c r="C21" s="66">
        <f>IF(A21="","",SUMIFS(COBROS_DIARIOS!$H$4:$H$505,COBROS_DIARIOS!$E$4:$E$505,A21,COBROS_DIARIOS!$A$4:$A$505,"&gt;="&amp;$B$2,COBROS_DIARIOS!$A$4:$A$505,"&lt;="&amp;EOMONTH($B$2,0)))</f>
        <v>400</v>
      </c>
      <c r="D21" s="66">
        <f>IF(A21="","",SUMIFS(COBROS_DIARIOS!$I$4:$I$505,COBROS_DIARIOS!$E$4:$E$505,A21,COBROS_DIARIOS!$A$4:$A$505,"&gt;="&amp;$B$2,COBROS_DIARIOS!$A$4:$A$505,"&lt;="&amp;EOMONTH($B$2,0)))</f>
        <v>389</v>
      </c>
      <c r="E21" s="66">
        <f>IF(A21="","",SUMIFS(COBROS_DIARIOS!$J$4:$J$505,COBROS_DIARIOS!$E$4:$E$505,A21,COBROS_DIARIOS!$A$4:$A$505,"&gt;="&amp;$B$2,COBROS_DIARIOS!$A$4:$A$505,"&lt;="&amp;EOMONTH($B$2,0)))</f>
        <v>0</v>
      </c>
      <c r="F21" s="67">
        <f t="shared" si="1"/>
        <v>1147</v>
      </c>
      <c r="G21" s="68">
        <f>IF(A21="","",SUMIFS(COBROS_DIARIOS!$M$4:$M$505,COBROS_DIARIOS!$E$4:$E$505,A21,COBROS_DIARIOS!$A$4:$A$505,"&gt;="&amp;$B$2,COBROS_DIARIOS!$A$4:$A$505,"&lt;="&amp;EOMONTH($B$2,0)))</f>
        <v>1949.9</v>
      </c>
    </row>
    <row r="22" ht="15.0" customHeight="1">
      <c r="A22" s="65" t="str">
        <f>IFERROR(IF(PRODUCTOS!A15="","",PRODUCTOS!A15),"")</f>
        <v>Baby Tee con S</v>
      </c>
      <c r="B22" s="66">
        <f>IF(A22="","",SUMIFS(COBROS_DIARIOS!$G$4:$G$505,COBROS_DIARIOS!$E$4:$E$505,A22,COBROS_DIARIOS!$A$4:$A$505,"&gt;="&amp;$B$2,COBROS_DIARIOS!$A$4:$A$505,"&lt;="&amp;EOMONTH($B$2,0)))</f>
        <v>313</v>
      </c>
      <c r="C22" s="66">
        <f>IF(A22="","",SUMIFS(COBROS_DIARIOS!$H$4:$H$505,COBROS_DIARIOS!$E$4:$E$505,A22,COBROS_DIARIOS!$A$4:$A$505,"&gt;="&amp;$B$2,COBROS_DIARIOS!$A$4:$A$505,"&lt;="&amp;EOMONTH($B$2,0)))</f>
        <v>310</v>
      </c>
      <c r="D22" s="66">
        <f>IF(A22="","",SUMIFS(COBROS_DIARIOS!$I$4:$I$505,COBROS_DIARIOS!$E$4:$E$505,A22,COBROS_DIARIOS!$A$4:$A$505,"&gt;="&amp;$B$2,COBROS_DIARIOS!$A$4:$A$505,"&lt;="&amp;EOMONTH($B$2,0)))</f>
        <v>312</v>
      </c>
      <c r="E22" s="66">
        <f>IF(A22="","",SUMIFS(COBROS_DIARIOS!$J$4:$J$505,COBROS_DIARIOS!$E$4:$E$505,A22,COBROS_DIARIOS!$A$4:$A$505,"&gt;="&amp;$B$2,COBROS_DIARIOS!$A$4:$A$505,"&lt;="&amp;EOMONTH($B$2,0)))</f>
        <v>0</v>
      </c>
      <c r="F22" s="67">
        <f t="shared" si="1"/>
        <v>935</v>
      </c>
      <c r="G22" s="68">
        <f>IF(A22="","",SUMIFS(COBROS_DIARIOS!$M$4:$M$505,COBROS_DIARIOS!$E$4:$E$505,A22,COBROS_DIARIOS!$A$4:$A$505,"&gt;="&amp;$B$2,COBROS_DIARIOS!$A$4:$A$505,"&lt;="&amp;EOMONTH($B$2,0)))</f>
        <v>1589.5</v>
      </c>
    </row>
    <row r="23" ht="15.0" customHeight="1">
      <c r="A23" s="65" t="str">
        <f>IFERROR(IF(PRODUCTOS!A16="","",PRODUCTOS!A16),"")</f>
        <v>Baby Tee M/L S</v>
      </c>
      <c r="B23" s="66">
        <f>IF(A23="","",SUMIFS(COBROS_DIARIOS!$G$4:$G$505,COBROS_DIARIOS!$E$4:$E$505,A23,COBROS_DIARIOS!$A$4:$A$505,"&gt;="&amp;$B$2,COBROS_DIARIOS!$A$4:$A$505,"&lt;="&amp;EOMONTH($B$2,0)))</f>
        <v>316</v>
      </c>
      <c r="C23" s="66">
        <f>IF(A23="","",SUMIFS(COBROS_DIARIOS!$H$4:$H$505,COBROS_DIARIOS!$E$4:$E$505,A23,COBROS_DIARIOS!$A$4:$A$505,"&gt;="&amp;$B$2,COBROS_DIARIOS!$A$4:$A$505,"&lt;="&amp;EOMONTH($B$2,0)))</f>
        <v>315</v>
      </c>
      <c r="D23" s="66">
        <f>IF(A23="","",SUMIFS(COBROS_DIARIOS!$I$4:$I$505,COBROS_DIARIOS!$E$4:$E$505,A23,COBROS_DIARIOS!$A$4:$A$505,"&gt;="&amp;$B$2,COBROS_DIARIOS!$A$4:$A$505,"&lt;="&amp;EOMONTH($B$2,0)))</f>
        <v>317</v>
      </c>
      <c r="E23" s="66">
        <f>IF(A23="","",SUMIFS(COBROS_DIARIOS!$J$4:$J$505,COBROS_DIARIOS!$E$4:$E$505,A23,COBROS_DIARIOS!$A$4:$A$505,"&gt;="&amp;$B$2,COBROS_DIARIOS!$A$4:$A$505,"&lt;="&amp;EOMONTH($B$2,0)))</f>
        <v>0</v>
      </c>
      <c r="F23" s="67">
        <f t="shared" si="1"/>
        <v>948</v>
      </c>
      <c r="G23" s="68">
        <f>IF(A23="","",SUMIFS(COBROS_DIARIOS!$M$4:$M$505,COBROS_DIARIOS!$E$4:$E$505,A23,COBROS_DIARIOS!$A$4:$A$505,"&gt;="&amp;$B$2,COBROS_DIARIOS!$A$4:$A$505,"&lt;="&amp;EOMONTH($B$2,0)))</f>
        <v>1611.6</v>
      </c>
    </row>
    <row r="24" ht="15.0" customHeight="1">
      <c r="A24" s="65" t="str">
        <f>IFERROR(IF(PRODUCTOS!A17="","",PRODUCTOS!A17),"")</f>
        <v>polera neru</v>
      </c>
      <c r="B24" s="66">
        <f>IF(A24="","",SUMIFS(COBROS_DIARIOS!$G$4:$G$505,COBROS_DIARIOS!$E$4:$E$505,A24,COBROS_DIARIOS!$A$4:$A$505,"&gt;="&amp;$B$2,COBROS_DIARIOS!$A$4:$A$505,"&lt;="&amp;EOMONTH($B$2,0)))</f>
        <v>1349</v>
      </c>
      <c r="C24" s="66">
        <f>IF(A24="","",SUMIFS(COBROS_DIARIOS!$H$4:$H$505,COBROS_DIARIOS!$E$4:$E$505,A24,COBROS_DIARIOS!$A$4:$A$505,"&gt;="&amp;$B$2,COBROS_DIARIOS!$A$4:$A$505,"&lt;="&amp;EOMONTH($B$2,0)))</f>
        <v>983</v>
      </c>
      <c r="D24" s="66">
        <f>IF(A24="","",SUMIFS(COBROS_DIARIOS!$I$4:$I$505,COBROS_DIARIOS!$E$4:$E$505,A24,COBROS_DIARIOS!$A$4:$A$505,"&gt;="&amp;$B$2,COBROS_DIARIOS!$A$4:$A$505,"&lt;="&amp;EOMONTH($B$2,0)))</f>
        <v>986</v>
      </c>
      <c r="E24" s="66">
        <f>IF(A24="","",SUMIFS(COBROS_DIARIOS!$J$4:$J$505,COBROS_DIARIOS!$E$4:$E$505,A24,COBROS_DIARIOS!$A$4:$A$505,"&gt;="&amp;$B$2,COBROS_DIARIOS!$A$4:$A$505,"&lt;="&amp;EOMONTH($B$2,0)))</f>
        <v>0</v>
      </c>
      <c r="F24" s="67">
        <f t="shared" si="1"/>
        <v>3318</v>
      </c>
      <c r="G24" s="68">
        <f>IF(A24="","",SUMIFS(COBROS_DIARIOS!$M$4:$M$505,COBROS_DIARIOS!$E$4:$E$505,A24,COBROS_DIARIOS!$A$4:$A$505,"&gt;="&amp;$B$2,COBROS_DIARIOS!$A$4:$A$505,"&lt;="&amp;EOMONTH($B$2,0)))</f>
        <v>19908</v>
      </c>
    </row>
    <row r="25" ht="15.0" customHeight="1">
      <c r="A25" s="65" t="str">
        <f>IFERROR(IF(PRODUCTOS!A18="","",PRODUCTOS!A18),"")</f>
        <v>polera boxy</v>
      </c>
      <c r="B25" s="66">
        <f>IF(A25="","",SUMIFS(COBROS_DIARIOS!$G$4:$G$505,COBROS_DIARIOS!$E$4:$E$505,A25,COBROS_DIARIOS!$A$4:$A$505,"&gt;="&amp;$B$2,COBROS_DIARIOS!$A$4:$A$505,"&lt;="&amp;EOMONTH($B$2,0)))</f>
        <v>129</v>
      </c>
      <c r="C25" s="66">
        <f>IF(A25="","",SUMIFS(COBROS_DIARIOS!$H$4:$H$505,COBROS_DIARIOS!$E$4:$E$505,A25,COBROS_DIARIOS!$A$4:$A$505,"&gt;="&amp;$B$2,COBROS_DIARIOS!$A$4:$A$505,"&lt;="&amp;EOMONTH($B$2,0)))</f>
        <v>221</v>
      </c>
      <c r="D25" s="66">
        <f>IF(A25="","",SUMIFS(COBROS_DIARIOS!$I$4:$I$505,COBROS_DIARIOS!$E$4:$E$505,A25,COBROS_DIARIOS!$A$4:$A$505,"&gt;="&amp;$B$2,COBROS_DIARIOS!$A$4:$A$505,"&lt;="&amp;EOMONTH($B$2,0)))</f>
        <v>116</v>
      </c>
      <c r="E25" s="66">
        <f>IF(A25="","",SUMIFS(COBROS_DIARIOS!$J$4:$J$505,COBROS_DIARIOS!$E$4:$E$505,A25,COBROS_DIARIOS!$A$4:$A$505,"&gt;="&amp;$B$2,COBROS_DIARIOS!$A$4:$A$505,"&lt;="&amp;EOMONTH($B$2,0)))</f>
        <v>0</v>
      </c>
      <c r="F25" s="67">
        <f t="shared" si="1"/>
        <v>466</v>
      </c>
      <c r="G25" s="68">
        <f>IF(A25="","",SUMIFS(COBROS_DIARIOS!$M$4:$M$505,COBROS_DIARIOS!$E$4:$E$505,A25,COBROS_DIARIOS!$A$4:$A$505,"&gt;="&amp;$B$2,COBROS_DIARIOS!$A$4:$A$505,"&lt;="&amp;EOMONTH($B$2,0)))</f>
        <v>1864</v>
      </c>
    </row>
    <row r="26" ht="15.0" customHeight="1">
      <c r="A26" s="65" t="str">
        <f>IFERROR(IF(PRODUCTOS!A19="","",PRODUCTOS!A19),"")</f>
        <v>pique cuello chino</v>
      </c>
      <c r="B26" s="66">
        <f>IF(A26="","",SUMIFS(COBROS_DIARIOS!$G$4:$G$505,COBROS_DIARIOS!$E$4:$E$505,A26,COBROS_DIARIOS!$A$4:$A$505,"&gt;="&amp;$B$2,COBROS_DIARIOS!$A$4:$A$505,"&lt;="&amp;EOMONTH($B$2,0)))</f>
        <v>0</v>
      </c>
      <c r="C26" s="66">
        <f>IF(A26="","",SUMIFS(COBROS_DIARIOS!$H$4:$H$505,COBROS_DIARIOS!$E$4:$E$505,A26,COBROS_DIARIOS!$A$4:$A$505,"&gt;="&amp;$B$2,COBROS_DIARIOS!$A$4:$A$505,"&lt;="&amp;EOMONTH($B$2,0)))</f>
        <v>0</v>
      </c>
      <c r="D26" s="66">
        <f>IF(A26="","",SUMIFS(COBROS_DIARIOS!$I$4:$I$505,COBROS_DIARIOS!$E$4:$E$505,A26,COBROS_DIARIOS!$A$4:$A$505,"&gt;="&amp;$B$2,COBROS_DIARIOS!$A$4:$A$505,"&lt;="&amp;EOMONTH($B$2,0)))</f>
        <v>0</v>
      </c>
      <c r="E26" s="66">
        <f>IF(A26="","",SUMIFS(COBROS_DIARIOS!$J$4:$J$505,COBROS_DIARIOS!$E$4:$E$505,A26,COBROS_DIARIOS!$A$4:$A$505,"&gt;="&amp;$B$2,COBROS_DIARIOS!$A$4:$A$505,"&lt;="&amp;EOMONTH($B$2,0)))</f>
        <v>0</v>
      </c>
      <c r="F26" s="67">
        <f t="shared" si="1"/>
        <v>0</v>
      </c>
      <c r="G26" s="68">
        <f>IF(A26="","",SUMIFS(COBROS_DIARIOS!$M$4:$M$505,COBROS_DIARIOS!$E$4:$E$505,A26,COBROS_DIARIOS!$A$4:$A$505,"&gt;="&amp;$B$2,COBROS_DIARIOS!$A$4:$A$505,"&lt;="&amp;EOMONTH($B$2,0)))</f>
        <v>0</v>
      </c>
    </row>
    <row r="27" ht="15.0" customHeight="1">
      <c r="A27" s="65" t="str">
        <f>IFERROR(IF(PRODUCTOS!A20="","",PRODUCTOS!A20),"")</f>
        <v>wafle camisa</v>
      </c>
      <c r="B27" s="66">
        <f>IF(A27="","",SUMIFS(COBROS_DIARIOS!$G$4:$G$505,COBROS_DIARIOS!$E$4:$E$505,A27,COBROS_DIARIOS!$A$4:$A$505,"&gt;="&amp;$B$2,COBROS_DIARIOS!$A$4:$A$505,"&lt;="&amp;EOMONTH($B$2,0)))</f>
        <v>118</v>
      </c>
      <c r="C27" s="66">
        <f>IF(A27="","",SUMIFS(COBROS_DIARIOS!$H$4:$H$505,COBROS_DIARIOS!$E$4:$E$505,A27,COBROS_DIARIOS!$A$4:$A$505,"&gt;="&amp;$B$2,COBROS_DIARIOS!$A$4:$A$505,"&lt;="&amp;EOMONTH($B$2,0)))</f>
        <v>246</v>
      </c>
      <c r="D27" s="66">
        <f>IF(A27="","",SUMIFS(COBROS_DIARIOS!$I$4:$I$505,COBROS_DIARIOS!$E$4:$E$505,A27,COBROS_DIARIOS!$A$4:$A$505,"&gt;="&amp;$B$2,COBROS_DIARIOS!$A$4:$A$505,"&lt;="&amp;EOMONTH($B$2,0)))</f>
        <v>248</v>
      </c>
      <c r="E27" s="66">
        <f>IF(A27="","",SUMIFS(COBROS_DIARIOS!$J$4:$J$505,COBROS_DIARIOS!$E$4:$E$505,A27,COBROS_DIARIOS!$A$4:$A$505,"&gt;="&amp;$B$2,COBROS_DIARIOS!$A$4:$A$505,"&lt;="&amp;EOMONTH($B$2,0)))</f>
        <v>125</v>
      </c>
      <c r="F27" s="67">
        <f t="shared" si="1"/>
        <v>737</v>
      </c>
      <c r="G27" s="68">
        <f>IF(A27="","",SUMIFS(COBROS_DIARIOS!$M$4:$M$505,COBROS_DIARIOS!$E$4:$E$505,A27,COBROS_DIARIOS!$A$4:$A$505,"&gt;="&amp;$B$2,COBROS_DIARIOS!$A$4:$A$505,"&lt;="&amp;EOMONTH($B$2,0)))</f>
        <v>0</v>
      </c>
    </row>
    <row r="28" ht="15.0" customHeight="1">
      <c r="A28" s="65" t="str">
        <f>IFERROR(IF(PRODUCTOS!A21="","",PRODUCTOS!A21),"")</f>
        <v/>
      </c>
      <c r="B28" s="66" t="str">
        <f>IF(A28="","",SUMIFS(COBROS_DIARIOS!$G$4:$G$505,COBROS_DIARIOS!$E$4:$E$505,A28,COBROS_DIARIOS!$A$4:$A$505,"&gt;="&amp;$B$2,COBROS_DIARIOS!$A$4:$A$505,"&lt;="&amp;EOMONTH($B$2,0)))</f>
        <v/>
      </c>
      <c r="C28" s="66" t="str">
        <f>IF(A28="","",SUMIFS(COBROS_DIARIOS!$H$4:$H$505,COBROS_DIARIOS!$E$4:$E$505,A28,COBROS_DIARIOS!$A$4:$A$505,"&gt;="&amp;$B$2,COBROS_DIARIOS!$A$4:$A$505,"&lt;="&amp;EOMONTH($B$2,0)))</f>
        <v/>
      </c>
      <c r="D28" s="66" t="str">
        <f>IF(A28="","",SUMIFS(COBROS_DIARIOS!$I$4:$I$505,COBROS_DIARIOS!$E$4:$E$505,A28,COBROS_DIARIOS!$A$4:$A$505,"&gt;="&amp;$B$2,COBROS_DIARIOS!$A$4:$A$505,"&lt;="&amp;EOMONTH($B$2,0)))</f>
        <v/>
      </c>
      <c r="E28" s="66" t="str">
        <f>IF(A28="","",SUMIFS(COBROS_DIARIOS!$J$4:$J$505,COBROS_DIARIOS!$E$4:$E$505,A28,COBROS_DIARIOS!$A$4:$A$505,"&gt;="&amp;$B$2,COBROS_DIARIOS!$A$4:$A$505,"&lt;="&amp;EOMONTH($B$2,0)))</f>
        <v/>
      </c>
      <c r="F28" s="67" t="str">
        <f t="shared" si="1"/>
        <v/>
      </c>
      <c r="G28" s="68" t="str">
        <f>IF(A28="","",SUMIFS(COBROS_DIARIOS!$M$4:$M$505,COBROS_DIARIOS!$E$4:$E$505,A28,COBROS_DIARIOS!$A$4:$A$505,"&gt;="&amp;$B$2,COBROS_DIARIOS!$A$4:$A$505,"&lt;="&amp;EOMONTH($B$2,0)))</f>
        <v/>
      </c>
    </row>
    <row r="29" ht="15.0" customHeight="1">
      <c r="A29" s="65" t="str">
        <f>IFERROR(IF(PRODUCTOS!A22="","",PRODUCTOS!A22),"")</f>
        <v/>
      </c>
      <c r="B29" s="66" t="str">
        <f>IF(A29="","",SUMIFS(COBROS_DIARIOS!$G$4:$G$505,COBROS_DIARIOS!$E$4:$E$505,A29,COBROS_DIARIOS!$A$4:$A$505,"&gt;="&amp;$B$2,COBROS_DIARIOS!$A$4:$A$505,"&lt;="&amp;EOMONTH($B$2,0)))</f>
        <v/>
      </c>
      <c r="C29" s="66" t="str">
        <f>IF(A29="","",SUMIFS(COBROS_DIARIOS!$H$4:$H$505,COBROS_DIARIOS!$E$4:$E$505,A29,COBROS_DIARIOS!$A$4:$A$505,"&gt;="&amp;$B$2,COBROS_DIARIOS!$A$4:$A$505,"&lt;="&amp;EOMONTH($B$2,0)))</f>
        <v/>
      </c>
      <c r="D29" s="66" t="str">
        <f>IF(A29="","",SUMIFS(COBROS_DIARIOS!$I$4:$I$505,COBROS_DIARIOS!$E$4:$E$505,A29,COBROS_DIARIOS!$A$4:$A$505,"&gt;="&amp;$B$2,COBROS_DIARIOS!$A$4:$A$505,"&lt;="&amp;EOMONTH($B$2,0)))</f>
        <v/>
      </c>
      <c r="E29" s="66" t="str">
        <f>IF(A29="","",SUMIFS(COBROS_DIARIOS!$J$4:$J$505,COBROS_DIARIOS!$E$4:$E$505,A29,COBROS_DIARIOS!$A$4:$A$505,"&gt;="&amp;$B$2,COBROS_DIARIOS!$A$4:$A$505,"&lt;="&amp;EOMONTH($B$2,0)))</f>
        <v/>
      </c>
      <c r="F29" s="67" t="str">
        <f t="shared" si="1"/>
        <v/>
      </c>
      <c r="G29" s="68" t="str">
        <f>IF(A29="","",SUMIFS(COBROS_DIARIOS!$M$4:$M$505,COBROS_DIARIOS!$E$4:$E$505,A29,COBROS_DIARIOS!$A$4:$A$505,"&gt;="&amp;$B$2,COBROS_DIARIOS!$A$4:$A$505,"&lt;="&amp;EOMONTH($B$2,0)))</f>
        <v/>
      </c>
    </row>
    <row r="30" ht="15.0" customHeight="1">
      <c r="A30" s="65" t="str">
        <f>IFERROR(IF(PRODUCTOS!A23="","",PRODUCTOS!A23),"")</f>
        <v/>
      </c>
      <c r="B30" s="66" t="str">
        <f>IF(A30="","",SUMIFS(COBROS_DIARIOS!$G$4:$G$505,COBROS_DIARIOS!$E$4:$E$505,A30,COBROS_DIARIOS!$A$4:$A$505,"&gt;="&amp;$B$2,COBROS_DIARIOS!$A$4:$A$505,"&lt;="&amp;EOMONTH($B$2,0)))</f>
        <v/>
      </c>
      <c r="C30" s="66" t="str">
        <f>IF(A30="","",SUMIFS(COBROS_DIARIOS!$H$4:$H$505,COBROS_DIARIOS!$E$4:$E$505,A30,COBROS_DIARIOS!$A$4:$A$505,"&gt;="&amp;$B$2,COBROS_DIARIOS!$A$4:$A$505,"&lt;="&amp;EOMONTH($B$2,0)))</f>
        <v/>
      </c>
      <c r="D30" s="66" t="str">
        <f>IF(A30="","",SUMIFS(COBROS_DIARIOS!$I$4:$I$505,COBROS_DIARIOS!$E$4:$E$505,A30,COBROS_DIARIOS!$A$4:$A$505,"&gt;="&amp;$B$2,COBROS_DIARIOS!$A$4:$A$505,"&lt;="&amp;EOMONTH($B$2,0)))</f>
        <v/>
      </c>
      <c r="E30" s="66" t="str">
        <f>IF(A30="","",SUMIFS(COBROS_DIARIOS!$J$4:$J$505,COBROS_DIARIOS!$E$4:$E$505,A30,COBROS_DIARIOS!$A$4:$A$505,"&gt;="&amp;$B$2,COBROS_DIARIOS!$A$4:$A$505,"&lt;="&amp;EOMONTH($B$2,0)))</f>
        <v/>
      </c>
      <c r="F30" s="67" t="str">
        <f t="shared" si="1"/>
        <v/>
      </c>
      <c r="G30" s="68" t="str">
        <f>IF(A30="","",SUMIFS(COBROS_DIARIOS!$M$4:$M$505,COBROS_DIARIOS!$E$4:$E$505,A30,COBROS_DIARIOS!$A$4:$A$505,"&gt;="&amp;$B$2,COBROS_DIARIOS!$A$4:$A$505,"&lt;="&amp;EOMONTH($B$2,0)))</f>
        <v/>
      </c>
    </row>
    <row r="31" ht="15.0" customHeight="1">
      <c r="A31" s="65" t="str">
        <f>IFERROR(IF(PRODUCTOS!A24="","",PRODUCTOS!A24),"")</f>
        <v/>
      </c>
      <c r="B31" s="66" t="str">
        <f>IF(A31="","",SUMIFS(COBROS_DIARIOS!$G$4:$G$505,COBROS_DIARIOS!$E$4:$E$505,A31,COBROS_DIARIOS!$A$4:$A$505,"&gt;="&amp;$B$2,COBROS_DIARIOS!$A$4:$A$505,"&lt;="&amp;EOMONTH($B$2,0)))</f>
        <v/>
      </c>
      <c r="C31" s="66" t="str">
        <f>IF(A31="","",SUMIFS(COBROS_DIARIOS!$H$4:$H$505,COBROS_DIARIOS!$E$4:$E$505,A31,COBROS_DIARIOS!$A$4:$A$505,"&gt;="&amp;$B$2,COBROS_DIARIOS!$A$4:$A$505,"&lt;="&amp;EOMONTH($B$2,0)))</f>
        <v/>
      </c>
      <c r="D31" s="66" t="str">
        <f>IF(A31="","",SUMIFS(COBROS_DIARIOS!$I$4:$I$505,COBROS_DIARIOS!$E$4:$E$505,A31,COBROS_DIARIOS!$A$4:$A$505,"&gt;="&amp;$B$2,COBROS_DIARIOS!$A$4:$A$505,"&lt;="&amp;EOMONTH($B$2,0)))</f>
        <v/>
      </c>
      <c r="E31" s="66" t="str">
        <f>IF(A31="","",SUMIFS(COBROS_DIARIOS!$J$4:$J$505,COBROS_DIARIOS!$E$4:$E$505,A31,COBROS_DIARIOS!$A$4:$A$505,"&gt;="&amp;$B$2,COBROS_DIARIOS!$A$4:$A$505,"&lt;="&amp;EOMONTH($B$2,0)))</f>
        <v/>
      </c>
      <c r="F31" s="67" t="str">
        <f t="shared" si="1"/>
        <v/>
      </c>
      <c r="G31" s="68" t="str">
        <f>IF(A31="","",SUMIFS(COBROS_DIARIOS!$M$4:$M$505,COBROS_DIARIOS!$E$4:$E$505,A31,COBROS_DIARIOS!$A$4:$A$505,"&gt;="&amp;$B$2,COBROS_DIARIOS!$A$4:$A$505,"&lt;="&amp;EOMONTH($B$2,0)))</f>
        <v/>
      </c>
    </row>
    <row r="32" ht="15.0" customHeight="1">
      <c r="A32" s="65" t="str">
        <f>IFERROR(IF(PRODUCTOS!A25="","",PRODUCTOS!A25),"")</f>
        <v/>
      </c>
      <c r="B32" s="66" t="str">
        <f>IF(A32="","",SUMIFS(COBROS_DIARIOS!$G$4:$G$505,COBROS_DIARIOS!$E$4:$E$505,A32,COBROS_DIARIOS!$A$4:$A$505,"&gt;="&amp;$B$2,COBROS_DIARIOS!$A$4:$A$505,"&lt;="&amp;EOMONTH($B$2,0)))</f>
        <v/>
      </c>
      <c r="C32" s="66" t="str">
        <f>IF(A32="","",SUMIFS(COBROS_DIARIOS!$H$4:$H$505,COBROS_DIARIOS!$E$4:$E$505,A32,COBROS_DIARIOS!$A$4:$A$505,"&gt;="&amp;$B$2,COBROS_DIARIOS!$A$4:$A$505,"&lt;="&amp;EOMONTH($B$2,0)))</f>
        <v/>
      </c>
      <c r="D32" s="66" t="str">
        <f>IF(A32="","",SUMIFS(COBROS_DIARIOS!$I$4:$I$505,COBROS_DIARIOS!$E$4:$E$505,A32,COBROS_DIARIOS!$A$4:$A$505,"&gt;="&amp;$B$2,COBROS_DIARIOS!$A$4:$A$505,"&lt;="&amp;EOMONTH($B$2,0)))</f>
        <v/>
      </c>
      <c r="E32" s="66" t="str">
        <f>IF(A32="","",SUMIFS(COBROS_DIARIOS!$J$4:$J$505,COBROS_DIARIOS!$E$4:$E$505,A32,COBROS_DIARIOS!$A$4:$A$505,"&gt;="&amp;$B$2,COBROS_DIARIOS!$A$4:$A$505,"&lt;="&amp;EOMONTH($B$2,0)))</f>
        <v/>
      </c>
      <c r="F32" s="67" t="str">
        <f t="shared" si="1"/>
        <v/>
      </c>
      <c r="G32" s="68" t="str">
        <f>IF(A32="","",SUMIFS(COBROS_DIARIOS!$M$4:$M$505,COBROS_DIARIOS!$E$4:$E$505,A32,COBROS_DIARIOS!$A$4:$A$505,"&gt;="&amp;$B$2,COBROS_DIARIOS!$A$4:$A$505,"&lt;="&amp;EOMONTH($B$2,0)))</f>
        <v/>
      </c>
    </row>
    <row r="33" ht="15.0" customHeight="1">
      <c r="A33" s="65" t="str">
        <f>IFERROR(IF(PRODUCTOS!A26="","",PRODUCTOS!A26),"")</f>
        <v/>
      </c>
      <c r="B33" s="66" t="str">
        <f>IF(A33="","",SUMIFS(COBROS_DIARIOS!$G$4:$G$505,COBROS_DIARIOS!$E$4:$E$505,A33,COBROS_DIARIOS!$A$4:$A$505,"&gt;="&amp;$B$2,COBROS_DIARIOS!$A$4:$A$505,"&lt;="&amp;EOMONTH($B$2,0)))</f>
        <v/>
      </c>
      <c r="C33" s="66" t="str">
        <f>IF(A33="","",SUMIFS(COBROS_DIARIOS!$H$4:$H$505,COBROS_DIARIOS!$E$4:$E$505,A33,COBROS_DIARIOS!$A$4:$A$505,"&gt;="&amp;$B$2,COBROS_DIARIOS!$A$4:$A$505,"&lt;="&amp;EOMONTH($B$2,0)))</f>
        <v/>
      </c>
      <c r="D33" s="66" t="str">
        <f>IF(A33="","",SUMIFS(COBROS_DIARIOS!$I$4:$I$505,COBROS_DIARIOS!$E$4:$E$505,A33,COBROS_DIARIOS!$A$4:$A$505,"&gt;="&amp;$B$2,COBROS_DIARIOS!$A$4:$A$505,"&lt;="&amp;EOMONTH($B$2,0)))</f>
        <v/>
      </c>
      <c r="E33" s="66" t="str">
        <f>IF(A33="","",SUMIFS(COBROS_DIARIOS!$J$4:$J$505,COBROS_DIARIOS!$E$4:$E$505,A33,COBROS_DIARIOS!$A$4:$A$505,"&gt;="&amp;$B$2,COBROS_DIARIOS!$A$4:$A$505,"&lt;="&amp;EOMONTH($B$2,0)))</f>
        <v/>
      </c>
      <c r="F33" s="67" t="str">
        <f t="shared" si="1"/>
        <v/>
      </c>
      <c r="G33" s="68" t="str">
        <f>IF(A33="","",SUMIFS(COBROS_DIARIOS!$M$4:$M$505,COBROS_DIARIOS!$E$4:$E$505,A33,COBROS_DIARIOS!$A$4:$A$505,"&gt;="&amp;$B$2,COBROS_DIARIOS!$A$4:$A$505,"&lt;="&amp;EOMONTH($B$2,0)))</f>
        <v/>
      </c>
    </row>
    <row r="34" ht="15.0" customHeight="1">
      <c r="A34" s="65" t="str">
        <f>IFERROR(IF(PRODUCTOS!A27="","",PRODUCTOS!A27),"")</f>
        <v/>
      </c>
      <c r="B34" s="66" t="str">
        <f>IF(A34="","",SUMIFS(COBROS_DIARIOS!$G$4:$G$505,COBROS_DIARIOS!$E$4:$E$505,A34,COBROS_DIARIOS!$A$4:$A$505,"&gt;="&amp;$B$2,COBROS_DIARIOS!$A$4:$A$505,"&lt;="&amp;EOMONTH($B$2,0)))</f>
        <v/>
      </c>
      <c r="C34" s="66" t="str">
        <f>IF(A34="","",SUMIFS(COBROS_DIARIOS!$H$4:$H$505,COBROS_DIARIOS!$E$4:$E$505,A34,COBROS_DIARIOS!$A$4:$A$505,"&gt;="&amp;$B$2,COBROS_DIARIOS!$A$4:$A$505,"&lt;="&amp;EOMONTH($B$2,0)))</f>
        <v/>
      </c>
      <c r="D34" s="66" t="str">
        <f>IF(A34="","",SUMIFS(COBROS_DIARIOS!$I$4:$I$505,COBROS_DIARIOS!$E$4:$E$505,A34,COBROS_DIARIOS!$A$4:$A$505,"&gt;="&amp;$B$2,COBROS_DIARIOS!$A$4:$A$505,"&lt;="&amp;EOMONTH($B$2,0)))</f>
        <v/>
      </c>
      <c r="E34" s="66" t="str">
        <f>IF(A34="","",SUMIFS(COBROS_DIARIOS!$J$4:$J$505,COBROS_DIARIOS!$E$4:$E$505,A34,COBROS_DIARIOS!$A$4:$A$505,"&gt;="&amp;$B$2,COBROS_DIARIOS!$A$4:$A$505,"&lt;="&amp;EOMONTH($B$2,0)))</f>
        <v/>
      </c>
      <c r="F34" s="67" t="str">
        <f t="shared" si="1"/>
        <v/>
      </c>
      <c r="G34" s="68" t="str">
        <f>IF(A34="","",SUMIFS(COBROS_DIARIOS!$M$4:$M$505,COBROS_DIARIOS!$E$4:$E$505,A34,COBROS_DIARIOS!$A$4:$A$505,"&gt;="&amp;$B$2,COBROS_DIARIOS!$A$4:$A$505,"&lt;="&amp;EOMONTH($B$2,0)))</f>
        <v/>
      </c>
    </row>
    <row r="35" ht="15.0" customHeight="1">
      <c r="A35" s="65" t="str">
        <f>IFERROR(IF(PRODUCTOS!A28="","",PRODUCTOS!A28),"")</f>
        <v/>
      </c>
      <c r="B35" s="66" t="str">
        <f>IF(A35="","",SUMIFS(COBROS_DIARIOS!$G$4:$G$505,COBROS_DIARIOS!$E$4:$E$505,A35,COBROS_DIARIOS!$A$4:$A$505,"&gt;="&amp;$B$2,COBROS_DIARIOS!$A$4:$A$505,"&lt;="&amp;EOMONTH($B$2,0)))</f>
        <v/>
      </c>
      <c r="C35" s="66" t="str">
        <f>IF(A35="","",SUMIFS(COBROS_DIARIOS!$H$4:$H$505,COBROS_DIARIOS!$E$4:$E$505,A35,COBROS_DIARIOS!$A$4:$A$505,"&gt;="&amp;$B$2,COBROS_DIARIOS!$A$4:$A$505,"&lt;="&amp;EOMONTH($B$2,0)))</f>
        <v/>
      </c>
      <c r="D35" s="66" t="str">
        <f>IF(A35="","",SUMIFS(COBROS_DIARIOS!$I$4:$I$505,COBROS_DIARIOS!$E$4:$E$505,A35,COBROS_DIARIOS!$A$4:$A$505,"&gt;="&amp;$B$2,COBROS_DIARIOS!$A$4:$A$505,"&lt;="&amp;EOMONTH($B$2,0)))</f>
        <v/>
      </c>
      <c r="E35" s="66" t="str">
        <f>IF(A35="","",SUMIFS(COBROS_DIARIOS!$J$4:$J$505,COBROS_DIARIOS!$E$4:$E$505,A35,COBROS_DIARIOS!$A$4:$A$505,"&gt;="&amp;$B$2,COBROS_DIARIOS!$A$4:$A$505,"&lt;="&amp;EOMONTH($B$2,0)))</f>
        <v/>
      </c>
      <c r="F35" s="67" t="str">
        <f t="shared" si="1"/>
        <v/>
      </c>
      <c r="G35" s="68" t="str">
        <f>IF(A35="","",SUMIFS(COBROS_DIARIOS!$M$4:$M$505,COBROS_DIARIOS!$E$4:$E$505,A35,COBROS_DIARIOS!$A$4:$A$505,"&gt;="&amp;$B$2,COBROS_DIARIOS!$A$4:$A$505,"&lt;="&amp;EOMONTH($B$2,0)))</f>
        <v/>
      </c>
    </row>
    <row r="36" ht="15.0" customHeight="1">
      <c r="A36" s="35" t="s">
        <v>142</v>
      </c>
      <c r="B36" s="69">
        <f t="shared" ref="B36:G36" si="2">SUM(B11:B35)</f>
        <v>7197</v>
      </c>
      <c r="C36" s="69">
        <f t="shared" si="2"/>
        <v>10314</v>
      </c>
      <c r="D36" s="69">
        <f t="shared" si="2"/>
        <v>9806</v>
      </c>
      <c r="E36" s="69">
        <f t="shared" si="2"/>
        <v>4240</v>
      </c>
      <c r="F36" s="69">
        <f t="shared" si="2"/>
        <v>31557</v>
      </c>
      <c r="G36" s="70">
        <f t="shared" si="2"/>
        <v>82583.2</v>
      </c>
    </row>
    <row r="37" ht="15.75" customHeight="1"/>
    <row r="38" ht="21.75" customHeight="1">
      <c r="A38" s="71" t="s">
        <v>143</v>
      </c>
      <c r="B38" s="2"/>
      <c r="C38" s="2"/>
      <c r="D38" s="3"/>
    </row>
    <row r="39" ht="31.5" customHeight="1">
      <c r="A39" s="51" t="s">
        <v>7</v>
      </c>
      <c r="B39" s="51" t="s">
        <v>144</v>
      </c>
      <c r="C39" s="51" t="s">
        <v>145</v>
      </c>
      <c r="D39" s="51" t="s">
        <v>146</v>
      </c>
    </row>
    <row r="40" ht="15.0" customHeight="1">
      <c r="A40" s="65" t="str">
        <f t="array" ref="A40">IFERROR(IF(LARGE($D$200:$D$249,1)&lt;=0,"",INDEX($A$200:$A$249,MATCH(LARGE($D$200:$D$249,1),$D$200:$D$249,0))),"")</f>
        <v>Negro</v>
      </c>
      <c r="B40" s="66">
        <f t="array" ref="B40">IFERROR(IF(LARGE($D$200:$D$249,1)&lt;=0,"",INDEX($B$200:$B$249,MATCH(LARGE($D$200:$D$249,1),$D$200:$D$249,0))),"")</f>
        <v>6201</v>
      </c>
      <c r="C40" s="72">
        <f t="array" ref="C40">IFERROR(IF(LARGE($D$200:$D$249,1)&lt;=0,"",INDEX($C$200:$C$249,MATCH(LARGE($D$200:$D$249,1),$D$200:$D$249,0))),"")</f>
        <v>16120.7</v>
      </c>
      <c r="D40" s="73">
        <f>IFERROR(IF(B40="","",B40/SUMIFS(COBROS_DIARIOS!$K$4:$K$505,COBROS_DIARIOS!$A$4:$A$505,"&gt;="&amp;$B$2,COBROS_DIARIOS!$A$4:$A$505,"&lt;="&amp;EOMONTH($B$2,0))),"")</f>
        <v>0.1819435479</v>
      </c>
    </row>
    <row r="41" ht="15.0" customHeight="1">
      <c r="A41" s="65" t="str">
        <f t="array" ref="A41">IFERROR(IF(LARGE($D$200:$D$249,2)&lt;=0,"",INDEX($A$200:$A$249,MATCH(LARGE($D$200:$D$249,2),$D$200:$D$249,0))),"")</f>
        <v>Vino</v>
      </c>
      <c r="B41" s="66">
        <f t="array" ref="B41">IFERROR(IF(LARGE($D$200:$D$249,2)&lt;=0,"",INDEX($B$200:$B$249,MATCH(LARGE($D$200:$D$249,2),$D$200:$D$249,0))),"")</f>
        <v>4566</v>
      </c>
      <c r="C41" s="72">
        <f t="array" ref="C41">IFERROR(IF(LARGE($D$200:$D$249,2)&lt;=0,"",INDEX($C$200:$C$249,MATCH(LARGE($D$200:$D$249,2),$D$200:$D$249,0))),"")</f>
        <v>9329.4</v>
      </c>
      <c r="D41" s="73">
        <f>IFERROR(IF(B41="","",B41/SUMIFS(COBROS_DIARIOS!$K$4:$K$505,COBROS_DIARIOS!$A$4:$A$505,"&gt;="&amp;$B$2,COBROS_DIARIOS!$A$4:$A$505,"&lt;="&amp;EOMONTH($B$2,0))),"")</f>
        <v>0.1339710111</v>
      </c>
    </row>
    <row r="42" ht="15.0" customHeight="1">
      <c r="A42" s="65" t="str">
        <f t="array" ref="A42">IFERROR(IF(LARGE($D$200:$D$249,3)&lt;=0,"",INDEX($A$200:$A$249,MATCH(LARGE($D$200:$D$249,3),$D$200:$D$249,0))),"")</f>
        <v>Azul Marino</v>
      </c>
      <c r="B42" s="66">
        <f t="array" ref="B42">IFERROR(IF(LARGE($D$200:$D$249,3)&lt;=0,"",INDEX($B$200:$B$249,MATCH(LARGE($D$200:$D$249,3),$D$200:$D$249,0))),"")</f>
        <v>4340</v>
      </c>
      <c r="C42" s="72">
        <f t="array" ref="C42">IFERROR(IF(LARGE($D$200:$D$249,3)&lt;=0,"",INDEX($C$200:$C$249,MATCH(LARGE($D$200:$D$249,3),$D$200:$D$249,0))),"")</f>
        <v>11485.3</v>
      </c>
      <c r="D42" s="73">
        <f>IFERROR(IF(B42="","",B42/SUMIFS(COBROS_DIARIOS!$K$4:$K$505,COBROS_DIARIOS!$A$4:$A$505,"&gt;="&amp;$B$2,COBROS_DIARIOS!$A$4:$A$505,"&lt;="&amp;EOMONTH($B$2,0))),"")</f>
        <v>0.1273399448</v>
      </c>
    </row>
    <row r="43" ht="15.0" customHeight="1">
      <c r="A43" s="65" t="str">
        <f t="array" ref="A43">IFERROR(IF(LARGE($D$200:$D$249,4)&lt;=0,"",INDEX($A$200:$A$249,MATCH(LARGE($D$200:$D$249,4),$D$200:$D$249,0))),"")</f>
        <v>Perla</v>
      </c>
      <c r="B43" s="66">
        <f t="array" ref="B43">IFERROR(IF(LARGE($D$200:$D$249,4)&lt;=0,"",INDEX($B$200:$B$249,MATCH(LARGE($D$200:$D$249,4),$D$200:$D$249,0))),"")</f>
        <v>3124</v>
      </c>
      <c r="C43" s="72">
        <f t="array" ref="C43">IFERROR(IF(LARGE($D$200:$D$249,4)&lt;=0,"",INDEX($C$200:$C$249,MATCH(LARGE($D$200:$D$249,4),$D$200:$D$249,0))),"")</f>
        <v>6951.7</v>
      </c>
      <c r="D43" s="73">
        <f>IFERROR(IF(B43="","",B43/SUMIFS(COBROS_DIARIOS!$K$4:$K$505,COBROS_DIARIOS!$A$4:$A$505,"&gt;="&amp;$B$2,COBROS_DIARIOS!$A$4:$A$505,"&lt;="&amp;EOMONTH($B$2,0))),"")</f>
        <v>0.09166128748</v>
      </c>
    </row>
    <row r="44" ht="15.0" customHeight="1">
      <c r="A44" s="65" t="str">
        <f t="array" ref="A44">IFERROR(IF(LARGE($D$200:$D$249,5)&lt;=0,"",INDEX($A$200:$A$249,MATCH(LARGE($D$200:$D$249,5),$D$200:$D$249,0))),"")</f>
        <v>Colegial</v>
      </c>
      <c r="B44" s="66">
        <f t="array" ref="B44">IFERROR(IF(LARGE($D$200:$D$249,5)&lt;=0,"",INDEX($B$200:$B$249,MATCH(LARGE($D$200:$D$249,5),$D$200:$D$249,0))),"")</f>
        <v>2998</v>
      </c>
      <c r="C44" s="72">
        <f t="array" ref="C44">IFERROR(IF(LARGE($D$200:$D$249,5)&lt;=0,"",INDEX($C$200:$C$249,MATCH(LARGE($D$200:$D$249,5),$D$200:$D$249,0))),"")</f>
        <v>7367</v>
      </c>
      <c r="D44" s="73">
        <f>IFERROR(IF(B44="","",B44/SUMIFS(COBROS_DIARIOS!$K$4:$K$505,COBROS_DIARIOS!$A$4:$A$505,"&gt;="&amp;$B$2,COBROS_DIARIOS!$A$4:$A$505,"&lt;="&amp;EOMONTH($B$2,0))),"")</f>
        <v>0.08796432134</v>
      </c>
    </row>
    <row r="45" ht="15.0" customHeight="1">
      <c r="A45" s="65" t="str">
        <f t="array" ref="A45">IFERROR(IF(LARGE($D$200:$D$249,6)&lt;=0,"",INDEX($A$200:$A$249,MATCH(LARGE($D$200:$D$249,6),$D$200:$D$249,0))),"")</f>
        <v>Denim</v>
      </c>
      <c r="B45" s="66">
        <f t="array" ref="B45">IFERROR(IF(LARGE($D$200:$D$249,6)&lt;=0,"",INDEX($B$200:$B$249,MATCH(LARGE($D$200:$D$249,6),$D$200:$D$249,0))),"")</f>
        <v>2363</v>
      </c>
      <c r="C45" s="72">
        <f t="array" ref="C45">IFERROR(IF(LARGE($D$200:$D$249,6)&lt;=0,"",INDEX($C$200:$C$249,MATCH(LARGE($D$200:$D$249,6),$D$200:$D$249,0))),"")</f>
        <v>4836.2</v>
      </c>
      <c r="D45" s="73">
        <f>IFERROR(IF(B45="","",B45/SUMIFS(COBROS_DIARIOS!$K$4:$K$505,COBROS_DIARIOS!$A$4:$A$505,"&gt;="&amp;$B$2,COBROS_DIARIOS!$A$4:$A$505,"&lt;="&amp;EOMONTH($B$2,0))),"")</f>
        <v>0.06933278563</v>
      </c>
    </row>
    <row r="46" ht="15.0" customHeight="1">
      <c r="A46" s="65" t="str">
        <f t="array" ref="A46">IFERROR(IF(LARGE($D$200:$D$249,7)&lt;=0,"",INDEX($A$200:$A$249,MATCH(LARGE($D$200:$D$249,7),$D$200:$D$249,0))),"")</f>
        <v>Botella</v>
      </c>
      <c r="B46" s="66">
        <f t="array" ref="B46">IFERROR(IF(LARGE($D$200:$D$249,7)&lt;=0,"",INDEX($B$200:$B$249,MATCH(LARGE($D$200:$D$249,7),$D$200:$D$249,0))),"")</f>
        <v>2100</v>
      </c>
      <c r="C46" s="72">
        <f t="array" ref="C46">IFERROR(IF(LARGE($D$200:$D$249,7)&lt;=0,"",INDEX($C$200:$C$249,MATCH(LARGE($D$200:$D$249,7),$D$200:$D$249,0))),"")</f>
        <v>6356.1</v>
      </c>
      <c r="D46" s="73">
        <f>IFERROR(IF(B46="","",B46/SUMIFS(COBROS_DIARIOS!$K$4:$K$505,COBROS_DIARIOS!$A$4:$A$505,"&gt;="&amp;$B$2,COBROS_DIARIOS!$A$4:$A$505,"&lt;="&amp;EOMONTH($B$2,0))),"")</f>
        <v>0.06161610234</v>
      </c>
    </row>
    <row r="47" ht="15.0" customHeight="1">
      <c r="A47" s="65" t="str">
        <f t="array" ref="A47">IFERROR(IF(LARGE($D$200:$D$249,8)&lt;=0,"",INDEX($A$200:$A$249,MATCH(LARGE($D$200:$D$249,8),$D$200:$D$249,0))),"")</f>
        <v>Beige</v>
      </c>
      <c r="B47" s="66">
        <f t="array" ref="B47">IFERROR(IF(LARGE($D$200:$D$249,8)&lt;=0,"",INDEX($B$200:$B$249,MATCH(LARGE($D$200:$D$249,8),$D$200:$D$249,0))),"")</f>
        <v>1871</v>
      </c>
      <c r="C47" s="72">
        <f t="array" ref="C47">IFERROR(IF(LARGE($D$200:$D$249,8)&lt;=0,"",INDEX($C$200:$C$249,MATCH(LARGE($D$200:$D$249,8),$D$200:$D$249,0))),"")</f>
        <v>4322.9</v>
      </c>
      <c r="D47" s="73">
        <f>IFERROR(IF(B47="","",B47/SUMIFS(COBROS_DIARIOS!$K$4:$K$505,COBROS_DIARIOS!$A$4:$A$505,"&gt;="&amp;$B$2,COBROS_DIARIOS!$A$4:$A$505,"&lt;="&amp;EOMONTH($B$2,0))),"")</f>
        <v>0.05489701309</v>
      </c>
    </row>
    <row r="48" ht="15.0" customHeight="1">
      <c r="A48" s="65" t="str">
        <f t="array" ref="A48">IFERROR(IF(LARGE($D$200:$D$249,9)&lt;=0,"",INDEX($A$200:$A$249,MATCH(LARGE($D$200:$D$249,9),$D$200:$D$249,0))),"")</f>
        <v>Topo</v>
      </c>
      <c r="B48" s="66">
        <f t="array" ref="B48">IFERROR(IF(LARGE($D$200:$D$249,9)&lt;=0,"",INDEX($B$200:$B$249,MATCH(LARGE($D$200:$D$249,9),$D$200:$D$249,0))),"")</f>
        <v>1543</v>
      </c>
      <c r="C48" s="72">
        <f t="array" ref="C48">IFERROR(IF(LARGE($D$200:$D$249,9)&lt;=0,"",INDEX($C$200:$C$249,MATCH(LARGE($D$200:$D$249,9),$D$200:$D$249,0))),"")</f>
        <v>3547.7</v>
      </c>
      <c r="D48" s="73">
        <f>IFERROR(IF(B48="","",B48/SUMIFS(COBROS_DIARIOS!$K$4:$K$505,COBROS_DIARIOS!$A$4:$A$505,"&gt;="&amp;$B$2,COBROS_DIARIOS!$A$4:$A$505,"&lt;="&amp;EOMONTH($B$2,0))),"")</f>
        <v>0.04527316472</v>
      </c>
    </row>
    <row r="49" ht="15.0" customHeight="1">
      <c r="A49" s="65" t="str">
        <f t="array" ref="A49">IFERROR(IF(LARGE($D$200:$D$249,10)&lt;=0,"",INDEX($A$200:$A$249,MATCH(LARGE($D$200:$D$249,10),$D$200:$D$249,0))),"")</f>
        <v>P. Rosa</v>
      </c>
      <c r="B49" s="66">
        <f t="array" ref="B49">IFERROR(IF(LARGE($D$200:$D$249,10)&lt;=0,"",INDEX($B$200:$B$249,MATCH(LARGE($D$200:$D$249,10),$D$200:$D$249,0))),"")</f>
        <v>1492</v>
      </c>
      <c r="C49" s="72">
        <f t="array" ref="C49">IFERROR(IF(LARGE($D$200:$D$249,10)&lt;=0,"",INDEX($C$200:$C$249,MATCH(LARGE($D$200:$D$249,10),$D$200:$D$249,0))),"")</f>
        <v>3677.1</v>
      </c>
      <c r="D49" s="73">
        <f>IFERROR(IF(B49="","",B49/SUMIFS(COBROS_DIARIOS!$K$4:$K$505,COBROS_DIARIOS!$A$4:$A$505,"&gt;="&amp;$B$2,COBROS_DIARIOS!$A$4:$A$505,"&lt;="&amp;EOMONTH($B$2,0))),"")</f>
        <v>0.04377677366</v>
      </c>
    </row>
    <row r="50" ht="15.0" customHeight="1">
      <c r="A50" s="65" t="str">
        <f t="array" ref="A50">IFERROR(IF(LARGE($D$200:$D$249,11)&lt;=0,"",INDEX($A$200:$A$249,MATCH(LARGE($D$200:$D$249,11),$D$200:$D$249,0))),"")</f>
        <v>V. Pacay</v>
      </c>
      <c r="B50" s="66">
        <f t="array" ref="B50">IFERROR(IF(LARGE($D$200:$D$249,11)&lt;=0,"",INDEX($B$200:$B$249,MATCH(LARGE($D$200:$D$249,11),$D$200:$D$249,0))),"")</f>
        <v>1337</v>
      </c>
      <c r="C50" s="72">
        <f t="array" ref="C50">IFERROR(IF(LARGE($D$200:$D$249,11)&lt;=0,"",INDEX($C$200:$C$249,MATCH(LARGE($D$200:$D$249,11),$D$200:$D$249,0))),"")</f>
        <v>3456.3</v>
      </c>
      <c r="D50" s="73">
        <f>IFERROR(IF(B50="","",B50/SUMIFS(COBROS_DIARIOS!$K$4:$K$505,COBROS_DIARIOS!$A$4:$A$505,"&gt;="&amp;$B$2,COBROS_DIARIOS!$A$4:$A$505,"&lt;="&amp;EOMONTH($B$2,0))),"")</f>
        <v>0.03922891849</v>
      </c>
    </row>
    <row r="51" ht="15.0" customHeight="1">
      <c r="A51" s="65" t="str">
        <f t="array" ref="A51">IFERROR(IF(LARGE($D$200:$D$249,12)&lt;=0,"",INDEX($A$200:$A$249,MATCH(LARGE($D$200:$D$249,12),$D$200:$D$249,0))),"")</f>
        <v>Cemento</v>
      </c>
      <c r="B51" s="66">
        <f t="array" ref="B51">IFERROR(IF(LARGE($D$200:$D$249,12)&lt;=0,"",INDEX($B$200:$B$249,MATCH(LARGE($D$200:$D$249,12),$D$200:$D$249,0))),"")</f>
        <v>1257</v>
      </c>
      <c r="C51" s="72">
        <f t="array" ref="C51">IFERROR(IF(LARGE($D$200:$D$249,12)&lt;=0,"",INDEX($C$200:$C$249,MATCH(LARGE($D$200:$D$249,12),$D$200:$D$249,0))),"")</f>
        <v>2260.2</v>
      </c>
      <c r="D51" s="73">
        <f>IFERROR(IF(B51="","",B51/SUMIFS(COBROS_DIARIOS!$K$4:$K$505,COBROS_DIARIOS!$A$4:$A$505,"&gt;="&amp;$B$2,COBROS_DIARIOS!$A$4:$A$505,"&lt;="&amp;EOMONTH($B$2,0))),"")</f>
        <v>0.0368816384</v>
      </c>
    </row>
    <row r="52" ht="15.0" customHeight="1">
      <c r="A52" s="65" t="str">
        <f t="array" ref="A52">IFERROR(IF(LARGE($D$200:$D$249,13)&lt;=0,"",INDEX($A$200:$A$249,MATCH(LARGE($D$200:$D$249,13),$D$200:$D$249,0))),"")</f>
        <v>Melange</v>
      </c>
      <c r="B52" s="66">
        <f t="array" ref="B52">IFERROR(IF(LARGE($D$200:$D$249,13)&lt;=0,"",INDEX($B$200:$B$249,MATCH(LARGE($D$200:$D$249,13),$D$200:$D$249,0))),"")</f>
        <v>692</v>
      </c>
      <c r="C52" s="72">
        <f t="array" ref="C52">IFERROR(IF(LARGE($D$200:$D$249,13)&lt;=0,"",INDEX($C$200:$C$249,MATCH(LARGE($D$200:$D$249,13),$D$200:$D$249,0))),"")</f>
        <v>2536</v>
      </c>
      <c r="D52" s="73">
        <f>IFERROR(IF(B52="","",B52/SUMIFS(COBROS_DIARIOS!$K$4:$K$505,COBROS_DIARIOS!$A$4:$A$505,"&gt;="&amp;$B$2,COBROS_DIARIOS!$A$4:$A$505,"&lt;="&amp;EOMONTH($B$2,0))),"")</f>
        <v>0.02030397277</v>
      </c>
    </row>
    <row r="53" ht="15.0" customHeight="1">
      <c r="A53" s="65" t="str">
        <f t="array" ref="A53">IFERROR(IF(LARGE($D$200:$D$249,14)&lt;=0,"",INDEX($A$200:$A$249,MATCH(LARGE($D$200:$D$249,14),$D$200:$D$249,0))),"")</f>
        <v>Palo Rosa</v>
      </c>
      <c r="B53" s="66">
        <f t="array" ref="B53">IFERROR(IF(LARGE($D$200:$D$249,14)&lt;=0,"",INDEX($B$200:$B$249,MATCH(LARGE($D$200:$D$249,14),$D$200:$D$249,0))),"")</f>
        <v>198</v>
      </c>
      <c r="C53" s="72">
        <f t="array" ref="C53">IFERROR(IF(LARGE($D$200:$D$249,14)&lt;=0,"",INDEX($C$200:$C$249,MATCH(LARGE($D$200:$D$249,14),$D$200:$D$249,0))),"")</f>
        <v>336.6</v>
      </c>
      <c r="D53" s="73">
        <f>IFERROR(IF(B53="","",B53/SUMIFS(COBROS_DIARIOS!$K$4:$K$505,COBROS_DIARIOS!$A$4:$A$505,"&gt;="&amp;$B$2,COBROS_DIARIOS!$A$4:$A$505,"&lt;="&amp;EOMONTH($B$2,0))),"")</f>
        <v>0.005809518221</v>
      </c>
    </row>
    <row r="54" ht="15.0" customHeight="1">
      <c r="A54" s="65" t="str">
        <f t="array" ref="A54">IFERROR(IF(LARGE($D$200:$D$249,15)&lt;=0,"",INDEX($A$200:$A$249,MATCH(LARGE($D$200:$D$249,15),$D$200:$D$249,0))),"")</f>
        <v/>
      </c>
      <c r="B54" s="66" t="str">
        <f t="array" ref="B54">IFERROR(IF(LARGE($D$200:$D$249,15)&lt;=0,"",INDEX($B$200:$B$249,MATCH(LARGE($D$200:$D$249,15),$D$200:$D$249,0))),"")</f>
        <v/>
      </c>
      <c r="C54" s="72" t="str">
        <f t="array" ref="C54">IFERROR(IF(LARGE($D$200:$D$249,15)&lt;=0,"",INDEX($C$200:$C$249,MATCH(LARGE($D$200:$D$249,15),$D$200:$D$249,0))),"")</f>
        <v/>
      </c>
      <c r="D54" s="73" t="str">
        <f>IFERROR(IF(B54="","",B54/SUMIFS(COBROS_DIARIOS!$K$4:$K$505,COBROS_DIARIOS!$A$4:$A$505,"&gt;="&amp;$B$2,COBROS_DIARIOS!$A$4:$A$505,"&lt;="&amp;EOMONTH($B$2,0))),"")</f>
        <v/>
      </c>
    </row>
    <row r="55" ht="15.0" customHeight="1">
      <c r="A55" s="65" t="str">
        <f t="array" ref="A55">IFERROR(IF(LARGE($D$200:$D$249,16)&lt;=0,"",INDEX($A$200:$A$249,MATCH(LARGE($D$200:$D$249,16),$D$200:$D$249,0))),"")</f>
        <v/>
      </c>
      <c r="B55" s="66" t="str">
        <f t="array" ref="B55">IFERROR(IF(LARGE($D$200:$D$249,16)&lt;=0,"",INDEX($B$200:$B$249,MATCH(LARGE($D$200:$D$249,16),$D$200:$D$249,0))),"")</f>
        <v/>
      </c>
      <c r="C55" s="72" t="str">
        <f t="array" ref="C55">IFERROR(IF(LARGE($D$200:$D$249,16)&lt;=0,"",INDEX($C$200:$C$249,MATCH(LARGE($D$200:$D$249,16),$D$200:$D$249,0))),"")</f>
        <v/>
      </c>
      <c r="D55" s="73" t="str">
        <f>IFERROR(IF(B55="","",B55/SUMIFS(COBROS_DIARIOS!$K$4:$K$505,COBROS_DIARIOS!$A$4:$A$505,"&gt;="&amp;$B$2,COBROS_DIARIOS!$A$4:$A$505,"&lt;="&amp;EOMONTH($B$2,0))),"")</f>
        <v/>
      </c>
    </row>
    <row r="56" ht="15.0" customHeight="1">
      <c r="A56" s="65" t="str">
        <f t="array" ref="A56">IFERROR(IF(LARGE($D$200:$D$249,17)&lt;=0,"",INDEX($A$200:$A$249,MATCH(LARGE($D$200:$D$249,17),$D$200:$D$249,0))),"")</f>
        <v/>
      </c>
      <c r="B56" s="66" t="str">
        <f t="array" ref="B56">IFERROR(IF(LARGE($D$200:$D$249,17)&lt;=0,"",INDEX($B$200:$B$249,MATCH(LARGE($D$200:$D$249,17),$D$200:$D$249,0))),"")</f>
        <v/>
      </c>
      <c r="C56" s="72" t="str">
        <f t="array" ref="C56">IFERROR(IF(LARGE($D$200:$D$249,17)&lt;=0,"",INDEX($C$200:$C$249,MATCH(LARGE($D$200:$D$249,17),$D$200:$D$249,0))),"")</f>
        <v/>
      </c>
      <c r="D56" s="73" t="str">
        <f>IFERROR(IF(B56="","",B56/SUMIFS(COBROS_DIARIOS!$K$4:$K$505,COBROS_DIARIOS!$A$4:$A$505,"&gt;="&amp;$B$2,COBROS_DIARIOS!$A$4:$A$505,"&lt;="&amp;EOMONTH($B$2,0))),"")</f>
        <v/>
      </c>
    </row>
    <row r="57" ht="15.0" customHeight="1">
      <c r="A57" s="65" t="str">
        <f t="array" ref="A57">IFERROR(IF(LARGE($D$200:$D$249,18)&lt;=0,"",INDEX($A$200:$A$249,MATCH(LARGE($D$200:$D$249,18),$D$200:$D$249,0))),"")</f>
        <v/>
      </c>
      <c r="B57" s="66" t="str">
        <f t="array" ref="B57">IFERROR(IF(LARGE($D$200:$D$249,18)&lt;=0,"",INDEX($B$200:$B$249,MATCH(LARGE($D$200:$D$249,18),$D$200:$D$249,0))),"")</f>
        <v/>
      </c>
      <c r="C57" s="72" t="str">
        <f t="array" ref="C57">IFERROR(IF(LARGE($D$200:$D$249,18)&lt;=0,"",INDEX($C$200:$C$249,MATCH(LARGE($D$200:$D$249,18),$D$200:$D$249,0))),"")</f>
        <v/>
      </c>
      <c r="D57" s="73" t="str">
        <f>IFERROR(IF(B57="","",B57/SUMIFS(COBROS_DIARIOS!$K$4:$K$505,COBROS_DIARIOS!$A$4:$A$505,"&gt;="&amp;$B$2,COBROS_DIARIOS!$A$4:$A$505,"&lt;="&amp;EOMONTH($B$2,0))),"")</f>
        <v/>
      </c>
    </row>
    <row r="58" ht="15.0" customHeight="1">
      <c r="A58" s="65" t="str">
        <f t="array" ref="A58">IFERROR(IF(LARGE($D$200:$D$249,19)&lt;=0,"",INDEX($A$200:$A$249,MATCH(LARGE($D$200:$D$249,19),$D$200:$D$249,0))),"")</f>
        <v/>
      </c>
      <c r="B58" s="66" t="str">
        <f t="array" ref="B58">IFERROR(IF(LARGE($D$200:$D$249,19)&lt;=0,"",INDEX($B$200:$B$249,MATCH(LARGE($D$200:$D$249,19),$D$200:$D$249,0))),"")</f>
        <v/>
      </c>
      <c r="C58" s="72" t="str">
        <f t="array" ref="C58">IFERROR(IF(LARGE($D$200:$D$249,19)&lt;=0,"",INDEX($C$200:$C$249,MATCH(LARGE($D$200:$D$249,19),$D$200:$D$249,0))),"")</f>
        <v/>
      </c>
      <c r="D58" s="73" t="str">
        <f>IFERROR(IF(B58="","",B58/SUMIFS(COBROS_DIARIOS!$K$4:$K$505,COBROS_DIARIOS!$A$4:$A$505,"&gt;="&amp;$B$2,COBROS_DIARIOS!$A$4:$A$505,"&lt;="&amp;EOMONTH($B$2,0))),"")</f>
        <v/>
      </c>
    </row>
    <row r="59" ht="15.0" customHeight="1">
      <c r="A59" s="65" t="str">
        <f t="array" ref="A59">IFERROR(IF(LARGE($D$200:$D$249,20)&lt;=0,"",INDEX($A$200:$A$249,MATCH(LARGE($D$200:$D$249,20),$D$200:$D$249,0))),"")</f>
        <v/>
      </c>
      <c r="B59" s="66" t="str">
        <f t="array" ref="B59">IFERROR(IF(LARGE($D$200:$D$249,20)&lt;=0,"",INDEX($B$200:$B$249,MATCH(LARGE($D$200:$D$249,20),$D$200:$D$249,0))),"")</f>
        <v/>
      </c>
      <c r="C59" s="72" t="str">
        <f t="array" ref="C59">IFERROR(IF(LARGE($D$200:$D$249,20)&lt;=0,"",INDEX($C$200:$C$249,MATCH(LARGE($D$200:$D$249,20),$D$200:$D$249,0))),"")</f>
        <v/>
      </c>
      <c r="D59" s="73" t="str">
        <f>IFERROR(IF(B59="","",B59/SUMIFS(COBROS_DIARIOS!$K$4:$K$505,COBROS_DIARIOS!$A$4:$A$505,"&gt;="&amp;$B$2,COBROS_DIARIOS!$A$4:$A$505,"&lt;="&amp;EOMONTH($B$2,0))),"")</f>
        <v/>
      </c>
    </row>
    <row r="60" ht="15.0" customHeight="1">
      <c r="A60" s="65" t="str">
        <f t="array" ref="A60">IFERROR(IF(LARGE($D$200:$D$249,21)&lt;=0,"",INDEX($A$200:$A$249,MATCH(LARGE($D$200:$D$249,21),$D$200:$D$249,0))),"")</f>
        <v/>
      </c>
      <c r="B60" s="66" t="str">
        <f t="array" ref="B60">IFERROR(IF(LARGE($D$200:$D$249,21)&lt;=0,"",INDEX($B$200:$B$249,MATCH(LARGE($D$200:$D$249,21),$D$200:$D$249,0))),"")</f>
        <v/>
      </c>
      <c r="C60" s="72" t="str">
        <f t="array" ref="C60">IFERROR(IF(LARGE($D$200:$D$249,21)&lt;=0,"",INDEX($C$200:$C$249,MATCH(LARGE($D$200:$D$249,21),$D$200:$D$249,0))),"")</f>
        <v/>
      </c>
      <c r="D60" s="73" t="str">
        <f>IFERROR(IF(B60="","",B60/SUMIFS(COBROS_DIARIOS!$K$4:$K$505,COBROS_DIARIOS!$A$4:$A$505,"&gt;="&amp;$B$2,COBROS_DIARIOS!$A$4:$A$505,"&lt;="&amp;EOMONTH($B$2,0))),"")</f>
        <v/>
      </c>
    </row>
    <row r="61" ht="15.0" customHeight="1">
      <c r="A61" s="65" t="str">
        <f t="array" ref="A61">IFERROR(IF(LARGE($D$200:$D$249,22)&lt;=0,"",INDEX($A$200:$A$249,MATCH(LARGE($D$200:$D$249,22),$D$200:$D$249,0))),"")</f>
        <v/>
      </c>
      <c r="B61" s="66" t="str">
        <f t="array" ref="B61">IFERROR(IF(LARGE($D$200:$D$249,22)&lt;=0,"",INDEX($B$200:$B$249,MATCH(LARGE($D$200:$D$249,22),$D$200:$D$249,0))),"")</f>
        <v/>
      </c>
      <c r="C61" s="72" t="str">
        <f t="array" ref="C61">IFERROR(IF(LARGE($D$200:$D$249,22)&lt;=0,"",INDEX($C$200:$C$249,MATCH(LARGE($D$200:$D$249,22),$D$200:$D$249,0))),"")</f>
        <v/>
      </c>
      <c r="D61" s="73" t="str">
        <f>IFERROR(IF(B61="","",B61/SUMIFS(COBROS_DIARIOS!$K$4:$K$505,COBROS_DIARIOS!$A$4:$A$505,"&gt;="&amp;$B$2,COBROS_DIARIOS!$A$4:$A$505,"&lt;="&amp;EOMONTH($B$2,0))),"")</f>
        <v/>
      </c>
    </row>
    <row r="62" ht="15.0" customHeight="1">
      <c r="A62" s="65" t="str">
        <f t="array" ref="A62">IFERROR(IF(LARGE($D$200:$D$249,23)&lt;=0,"",INDEX($A$200:$A$249,MATCH(LARGE($D$200:$D$249,23),$D$200:$D$249,0))),"")</f>
        <v/>
      </c>
      <c r="B62" s="66" t="str">
        <f t="array" ref="B62">IFERROR(IF(LARGE($D$200:$D$249,23)&lt;=0,"",INDEX($B$200:$B$249,MATCH(LARGE($D$200:$D$249,23),$D$200:$D$249,0))),"")</f>
        <v/>
      </c>
      <c r="C62" s="72" t="str">
        <f t="array" ref="C62">IFERROR(IF(LARGE($D$200:$D$249,23)&lt;=0,"",INDEX($C$200:$C$249,MATCH(LARGE($D$200:$D$249,23),$D$200:$D$249,0))),"")</f>
        <v/>
      </c>
      <c r="D62" s="73" t="str">
        <f>IFERROR(IF(B62="","",B62/SUMIFS(COBROS_DIARIOS!$K$4:$K$505,COBROS_DIARIOS!$A$4:$A$505,"&gt;="&amp;$B$2,COBROS_DIARIOS!$A$4:$A$505,"&lt;="&amp;EOMONTH($B$2,0))),"")</f>
        <v/>
      </c>
    </row>
    <row r="63" ht="15.0" customHeight="1">
      <c r="A63" s="65" t="str">
        <f t="array" ref="A63">IFERROR(IF(LARGE($D$200:$D$249,24)&lt;=0,"",INDEX($A$200:$A$249,MATCH(LARGE($D$200:$D$249,24),$D$200:$D$249,0))),"")</f>
        <v/>
      </c>
      <c r="B63" s="66" t="str">
        <f t="array" ref="B63">IFERROR(IF(LARGE($D$200:$D$249,24)&lt;=0,"",INDEX($B$200:$B$249,MATCH(LARGE($D$200:$D$249,24),$D$200:$D$249,0))),"")</f>
        <v/>
      </c>
      <c r="C63" s="72" t="str">
        <f t="array" ref="C63">IFERROR(IF(LARGE($D$200:$D$249,24)&lt;=0,"",INDEX($C$200:$C$249,MATCH(LARGE($D$200:$D$249,24),$D$200:$D$249,0))),"")</f>
        <v/>
      </c>
      <c r="D63" s="73" t="str">
        <f>IFERROR(IF(B63="","",B63/SUMIFS(COBROS_DIARIOS!$K$4:$K$505,COBROS_DIARIOS!$A$4:$A$505,"&gt;="&amp;$B$2,COBROS_DIARIOS!$A$4:$A$505,"&lt;="&amp;EOMONTH($B$2,0))),"")</f>
        <v/>
      </c>
    </row>
    <row r="64" ht="15.0" customHeight="1">
      <c r="A64" s="65" t="str">
        <f t="array" ref="A64">IFERROR(IF(LARGE($D$200:$D$249,25)&lt;=0,"",INDEX($A$200:$A$249,MATCH(LARGE($D$200:$D$249,25),$D$200:$D$249,0))),"")</f>
        <v/>
      </c>
      <c r="B64" s="66" t="str">
        <f t="array" ref="B64">IFERROR(IF(LARGE($D$200:$D$249,25)&lt;=0,"",INDEX($B$200:$B$249,MATCH(LARGE($D$200:$D$249,25),$D$200:$D$249,0))),"")</f>
        <v/>
      </c>
      <c r="C64" s="72" t="str">
        <f t="array" ref="C64">IFERROR(IF(LARGE($D$200:$D$249,25)&lt;=0,"",INDEX($C$200:$C$249,MATCH(LARGE($D$200:$D$249,25),$D$200:$D$249,0))),"")</f>
        <v/>
      </c>
      <c r="D64" s="73" t="str">
        <f>IFERROR(IF(B64="","",B64/SUMIFS(COBROS_DIARIOS!$K$4:$K$505,COBROS_DIARIOS!$A$4:$A$505,"&gt;="&amp;$B$2,COBROS_DIARIOS!$A$4:$A$505,"&lt;="&amp;EOMONTH($B$2,0))),"")</f>
        <v/>
      </c>
    </row>
    <row r="65" ht="15.0" customHeight="1">
      <c r="A65" s="65" t="str">
        <f t="array" ref="A65">IFERROR(IF(LARGE($D$200:$D$249,26)&lt;=0,"",INDEX($A$200:$A$249,MATCH(LARGE($D$200:$D$249,26),$D$200:$D$249,0))),"")</f>
        <v/>
      </c>
      <c r="B65" s="66" t="str">
        <f t="array" ref="B65">IFERROR(IF(LARGE($D$200:$D$249,26)&lt;=0,"",INDEX($B$200:$B$249,MATCH(LARGE($D$200:$D$249,26),$D$200:$D$249,0))),"")</f>
        <v/>
      </c>
      <c r="C65" s="72" t="str">
        <f t="array" ref="C65">IFERROR(IF(LARGE($D$200:$D$249,26)&lt;=0,"",INDEX($C$200:$C$249,MATCH(LARGE($D$200:$D$249,26),$D$200:$D$249,0))),"")</f>
        <v/>
      </c>
      <c r="D65" s="73" t="str">
        <f>IFERROR(IF(B65="","",B65/SUMIFS(COBROS_DIARIOS!$K$4:$K$505,COBROS_DIARIOS!$A$4:$A$505,"&gt;="&amp;$B$2,COBROS_DIARIOS!$A$4:$A$505,"&lt;="&amp;EOMONTH($B$2,0))),"")</f>
        <v/>
      </c>
    </row>
    <row r="66" ht="15.0" customHeight="1">
      <c r="A66" s="65" t="str">
        <f t="array" ref="A66">IFERROR(IF(LARGE($D$200:$D$249,27)&lt;=0,"",INDEX($A$200:$A$249,MATCH(LARGE($D$200:$D$249,27),$D$200:$D$249,0))),"")</f>
        <v/>
      </c>
      <c r="B66" s="66" t="str">
        <f t="array" ref="B66">IFERROR(IF(LARGE($D$200:$D$249,27)&lt;=0,"",INDEX($B$200:$B$249,MATCH(LARGE($D$200:$D$249,27),$D$200:$D$249,0))),"")</f>
        <v/>
      </c>
      <c r="C66" s="72" t="str">
        <f t="array" ref="C66">IFERROR(IF(LARGE($D$200:$D$249,27)&lt;=0,"",INDEX($C$200:$C$249,MATCH(LARGE($D$200:$D$249,27),$D$200:$D$249,0))),"")</f>
        <v/>
      </c>
      <c r="D66" s="73" t="str">
        <f>IFERROR(IF(B66="","",B66/SUMIFS(COBROS_DIARIOS!$K$4:$K$505,COBROS_DIARIOS!$A$4:$A$505,"&gt;="&amp;$B$2,COBROS_DIARIOS!$A$4:$A$505,"&lt;="&amp;EOMONTH($B$2,0))),"")</f>
        <v/>
      </c>
    </row>
    <row r="67" ht="15.0" customHeight="1">
      <c r="A67" s="65" t="str">
        <f t="array" ref="A67">IFERROR(IF(LARGE($D$200:$D$249,28)&lt;=0,"",INDEX($A$200:$A$249,MATCH(LARGE($D$200:$D$249,28),$D$200:$D$249,0))),"")</f>
        <v/>
      </c>
      <c r="B67" s="66" t="str">
        <f t="array" ref="B67">IFERROR(IF(LARGE($D$200:$D$249,28)&lt;=0,"",INDEX($B$200:$B$249,MATCH(LARGE($D$200:$D$249,28),$D$200:$D$249,0))),"")</f>
        <v/>
      </c>
      <c r="C67" s="72" t="str">
        <f t="array" ref="C67">IFERROR(IF(LARGE($D$200:$D$249,28)&lt;=0,"",INDEX($C$200:$C$249,MATCH(LARGE($D$200:$D$249,28),$D$200:$D$249,0))),"")</f>
        <v/>
      </c>
      <c r="D67" s="73" t="str">
        <f>IFERROR(IF(B67="","",B67/SUMIFS(COBROS_DIARIOS!$K$4:$K$505,COBROS_DIARIOS!$A$4:$A$505,"&gt;="&amp;$B$2,COBROS_DIARIOS!$A$4:$A$505,"&lt;="&amp;EOMONTH($B$2,0))),"")</f>
        <v/>
      </c>
    </row>
    <row r="68" ht="15.0" customHeight="1">
      <c r="A68" s="65" t="str">
        <f t="array" ref="A68">IFERROR(IF(LARGE($D$200:$D$249,29)&lt;=0,"",INDEX($A$200:$A$249,MATCH(LARGE($D$200:$D$249,29),$D$200:$D$249,0))),"")</f>
        <v/>
      </c>
      <c r="B68" s="66" t="str">
        <f t="array" ref="B68">IFERROR(IF(LARGE($D$200:$D$249,29)&lt;=0,"",INDEX($B$200:$B$249,MATCH(LARGE($D$200:$D$249,29),$D$200:$D$249,0))),"")</f>
        <v/>
      </c>
      <c r="C68" s="72" t="str">
        <f t="array" ref="C68">IFERROR(IF(LARGE($D$200:$D$249,29)&lt;=0,"",INDEX($C$200:$C$249,MATCH(LARGE($D$200:$D$249,29),$D$200:$D$249,0))),"")</f>
        <v/>
      </c>
      <c r="D68" s="73" t="str">
        <f>IFERROR(IF(B68="","",B68/SUMIFS(COBROS_DIARIOS!$K$4:$K$505,COBROS_DIARIOS!$A$4:$A$505,"&gt;="&amp;$B$2,COBROS_DIARIOS!$A$4:$A$505,"&lt;="&amp;EOMONTH($B$2,0))),"")</f>
        <v/>
      </c>
    </row>
    <row r="69" ht="15.0" customHeight="1">
      <c r="A69" s="65" t="str">
        <f t="array" ref="A69">IFERROR(IF(LARGE($D$200:$D$249,30)&lt;=0,"",INDEX($A$200:$A$249,MATCH(LARGE($D$200:$D$249,30),$D$200:$D$249,0))),"")</f>
        <v/>
      </c>
      <c r="B69" s="66" t="str">
        <f t="array" ref="B69">IFERROR(IF(LARGE($D$200:$D$249,30)&lt;=0,"",INDEX($B$200:$B$249,MATCH(LARGE($D$200:$D$249,30),$D$200:$D$249,0))),"")</f>
        <v/>
      </c>
      <c r="C69" s="72" t="str">
        <f t="array" ref="C69">IFERROR(IF(LARGE($D$200:$D$249,30)&lt;=0,"",INDEX($C$200:$C$249,MATCH(LARGE($D$200:$D$249,30),$D$200:$D$249,0))),"")</f>
        <v/>
      </c>
      <c r="D69" s="73" t="str">
        <f>IFERROR(IF(B69="","",B69/SUMIFS(COBROS_DIARIOS!$K$4:$K$505,COBROS_DIARIOS!$A$4:$A$505,"&gt;="&amp;$B$2,COBROS_DIARIOS!$A$4:$A$505,"&lt;="&amp;EOMONTH($B$2,0))),"")</f>
        <v/>
      </c>
    </row>
    <row r="70" ht="15.75" customHeight="1"/>
    <row r="71" ht="15.75" customHeight="1"/>
    <row r="72" ht="21.75" customHeight="1">
      <c r="A72" s="74" t="s">
        <v>147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</row>
    <row r="73" ht="60.0" customHeight="1">
      <c r="A73" s="75" t="s">
        <v>7</v>
      </c>
      <c r="B73" s="76" t="str">
        <f>IFERROR(IF(PRODUCTOS!A4="","",PRODUCTOS!A4),"")</f>
        <v>jersey manga corta</v>
      </c>
      <c r="C73" s="76" t="str">
        <f>IFERROR(IF(PRODUCTOS!A5="","",PRODUCTOS!A5),"")</f>
        <v>jersey manga larga</v>
      </c>
      <c r="D73" s="76" t="str">
        <f>IFERROR(IF(PRODUCTOS!A6="","",PRODUCTOS!A6),"")</f>
        <v>wafle clasico</v>
      </c>
      <c r="E73" s="76" t="str">
        <f>IFERROR(IF(PRODUCTOS!A7="","",PRODUCTOS!A7),"")</f>
        <v>wafle manga larga</v>
      </c>
      <c r="F73" s="76" t="str">
        <f>IFERROR(IF(PRODUCTOS!A8="","",PRODUCTOS!A8),"")</f>
        <v>wafle camisero</v>
      </c>
      <c r="G73" s="76" t="str">
        <f>IFERROR(IF(PRODUCTOS!A9="","",PRODUCTOS!A9),"")</f>
        <v>pique camisero</v>
      </c>
      <c r="H73" s="76" t="str">
        <f>IFERROR(IF(PRODUCTOS!A10="","",PRODUCTOS!A10),"")</f>
        <v>top cero rib</v>
      </c>
      <c r="I73" s="76" t="str">
        <f>IFERROR(IF(PRODUCTOS!A11="","",PRODUCTOS!A11),"")</f>
        <v>top mc rib</v>
      </c>
      <c r="J73" s="76" t="str">
        <f>IFERROR(IF(PRODUCTOS!A12="","",PRODUCTOS!A12),"")</f>
        <v>top ml rib</v>
      </c>
      <c r="K73" s="76" t="str">
        <f>IFERROR(IF(PRODUCTOS!A13="","",PRODUCTOS!A13),"")</f>
        <v>baby ty mc</v>
      </c>
      <c r="L73" s="76" t="str">
        <f>IFERROR(IF(PRODUCTOS!A14="","",PRODUCTOS!A14),"")</f>
        <v>baby ty ml</v>
      </c>
      <c r="M73" s="76" t="str">
        <f>IFERROR(IF(PRODUCTOS!A15="","",PRODUCTOS!A15),"")</f>
        <v>Baby Tee con S</v>
      </c>
      <c r="N73" s="76" t="str">
        <f>IFERROR(IF(PRODUCTOS!A16="","",PRODUCTOS!A16),"")</f>
        <v>Baby Tee M/L S</v>
      </c>
      <c r="O73" s="76" t="str">
        <f>IFERROR(IF(PRODUCTOS!A17="","",PRODUCTOS!A17),"")</f>
        <v>polera neru</v>
      </c>
      <c r="P73" s="76" t="str">
        <f>IFERROR(IF(PRODUCTOS!A18="","",PRODUCTOS!A18),"")</f>
        <v>polera boxy</v>
      </c>
      <c r="Q73" s="76" t="str">
        <f>IFERROR(IF(PRODUCTOS!A19="","",PRODUCTOS!A19),"")</f>
        <v>pique cuello chino</v>
      </c>
      <c r="R73" s="76" t="str">
        <f>IFERROR(IF(PRODUCTOS!A20="","",PRODUCTOS!A20),"")</f>
        <v>wafle camisa</v>
      </c>
      <c r="S73" s="76" t="str">
        <f>IFERROR(IF(PRODUCTOS!A21="","",PRODUCTOS!A21),"")</f>
        <v/>
      </c>
      <c r="T73" s="76" t="str">
        <f>IFERROR(IF(PRODUCTOS!A22="","",PRODUCTOS!A22),"")</f>
        <v/>
      </c>
      <c r="U73" s="76" t="str">
        <f>IFERROR(IF(PRODUCTOS!A23="","",PRODUCTOS!A23),"")</f>
        <v/>
      </c>
      <c r="V73" s="76" t="str">
        <f>IFERROR(IF(PRODUCTOS!A24="","",PRODUCTOS!A24),"")</f>
        <v/>
      </c>
      <c r="W73" s="76" t="str">
        <f>IFERROR(IF(PRODUCTOS!A25="","",PRODUCTOS!A25),"")</f>
        <v/>
      </c>
      <c r="X73" s="76" t="str">
        <f>IFERROR(IF(PRODUCTOS!A26="","",PRODUCTOS!A26),"")</f>
        <v/>
      </c>
      <c r="Y73" s="76" t="str">
        <f>IFERROR(IF(PRODUCTOS!A27="","",PRODUCTOS!A27),"")</f>
        <v/>
      </c>
      <c r="Z73" s="76" t="str">
        <f>IFERROR(IF(PRODUCTOS!A28="","",PRODUCTOS!A28),"")</f>
        <v/>
      </c>
      <c r="AA73" s="77" t="s">
        <v>148</v>
      </c>
    </row>
    <row r="74" ht="15.0" customHeight="1">
      <c r="A74" s="65" t="str">
        <f>IFERROR(IF(COLORES!A4="","",COLORES!A4),"")</f>
        <v>Negro</v>
      </c>
      <c r="B74" s="78">
        <f>IF(OR(B$73="",$A74=""),"",IFERROR(SUMIFS(COBROS_DIARIOS!$K$4:$K$505,COBROS_DIARIOS!$E$4:$E$505,B$73,COBROS_DIARIOS!$F$4:$F$505,$A74,COBROS_DIARIOS!$A$4:$A$505,"&gt;="&amp;$B$2,COBROS_DIARIOS!$A$4:$A$505,"&lt;="&amp;EOMONTH($B$2,0)),0))</f>
        <v>668</v>
      </c>
      <c r="C74" s="78">
        <f>IF(OR(C$73="",$A74=""),"",IFERROR(SUMIFS(COBROS_DIARIOS!$K$4:$K$505,COBROS_DIARIOS!$E$4:$E$505,C$73,COBROS_DIARIOS!$F$4:$F$505,$A74,COBROS_DIARIOS!$A$4:$A$505,"&gt;="&amp;$B$2,COBROS_DIARIOS!$A$4:$A$505,"&lt;="&amp;EOMONTH($B$2,0)),0))</f>
        <v>294</v>
      </c>
      <c r="D74" s="78">
        <f>IF(OR(D$73="",$A74=""),"",IFERROR(SUMIFS(COBROS_DIARIOS!$K$4:$K$505,COBROS_DIARIOS!$E$4:$E$505,D$73,COBROS_DIARIOS!$F$4:$F$505,$A74,COBROS_DIARIOS!$A$4:$A$505,"&gt;="&amp;$B$2,COBROS_DIARIOS!$A$4:$A$505,"&lt;="&amp;EOMONTH($B$2,0)),0))</f>
        <v>1845</v>
      </c>
      <c r="E74" s="78">
        <f>IF(OR(E$73="",$A74=""),"",IFERROR(SUMIFS(COBROS_DIARIOS!$K$4:$K$505,COBROS_DIARIOS!$E$4:$E$505,E$73,COBROS_DIARIOS!$F$4:$F$505,$A74,COBROS_DIARIOS!$A$4:$A$505,"&gt;="&amp;$B$2,COBROS_DIARIOS!$A$4:$A$505,"&lt;="&amp;EOMONTH($B$2,0)),0))</f>
        <v>0</v>
      </c>
      <c r="F74" s="78">
        <f>IF(OR(F$73="",$A74=""),"",IFERROR(SUMIFS(COBROS_DIARIOS!$K$4:$K$505,COBROS_DIARIOS!$E$4:$E$505,F$73,COBROS_DIARIOS!$F$4:$F$505,$A74,COBROS_DIARIOS!$A$4:$A$505,"&gt;="&amp;$B$2,COBROS_DIARIOS!$A$4:$A$505,"&lt;="&amp;EOMONTH($B$2,0)),0))</f>
        <v>0</v>
      </c>
      <c r="G74" s="78">
        <f>IF(OR(G$73="",$A74=""),"",IFERROR(SUMIFS(COBROS_DIARIOS!$K$4:$K$505,COBROS_DIARIOS!$E$4:$E$505,G$73,COBROS_DIARIOS!$F$4:$F$505,$A74,COBROS_DIARIOS!$A$4:$A$505,"&gt;="&amp;$B$2,COBROS_DIARIOS!$A$4:$A$505,"&lt;="&amp;EOMONTH($B$2,0)),0))</f>
        <v>819</v>
      </c>
      <c r="H74" s="78">
        <f>IF(OR(H$73="",$A74=""),"",IFERROR(SUMIFS(COBROS_DIARIOS!$K$4:$K$505,COBROS_DIARIOS!$E$4:$E$505,H$73,COBROS_DIARIOS!$F$4:$F$505,$A74,COBROS_DIARIOS!$A$4:$A$505,"&gt;="&amp;$B$2,COBROS_DIARIOS!$A$4:$A$505,"&lt;="&amp;EOMONTH($B$2,0)),0))</f>
        <v>92</v>
      </c>
      <c r="I74" s="78">
        <f>IF(OR(I$73="",$A74=""),"",IFERROR(SUMIFS(COBROS_DIARIOS!$K$4:$K$505,COBROS_DIARIOS!$E$4:$E$505,I$73,COBROS_DIARIOS!$F$4:$F$505,$A74,COBROS_DIARIOS!$A$4:$A$505,"&gt;="&amp;$B$2,COBROS_DIARIOS!$A$4:$A$505,"&lt;="&amp;EOMONTH($B$2,0)),0))</f>
        <v>190</v>
      </c>
      <c r="J74" s="78">
        <f>IF(OR(J$73="",$A74=""),"",IFERROR(SUMIFS(COBROS_DIARIOS!$K$4:$K$505,COBROS_DIARIOS!$E$4:$E$505,J$73,COBROS_DIARIOS!$F$4:$F$505,$A74,COBROS_DIARIOS!$A$4:$A$505,"&gt;="&amp;$B$2,COBROS_DIARIOS!$A$4:$A$505,"&lt;="&amp;EOMONTH($B$2,0)),0))</f>
        <v>141</v>
      </c>
      <c r="K74" s="78">
        <f>IF(OR(K$73="",$A74=""),"",IFERROR(SUMIFS(COBROS_DIARIOS!$K$4:$K$505,COBROS_DIARIOS!$E$4:$E$505,K$73,COBROS_DIARIOS!$F$4:$F$505,$A74,COBROS_DIARIOS!$A$4:$A$505,"&gt;="&amp;$B$2,COBROS_DIARIOS!$A$4:$A$505,"&lt;="&amp;EOMONTH($B$2,0)),0))</f>
        <v>383</v>
      </c>
      <c r="L74" s="78">
        <f>IF(OR(L$73="",$A74=""),"",IFERROR(SUMIFS(COBROS_DIARIOS!$K$4:$K$505,COBROS_DIARIOS!$E$4:$E$505,L$73,COBROS_DIARIOS!$F$4:$F$505,$A74,COBROS_DIARIOS!$A$4:$A$505,"&gt;="&amp;$B$2,COBROS_DIARIOS!$A$4:$A$505,"&lt;="&amp;EOMONTH($B$2,0)),0))</f>
        <v>122</v>
      </c>
      <c r="M74" s="78">
        <f>IF(OR(M$73="",$A74=""),"",IFERROR(SUMIFS(COBROS_DIARIOS!$K$4:$K$505,COBROS_DIARIOS!$E$4:$E$505,M$73,COBROS_DIARIOS!$F$4:$F$505,$A74,COBROS_DIARIOS!$A$4:$A$505,"&gt;="&amp;$B$2,COBROS_DIARIOS!$A$4:$A$505,"&lt;="&amp;EOMONTH($B$2,0)),0))</f>
        <v>142</v>
      </c>
      <c r="N74" s="78">
        <f>IF(OR(N$73="",$A74=""),"",IFERROR(SUMIFS(COBROS_DIARIOS!$K$4:$K$505,COBROS_DIARIOS!$E$4:$E$505,N$73,COBROS_DIARIOS!$F$4:$F$505,$A74,COBROS_DIARIOS!$A$4:$A$505,"&gt;="&amp;$B$2,COBROS_DIARIOS!$A$4:$A$505,"&lt;="&amp;EOMONTH($B$2,0)),0))</f>
        <v>144</v>
      </c>
      <c r="O74" s="78">
        <f>IF(OR(O$73="",$A74=""),"",IFERROR(SUMIFS(COBROS_DIARIOS!$K$4:$K$505,COBROS_DIARIOS!$E$4:$E$505,O$73,COBROS_DIARIOS!$F$4:$F$505,$A74,COBROS_DIARIOS!$A$4:$A$505,"&gt;="&amp;$B$2,COBROS_DIARIOS!$A$4:$A$505,"&lt;="&amp;EOMONTH($B$2,0)),0))</f>
        <v>880</v>
      </c>
      <c r="P74" s="78">
        <f>IF(OR(P$73="",$A74=""),"",IFERROR(SUMIFS(COBROS_DIARIOS!$K$4:$K$505,COBROS_DIARIOS!$E$4:$E$505,P$73,COBROS_DIARIOS!$F$4:$F$505,$A74,COBROS_DIARIOS!$A$4:$A$505,"&gt;="&amp;$B$2,COBROS_DIARIOS!$A$4:$A$505,"&lt;="&amp;EOMONTH($B$2,0)),0))</f>
        <v>174</v>
      </c>
      <c r="Q74" s="78">
        <f>IF(OR(Q$73="",$A74=""),"",IFERROR(SUMIFS(COBROS_DIARIOS!$K$4:$K$505,COBROS_DIARIOS!$E$4:$E$505,Q$73,COBROS_DIARIOS!$F$4:$F$505,$A74,COBROS_DIARIOS!$A$4:$A$505,"&gt;="&amp;$B$2,COBROS_DIARIOS!$A$4:$A$505,"&lt;="&amp;EOMONTH($B$2,0)),0))</f>
        <v>0</v>
      </c>
      <c r="R74" s="78">
        <f>IF(OR(R$73="",$A74=""),"",IFERROR(SUMIFS(COBROS_DIARIOS!$K$4:$K$505,COBROS_DIARIOS!$E$4:$E$505,R$73,COBROS_DIARIOS!$F$4:$F$505,$A74,COBROS_DIARIOS!$A$4:$A$505,"&gt;="&amp;$B$2,COBROS_DIARIOS!$A$4:$A$505,"&lt;="&amp;EOMONTH($B$2,0)),0))</f>
        <v>130</v>
      </c>
      <c r="S74" s="78" t="str">
        <f>IF(OR(S$73="",$A74=""),"",IFERROR(SUMIFS(COBROS_DIARIOS!$K$4:$K$505,COBROS_DIARIOS!$E$4:$E$505,S$73,COBROS_DIARIOS!$F$4:$F$505,$A74,COBROS_DIARIOS!$A$4:$A$505,"&gt;="&amp;$B$2,COBROS_DIARIOS!$A$4:$A$505,"&lt;="&amp;EOMONTH($B$2,0)),0))</f>
        <v/>
      </c>
      <c r="T74" s="78" t="str">
        <f>IF(OR(T$73="",$A74=""),"",IFERROR(SUMIFS(COBROS_DIARIOS!$K$4:$K$505,COBROS_DIARIOS!$E$4:$E$505,T$73,COBROS_DIARIOS!$F$4:$F$505,$A74,COBROS_DIARIOS!$A$4:$A$505,"&gt;="&amp;$B$2,COBROS_DIARIOS!$A$4:$A$505,"&lt;="&amp;EOMONTH($B$2,0)),0))</f>
        <v/>
      </c>
      <c r="U74" s="78" t="str">
        <f>IF(OR(U$73="",$A74=""),"",IFERROR(SUMIFS(COBROS_DIARIOS!$K$4:$K$505,COBROS_DIARIOS!$E$4:$E$505,U$73,COBROS_DIARIOS!$F$4:$F$505,$A74,COBROS_DIARIOS!$A$4:$A$505,"&gt;="&amp;$B$2,COBROS_DIARIOS!$A$4:$A$505,"&lt;="&amp;EOMONTH($B$2,0)),0))</f>
        <v/>
      </c>
      <c r="V74" s="78" t="str">
        <f>IF(OR(V$73="",$A74=""),"",IFERROR(SUMIFS(COBROS_DIARIOS!$K$4:$K$505,COBROS_DIARIOS!$E$4:$E$505,V$73,COBROS_DIARIOS!$F$4:$F$505,$A74,COBROS_DIARIOS!$A$4:$A$505,"&gt;="&amp;$B$2,COBROS_DIARIOS!$A$4:$A$505,"&lt;="&amp;EOMONTH($B$2,0)),0))</f>
        <v/>
      </c>
      <c r="W74" s="78" t="str">
        <f>IF(OR(W$73="",$A74=""),"",IFERROR(SUMIFS(COBROS_DIARIOS!$K$4:$K$505,COBROS_DIARIOS!$E$4:$E$505,W$73,COBROS_DIARIOS!$F$4:$F$505,$A74,COBROS_DIARIOS!$A$4:$A$505,"&gt;="&amp;$B$2,COBROS_DIARIOS!$A$4:$A$505,"&lt;="&amp;EOMONTH($B$2,0)),0))</f>
        <v/>
      </c>
      <c r="X74" s="78" t="str">
        <f>IF(OR(X$73="",$A74=""),"",IFERROR(SUMIFS(COBROS_DIARIOS!$K$4:$K$505,COBROS_DIARIOS!$E$4:$E$505,X$73,COBROS_DIARIOS!$F$4:$F$505,$A74,COBROS_DIARIOS!$A$4:$A$505,"&gt;="&amp;$B$2,COBROS_DIARIOS!$A$4:$A$505,"&lt;="&amp;EOMONTH($B$2,0)),0))</f>
        <v/>
      </c>
      <c r="Y74" s="78" t="str">
        <f>IF(OR(Y$73="",$A74=""),"",IFERROR(SUMIFS(COBROS_DIARIOS!$K$4:$K$505,COBROS_DIARIOS!$E$4:$E$505,Y$73,COBROS_DIARIOS!$F$4:$F$505,$A74,COBROS_DIARIOS!$A$4:$A$505,"&gt;="&amp;$B$2,COBROS_DIARIOS!$A$4:$A$505,"&lt;="&amp;EOMONTH($B$2,0)),0))</f>
        <v/>
      </c>
      <c r="Z74" s="78" t="str">
        <f>IF(OR(Z$73="",$A74=""),"",IFERROR(SUMIFS(COBROS_DIARIOS!$K$4:$K$505,COBROS_DIARIOS!$E$4:$E$505,Z$73,COBROS_DIARIOS!$F$4:$F$505,$A74,COBROS_DIARIOS!$A$4:$A$505,"&gt;="&amp;$B$2,COBROS_DIARIOS!$A$4:$A$505,"&lt;="&amp;EOMONTH($B$2,0)),0))</f>
        <v/>
      </c>
      <c r="AA74" s="79">
        <f t="shared" ref="AA74:AA98" si="3">IFERROR(SUM(B74:Z74),0)</f>
        <v>6024</v>
      </c>
    </row>
    <row r="75" ht="15.0" customHeight="1">
      <c r="A75" s="65" t="str">
        <f>IFERROR(IF(COLORES!A5="","",COLORES!A5),"")</f>
        <v>Perla</v>
      </c>
      <c r="B75" s="78">
        <f>IF(OR(B$73="",$A75=""),"",IFERROR(SUMIFS(COBROS_DIARIOS!$K$4:$K$505,COBROS_DIARIOS!$E$4:$E$505,B$73,COBROS_DIARIOS!$F$4:$F$505,$A75,COBROS_DIARIOS!$A$4:$A$505,"&gt;="&amp;$B$2,COBROS_DIARIOS!$A$4:$A$505,"&lt;="&amp;EOMONTH($B$2,0)),0))</f>
        <v>0</v>
      </c>
      <c r="C75" s="78">
        <f>IF(OR(C$73="",$A75=""),"",IFERROR(SUMIFS(COBROS_DIARIOS!$K$4:$K$505,COBROS_DIARIOS!$E$4:$E$505,C$73,COBROS_DIARIOS!$F$4:$F$505,$A75,COBROS_DIARIOS!$A$4:$A$505,"&gt;="&amp;$B$2,COBROS_DIARIOS!$A$4:$A$505,"&lt;="&amp;EOMONTH($B$2,0)),0))</f>
        <v>202</v>
      </c>
      <c r="D75" s="78">
        <f>IF(OR(D$73="",$A75=""),"",IFERROR(SUMIFS(COBROS_DIARIOS!$K$4:$K$505,COBROS_DIARIOS!$E$4:$E$505,D$73,COBROS_DIARIOS!$F$4:$F$505,$A75,COBROS_DIARIOS!$A$4:$A$505,"&gt;="&amp;$B$2,COBROS_DIARIOS!$A$4:$A$505,"&lt;="&amp;EOMONTH($B$2,0)),0))</f>
        <v>904</v>
      </c>
      <c r="E75" s="78">
        <f>IF(OR(E$73="",$A75=""),"",IFERROR(SUMIFS(COBROS_DIARIOS!$K$4:$K$505,COBROS_DIARIOS!$E$4:$E$505,E$73,COBROS_DIARIOS!$F$4:$F$505,$A75,COBROS_DIARIOS!$A$4:$A$505,"&gt;="&amp;$B$2,COBROS_DIARIOS!$A$4:$A$505,"&lt;="&amp;EOMONTH($B$2,0)),0))</f>
        <v>0</v>
      </c>
      <c r="F75" s="78">
        <f>IF(OR(F$73="",$A75=""),"",IFERROR(SUMIFS(COBROS_DIARIOS!$K$4:$K$505,COBROS_DIARIOS!$E$4:$E$505,F$73,COBROS_DIARIOS!$F$4:$F$505,$A75,COBROS_DIARIOS!$A$4:$A$505,"&gt;="&amp;$B$2,COBROS_DIARIOS!$A$4:$A$505,"&lt;="&amp;EOMONTH($B$2,0)),0))</f>
        <v>0</v>
      </c>
      <c r="G75" s="78">
        <f>IF(OR(G$73="",$A75=""),"",IFERROR(SUMIFS(COBROS_DIARIOS!$K$4:$K$505,COBROS_DIARIOS!$E$4:$E$505,G$73,COBROS_DIARIOS!$F$4:$F$505,$A75,COBROS_DIARIOS!$A$4:$A$505,"&gt;="&amp;$B$2,COBROS_DIARIOS!$A$4:$A$505,"&lt;="&amp;EOMONTH($B$2,0)),0))</f>
        <v>406</v>
      </c>
      <c r="H75" s="78">
        <f>IF(OR(H$73="",$A75=""),"",IFERROR(SUMIFS(COBROS_DIARIOS!$K$4:$K$505,COBROS_DIARIOS!$E$4:$E$505,H$73,COBROS_DIARIOS!$F$4:$F$505,$A75,COBROS_DIARIOS!$A$4:$A$505,"&gt;="&amp;$B$2,COBROS_DIARIOS!$A$4:$A$505,"&lt;="&amp;EOMONTH($B$2,0)),0))</f>
        <v>62</v>
      </c>
      <c r="I75" s="78">
        <f>IF(OR(I$73="",$A75=""),"",IFERROR(SUMIFS(COBROS_DIARIOS!$K$4:$K$505,COBROS_DIARIOS!$E$4:$E$505,I$73,COBROS_DIARIOS!$F$4:$F$505,$A75,COBROS_DIARIOS!$A$4:$A$505,"&gt;="&amp;$B$2,COBROS_DIARIOS!$A$4:$A$505,"&lt;="&amp;EOMONTH($B$2,0)),0))</f>
        <v>126</v>
      </c>
      <c r="J75" s="78">
        <f>IF(OR(J$73="",$A75=""),"",IFERROR(SUMIFS(COBROS_DIARIOS!$K$4:$K$505,COBROS_DIARIOS!$E$4:$E$505,J$73,COBROS_DIARIOS!$F$4:$F$505,$A75,COBROS_DIARIOS!$A$4:$A$505,"&gt;="&amp;$B$2,COBROS_DIARIOS!$A$4:$A$505,"&lt;="&amp;EOMONTH($B$2,0)),0))</f>
        <v>95</v>
      </c>
      <c r="K75" s="78">
        <f>IF(OR(K$73="",$A75=""),"",IFERROR(SUMIFS(COBROS_DIARIOS!$K$4:$K$505,COBROS_DIARIOS!$E$4:$E$505,K$73,COBROS_DIARIOS!$F$4:$F$505,$A75,COBROS_DIARIOS!$A$4:$A$505,"&gt;="&amp;$B$2,COBROS_DIARIOS!$A$4:$A$505,"&lt;="&amp;EOMONTH($B$2,0)),0))</f>
        <v>341</v>
      </c>
      <c r="L75" s="78">
        <f>IF(OR(L$73="",$A75=""),"",IFERROR(SUMIFS(COBROS_DIARIOS!$K$4:$K$505,COBROS_DIARIOS!$E$4:$E$505,L$73,COBROS_DIARIOS!$F$4:$F$505,$A75,COBROS_DIARIOS!$A$4:$A$505,"&gt;="&amp;$B$2,COBROS_DIARIOS!$A$4:$A$505,"&lt;="&amp;EOMONTH($B$2,0)),0))</f>
        <v>285</v>
      </c>
      <c r="M75" s="78">
        <f>IF(OR(M$73="",$A75=""),"",IFERROR(SUMIFS(COBROS_DIARIOS!$K$4:$K$505,COBROS_DIARIOS!$E$4:$E$505,M$73,COBROS_DIARIOS!$F$4:$F$505,$A75,COBROS_DIARIOS!$A$4:$A$505,"&gt;="&amp;$B$2,COBROS_DIARIOS!$A$4:$A$505,"&lt;="&amp;EOMONTH($B$2,0)),0))</f>
        <v>180</v>
      </c>
      <c r="N75" s="78">
        <f>IF(OR(N$73="",$A75=""),"",IFERROR(SUMIFS(COBROS_DIARIOS!$K$4:$K$505,COBROS_DIARIOS!$E$4:$E$505,N$73,COBROS_DIARIOS!$F$4:$F$505,$A75,COBROS_DIARIOS!$A$4:$A$505,"&gt;="&amp;$B$2,COBROS_DIARIOS!$A$4:$A$505,"&lt;="&amp;EOMONTH($B$2,0)),0))</f>
        <v>184</v>
      </c>
      <c r="O75" s="78">
        <f>IF(OR(O$73="",$A75=""),"",IFERROR(SUMIFS(COBROS_DIARIOS!$K$4:$K$505,COBROS_DIARIOS!$E$4:$E$505,O$73,COBROS_DIARIOS!$F$4:$F$505,$A75,COBROS_DIARIOS!$A$4:$A$505,"&gt;="&amp;$B$2,COBROS_DIARIOS!$A$4:$A$505,"&lt;="&amp;EOMONTH($B$2,0)),0))</f>
        <v>210</v>
      </c>
      <c r="P75" s="78">
        <f>IF(OR(P$73="",$A75=""),"",IFERROR(SUMIFS(COBROS_DIARIOS!$K$4:$K$505,COBROS_DIARIOS!$E$4:$E$505,P$73,COBROS_DIARIOS!$F$4:$F$505,$A75,COBROS_DIARIOS!$A$4:$A$505,"&gt;="&amp;$B$2,COBROS_DIARIOS!$A$4:$A$505,"&lt;="&amp;EOMONTH($B$2,0)),0))</f>
        <v>0</v>
      </c>
      <c r="Q75" s="78">
        <f>IF(OR(Q$73="",$A75=""),"",IFERROR(SUMIFS(COBROS_DIARIOS!$K$4:$K$505,COBROS_DIARIOS!$E$4:$E$505,Q$73,COBROS_DIARIOS!$F$4:$F$505,$A75,COBROS_DIARIOS!$A$4:$A$505,"&gt;="&amp;$B$2,COBROS_DIARIOS!$A$4:$A$505,"&lt;="&amp;EOMONTH($B$2,0)),0))</f>
        <v>0</v>
      </c>
      <c r="R75" s="78">
        <f>IF(OR(R$73="",$A75=""),"",IFERROR(SUMIFS(COBROS_DIARIOS!$K$4:$K$505,COBROS_DIARIOS!$E$4:$E$505,R$73,COBROS_DIARIOS!$F$4:$F$505,$A75,COBROS_DIARIOS!$A$4:$A$505,"&gt;="&amp;$B$2,COBROS_DIARIOS!$A$4:$A$505,"&lt;="&amp;EOMONTH($B$2,0)),0))</f>
        <v>129</v>
      </c>
      <c r="S75" s="78" t="str">
        <f>IF(OR(S$73="",$A75=""),"",IFERROR(SUMIFS(COBROS_DIARIOS!$K$4:$K$505,COBROS_DIARIOS!$E$4:$E$505,S$73,COBROS_DIARIOS!$F$4:$F$505,$A75,COBROS_DIARIOS!$A$4:$A$505,"&gt;="&amp;$B$2,COBROS_DIARIOS!$A$4:$A$505,"&lt;="&amp;EOMONTH($B$2,0)),0))</f>
        <v/>
      </c>
      <c r="T75" s="78" t="str">
        <f>IF(OR(T$73="",$A75=""),"",IFERROR(SUMIFS(COBROS_DIARIOS!$K$4:$K$505,COBROS_DIARIOS!$E$4:$E$505,T$73,COBROS_DIARIOS!$F$4:$F$505,$A75,COBROS_DIARIOS!$A$4:$A$505,"&gt;="&amp;$B$2,COBROS_DIARIOS!$A$4:$A$505,"&lt;="&amp;EOMONTH($B$2,0)),0))</f>
        <v/>
      </c>
      <c r="U75" s="78" t="str">
        <f>IF(OR(U$73="",$A75=""),"",IFERROR(SUMIFS(COBROS_DIARIOS!$K$4:$K$505,COBROS_DIARIOS!$E$4:$E$505,U$73,COBROS_DIARIOS!$F$4:$F$505,$A75,COBROS_DIARIOS!$A$4:$A$505,"&gt;="&amp;$B$2,COBROS_DIARIOS!$A$4:$A$505,"&lt;="&amp;EOMONTH($B$2,0)),0))</f>
        <v/>
      </c>
      <c r="V75" s="78" t="str">
        <f>IF(OR(V$73="",$A75=""),"",IFERROR(SUMIFS(COBROS_DIARIOS!$K$4:$K$505,COBROS_DIARIOS!$E$4:$E$505,V$73,COBROS_DIARIOS!$F$4:$F$505,$A75,COBROS_DIARIOS!$A$4:$A$505,"&gt;="&amp;$B$2,COBROS_DIARIOS!$A$4:$A$505,"&lt;="&amp;EOMONTH($B$2,0)),0))</f>
        <v/>
      </c>
      <c r="W75" s="78" t="str">
        <f>IF(OR(W$73="",$A75=""),"",IFERROR(SUMIFS(COBROS_DIARIOS!$K$4:$K$505,COBROS_DIARIOS!$E$4:$E$505,W$73,COBROS_DIARIOS!$F$4:$F$505,$A75,COBROS_DIARIOS!$A$4:$A$505,"&gt;="&amp;$B$2,COBROS_DIARIOS!$A$4:$A$505,"&lt;="&amp;EOMONTH($B$2,0)),0))</f>
        <v/>
      </c>
      <c r="X75" s="78" t="str">
        <f>IF(OR(X$73="",$A75=""),"",IFERROR(SUMIFS(COBROS_DIARIOS!$K$4:$K$505,COBROS_DIARIOS!$E$4:$E$505,X$73,COBROS_DIARIOS!$F$4:$F$505,$A75,COBROS_DIARIOS!$A$4:$A$505,"&gt;="&amp;$B$2,COBROS_DIARIOS!$A$4:$A$505,"&lt;="&amp;EOMONTH($B$2,0)),0))</f>
        <v/>
      </c>
      <c r="Y75" s="78" t="str">
        <f>IF(OR(Y$73="",$A75=""),"",IFERROR(SUMIFS(COBROS_DIARIOS!$K$4:$K$505,COBROS_DIARIOS!$E$4:$E$505,Y$73,COBROS_DIARIOS!$F$4:$F$505,$A75,COBROS_DIARIOS!$A$4:$A$505,"&gt;="&amp;$B$2,COBROS_DIARIOS!$A$4:$A$505,"&lt;="&amp;EOMONTH($B$2,0)),0))</f>
        <v/>
      </c>
      <c r="Z75" s="78" t="str">
        <f>IF(OR(Z$73="",$A75=""),"",IFERROR(SUMIFS(COBROS_DIARIOS!$K$4:$K$505,COBROS_DIARIOS!$E$4:$E$505,Z$73,COBROS_DIARIOS!$F$4:$F$505,$A75,COBROS_DIARIOS!$A$4:$A$505,"&gt;="&amp;$B$2,COBROS_DIARIOS!$A$4:$A$505,"&lt;="&amp;EOMONTH($B$2,0)),0))</f>
        <v/>
      </c>
      <c r="AA75" s="79">
        <f t="shared" si="3"/>
        <v>3124</v>
      </c>
    </row>
    <row r="76" ht="15.0" customHeight="1">
      <c r="A76" s="65" t="str">
        <f>IFERROR(IF(COLORES!A6="","",COLORES!A6),"")</f>
        <v>Blanco</v>
      </c>
      <c r="B76" s="78">
        <f>IF(OR(B$73="",$A76=""),"",IFERROR(SUMIFS(COBROS_DIARIOS!$K$4:$K$505,COBROS_DIARIOS!$E$4:$E$505,B$73,COBROS_DIARIOS!$F$4:$F$505,$A76,COBROS_DIARIOS!$A$4:$A$505,"&gt;="&amp;$B$2,COBROS_DIARIOS!$A$4:$A$505,"&lt;="&amp;EOMONTH($B$2,0)),0))</f>
        <v>0</v>
      </c>
      <c r="C76" s="78">
        <f>IF(OR(C$73="",$A76=""),"",IFERROR(SUMIFS(COBROS_DIARIOS!$K$4:$K$505,COBROS_DIARIOS!$E$4:$E$505,C$73,COBROS_DIARIOS!$F$4:$F$505,$A76,COBROS_DIARIOS!$A$4:$A$505,"&gt;="&amp;$B$2,COBROS_DIARIOS!$A$4:$A$505,"&lt;="&amp;EOMONTH($B$2,0)),0))</f>
        <v>0</v>
      </c>
      <c r="D76" s="78">
        <f>IF(OR(D$73="",$A76=""),"",IFERROR(SUMIFS(COBROS_DIARIOS!$K$4:$K$505,COBROS_DIARIOS!$E$4:$E$505,D$73,COBROS_DIARIOS!$F$4:$F$505,$A76,COBROS_DIARIOS!$A$4:$A$505,"&gt;="&amp;$B$2,COBROS_DIARIOS!$A$4:$A$505,"&lt;="&amp;EOMONTH($B$2,0)),0))</f>
        <v>0</v>
      </c>
      <c r="E76" s="78">
        <f>IF(OR(E$73="",$A76=""),"",IFERROR(SUMIFS(COBROS_DIARIOS!$K$4:$K$505,COBROS_DIARIOS!$E$4:$E$505,E$73,COBROS_DIARIOS!$F$4:$F$505,$A76,COBROS_DIARIOS!$A$4:$A$505,"&gt;="&amp;$B$2,COBROS_DIARIOS!$A$4:$A$505,"&lt;="&amp;EOMONTH($B$2,0)),0))</f>
        <v>0</v>
      </c>
      <c r="F76" s="78">
        <f>IF(OR(F$73="",$A76=""),"",IFERROR(SUMIFS(COBROS_DIARIOS!$K$4:$K$505,COBROS_DIARIOS!$E$4:$E$505,F$73,COBROS_DIARIOS!$F$4:$F$505,$A76,COBROS_DIARIOS!$A$4:$A$505,"&gt;="&amp;$B$2,COBROS_DIARIOS!$A$4:$A$505,"&lt;="&amp;EOMONTH($B$2,0)),0))</f>
        <v>0</v>
      </c>
      <c r="G76" s="78">
        <f>IF(OR(G$73="",$A76=""),"",IFERROR(SUMIFS(COBROS_DIARIOS!$K$4:$K$505,COBROS_DIARIOS!$E$4:$E$505,G$73,COBROS_DIARIOS!$F$4:$F$505,$A76,COBROS_DIARIOS!$A$4:$A$505,"&gt;="&amp;$B$2,COBROS_DIARIOS!$A$4:$A$505,"&lt;="&amp;EOMONTH($B$2,0)),0))</f>
        <v>0</v>
      </c>
      <c r="H76" s="78">
        <f>IF(OR(H$73="",$A76=""),"",IFERROR(SUMIFS(COBROS_DIARIOS!$K$4:$K$505,COBROS_DIARIOS!$E$4:$E$505,H$73,COBROS_DIARIOS!$F$4:$F$505,$A76,COBROS_DIARIOS!$A$4:$A$505,"&gt;="&amp;$B$2,COBROS_DIARIOS!$A$4:$A$505,"&lt;="&amp;EOMONTH($B$2,0)),0))</f>
        <v>0</v>
      </c>
      <c r="I76" s="78">
        <f>IF(OR(I$73="",$A76=""),"",IFERROR(SUMIFS(COBROS_DIARIOS!$K$4:$K$505,COBROS_DIARIOS!$E$4:$E$505,I$73,COBROS_DIARIOS!$F$4:$F$505,$A76,COBROS_DIARIOS!$A$4:$A$505,"&gt;="&amp;$B$2,COBROS_DIARIOS!$A$4:$A$505,"&lt;="&amp;EOMONTH($B$2,0)),0))</f>
        <v>0</v>
      </c>
      <c r="J76" s="78">
        <f>IF(OR(J$73="",$A76=""),"",IFERROR(SUMIFS(COBROS_DIARIOS!$K$4:$K$505,COBROS_DIARIOS!$E$4:$E$505,J$73,COBROS_DIARIOS!$F$4:$F$505,$A76,COBROS_DIARIOS!$A$4:$A$505,"&gt;="&amp;$B$2,COBROS_DIARIOS!$A$4:$A$505,"&lt;="&amp;EOMONTH($B$2,0)),0))</f>
        <v>0</v>
      </c>
      <c r="K76" s="78">
        <f>IF(OR(K$73="",$A76=""),"",IFERROR(SUMIFS(COBROS_DIARIOS!$K$4:$K$505,COBROS_DIARIOS!$E$4:$E$505,K$73,COBROS_DIARIOS!$F$4:$F$505,$A76,COBROS_DIARIOS!$A$4:$A$505,"&gt;="&amp;$B$2,COBROS_DIARIOS!$A$4:$A$505,"&lt;="&amp;EOMONTH($B$2,0)),0))</f>
        <v>0</v>
      </c>
      <c r="L76" s="78">
        <f>IF(OR(L$73="",$A76=""),"",IFERROR(SUMIFS(COBROS_DIARIOS!$K$4:$K$505,COBROS_DIARIOS!$E$4:$E$505,L$73,COBROS_DIARIOS!$F$4:$F$505,$A76,COBROS_DIARIOS!$A$4:$A$505,"&gt;="&amp;$B$2,COBROS_DIARIOS!$A$4:$A$505,"&lt;="&amp;EOMONTH($B$2,0)),0))</f>
        <v>0</v>
      </c>
      <c r="M76" s="78">
        <f>IF(OR(M$73="",$A76=""),"",IFERROR(SUMIFS(COBROS_DIARIOS!$K$4:$K$505,COBROS_DIARIOS!$E$4:$E$505,M$73,COBROS_DIARIOS!$F$4:$F$505,$A76,COBROS_DIARIOS!$A$4:$A$505,"&gt;="&amp;$B$2,COBROS_DIARIOS!$A$4:$A$505,"&lt;="&amp;EOMONTH($B$2,0)),0))</f>
        <v>0</v>
      </c>
      <c r="N76" s="78">
        <f>IF(OR(N$73="",$A76=""),"",IFERROR(SUMIFS(COBROS_DIARIOS!$K$4:$K$505,COBROS_DIARIOS!$E$4:$E$505,N$73,COBROS_DIARIOS!$F$4:$F$505,$A76,COBROS_DIARIOS!$A$4:$A$505,"&gt;="&amp;$B$2,COBROS_DIARIOS!$A$4:$A$505,"&lt;="&amp;EOMONTH($B$2,0)),0))</f>
        <v>0</v>
      </c>
      <c r="O76" s="78">
        <f>IF(OR(O$73="",$A76=""),"",IFERROR(SUMIFS(COBROS_DIARIOS!$K$4:$K$505,COBROS_DIARIOS!$E$4:$E$505,O$73,COBROS_DIARIOS!$F$4:$F$505,$A76,COBROS_DIARIOS!$A$4:$A$505,"&gt;="&amp;$B$2,COBROS_DIARIOS!$A$4:$A$505,"&lt;="&amp;EOMONTH($B$2,0)),0))</f>
        <v>0</v>
      </c>
      <c r="P76" s="78">
        <f>IF(OR(P$73="",$A76=""),"",IFERROR(SUMIFS(COBROS_DIARIOS!$K$4:$K$505,COBROS_DIARIOS!$E$4:$E$505,P$73,COBROS_DIARIOS!$F$4:$F$505,$A76,COBROS_DIARIOS!$A$4:$A$505,"&gt;="&amp;$B$2,COBROS_DIARIOS!$A$4:$A$505,"&lt;="&amp;EOMONTH($B$2,0)),0))</f>
        <v>0</v>
      </c>
      <c r="Q76" s="78">
        <f>IF(OR(Q$73="",$A76=""),"",IFERROR(SUMIFS(COBROS_DIARIOS!$K$4:$K$505,COBROS_DIARIOS!$E$4:$E$505,Q$73,COBROS_DIARIOS!$F$4:$F$505,$A76,COBROS_DIARIOS!$A$4:$A$505,"&gt;="&amp;$B$2,COBROS_DIARIOS!$A$4:$A$505,"&lt;="&amp;EOMONTH($B$2,0)),0))</f>
        <v>0</v>
      </c>
      <c r="R76" s="78">
        <f>IF(OR(R$73="",$A76=""),"",IFERROR(SUMIFS(COBROS_DIARIOS!$K$4:$K$505,COBROS_DIARIOS!$E$4:$E$505,R$73,COBROS_DIARIOS!$F$4:$F$505,$A76,COBROS_DIARIOS!$A$4:$A$505,"&gt;="&amp;$B$2,COBROS_DIARIOS!$A$4:$A$505,"&lt;="&amp;EOMONTH($B$2,0)),0))</f>
        <v>0</v>
      </c>
      <c r="S76" s="78" t="str">
        <f>IF(OR(S$73="",$A76=""),"",IFERROR(SUMIFS(COBROS_DIARIOS!$K$4:$K$505,COBROS_DIARIOS!$E$4:$E$505,S$73,COBROS_DIARIOS!$F$4:$F$505,$A76,COBROS_DIARIOS!$A$4:$A$505,"&gt;="&amp;$B$2,COBROS_DIARIOS!$A$4:$A$505,"&lt;="&amp;EOMONTH($B$2,0)),0))</f>
        <v/>
      </c>
      <c r="T76" s="78" t="str">
        <f>IF(OR(T$73="",$A76=""),"",IFERROR(SUMIFS(COBROS_DIARIOS!$K$4:$K$505,COBROS_DIARIOS!$E$4:$E$505,T$73,COBROS_DIARIOS!$F$4:$F$505,$A76,COBROS_DIARIOS!$A$4:$A$505,"&gt;="&amp;$B$2,COBROS_DIARIOS!$A$4:$A$505,"&lt;="&amp;EOMONTH($B$2,0)),0))</f>
        <v/>
      </c>
      <c r="U76" s="78" t="str">
        <f>IF(OR(U$73="",$A76=""),"",IFERROR(SUMIFS(COBROS_DIARIOS!$K$4:$K$505,COBROS_DIARIOS!$E$4:$E$505,U$73,COBROS_DIARIOS!$F$4:$F$505,$A76,COBROS_DIARIOS!$A$4:$A$505,"&gt;="&amp;$B$2,COBROS_DIARIOS!$A$4:$A$505,"&lt;="&amp;EOMONTH($B$2,0)),0))</f>
        <v/>
      </c>
      <c r="V76" s="78" t="str">
        <f>IF(OR(V$73="",$A76=""),"",IFERROR(SUMIFS(COBROS_DIARIOS!$K$4:$K$505,COBROS_DIARIOS!$E$4:$E$505,V$73,COBROS_DIARIOS!$F$4:$F$505,$A76,COBROS_DIARIOS!$A$4:$A$505,"&gt;="&amp;$B$2,COBROS_DIARIOS!$A$4:$A$505,"&lt;="&amp;EOMONTH($B$2,0)),0))</f>
        <v/>
      </c>
      <c r="W76" s="78" t="str">
        <f>IF(OR(W$73="",$A76=""),"",IFERROR(SUMIFS(COBROS_DIARIOS!$K$4:$K$505,COBROS_DIARIOS!$E$4:$E$505,W$73,COBROS_DIARIOS!$F$4:$F$505,$A76,COBROS_DIARIOS!$A$4:$A$505,"&gt;="&amp;$B$2,COBROS_DIARIOS!$A$4:$A$505,"&lt;="&amp;EOMONTH($B$2,0)),0))</f>
        <v/>
      </c>
      <c r="X76" s="78" t="str">
        <f>IF(OR(X$73="",$A76=""),"",IFERROR(SUMIFS(COBROS_DIARIOS!$K$4:$K$505,COBROS_DIARIOS!$E$4:$E$505,X$73,COBROS_DIARIOS!$F$4:$F$505,$A76,COBROS_DIARIOS!$A$4:$A$505,"&gt;="&amp;$B$2,COBROS_DIARIOS!$A$4:$A$505,"&lt;="&amp;EOMONTH($B$2,0)),0))</f>
        <v/>
      </c>
      <c r="Y76" s="78" t="str">
        <f>IF(OR(Y$73="",$A76=""),"",IFERROR(SUMIFS(COBROS_DIARIOS!$K$4:$K$505,COBROS_DIARIOS!$E$4:$E$505,Y$73,COBROS_DIARIOS!$F$4:$F$505,$A76,COBROS_DIARIOS!$A$4:$A$505,"&gt;="&amp;$B$2,COBROS_DIARIOS!$A$4:$A$505,"&lt;="&amp;EOMONTH($B$2,0)),0))</f>
        <v/>
      </c>
      <c r="Z76" s="78" t="str">
        <f>IF(OR(Z$73="",$A76=""),"",IFERROR(SUMIFS(COBROS_DIARIOS!$K$4:$K$505,COBROS_DIARIOS!$E$4:$E$505,Z$73,COBROS_DIARIOS!$F$4:$F$505,$A76,COBROS_DIARIOS!$A$4:$A$505,"&gt;="&amp;$B$2,COBROS_DIARIOS!$A$4:$A$505,"&lt;="&amp;EOMONTH($B$2,0)),0))</f>
        <v/>
      </c>
      <c r="AA76" s="79">
        <f t="shared" si="3"/>
        <v>0</v>
      </c>
    </row>
    <row r="77" ht="15.0" customHeight="1">
      <c r="A77" s="65" t="str">
        <f>IFERROR(IF(COLORES!A7="","",COLORES!A7),"")</f>
        <v>Azul</v>
      </c>
      <c r="B77" s="78">
        <f>IF(OR(B$73="",$A77=""),"",IFERROR(SUMIFS(COBROS_DIARIOS!$K$4:$K$505,COBROS_DIARIOS!$E$4:$E$505,B$73,COBROS_DIARIOS!$F$4:$F$505,$A77,COBROS_DIARIOS!$A$4:$A$505,"&gt;="&amp;$B$2,COBROS_DIARIOS!$A$4:$A$505,"&lt;="&amp;EOMONTH($B$2,0)),0))</f>
        <v>0</v>
      </c>
      <c r="C77" s="78">
        <f>IF(OR(C$73="",$A77=""),"",IFERROR(SUMIFS(COBROS_DIARIOS!$K$4:$K$505,COBROS_DIARIOS!$E$4:$E$505,C$73,COBROS_DIARIOS!$F$4:$F$505,$A77,COBROS_DIARIOS!$A$4:$A$505,"&gt;="&amp;$B$2,COBROS_DIARIOS!$A$4:$A$505,"&lt;="&amp;EOMONTH($B$2,0)),0))</f>
        <v>0</v>
      </c>
      <c r="D77" s="78">
        <f>IF(OR(D$73="",$A77=""),"",IFERROR(SUMIFS(COBROS_DIARIOS!$K$4:$K$505,COBROS_DIARIOS!$E$4:$E$505,D$73,COBROS_DIARIOS!$F$4:$F$505,$A77,COBROS_DIARIOS!$A$4:$A$505,"&gt;="&amp;$B$2,COBROS_DIARIOS!$A$4:$A$505,"&lt;="&amp;EOMONTH($B$2,0)),0))</f>
        <v>0</v>
      </c>
      <c r="E77" s="78">
        <f>IF(OR(E$73="",$A77=""),"",IFERROR(SUMIFS(COBROS_DIARIOS!$K$4:$K$505,COBROS_DIARIOS!$E$4:$E$505,E$73,COBROS_DIARIOS!$F$4:$F$505,$A77,COBROS_DIARIOS!$A$4:$A$505,"&gt;="&amp;$B$2,COBROS_DIARIOS!$A$4:$A$505,"&lt;="&amp;EOMONTH($B$2,0)),0))</f>
        <v>0</v>
      </c>
      <c r="F77" s="78">
        <f>IF(OR(F$73="",$A77=""),"",IFERROR(SUMIFS(COBROS_DIARIOS!$K$4:$K$505,COBROS_DIARIOS!$E$4:$E$505,F$73,COBROS_DIARIOS!$F$4:$F$505,$A77,COBROS_DIARIOS!$A$4:$A$505,"&gt;="&amp;$B$2,COBROS_DIARIOS!$A$4:$A$505,"&lt;="&amp;EOMONTH($B$2,0)),0))</f>
        <v>0</v>
      </c>
      <c r="G77" s="78">
        <f>IF(OR(G$73="",$A77=""),"",IFERROR(SUMIFS(COBROS_DIARIOS!$K$4:$K$505,COBROS_DIARIOS!$E$4:$E$505,G$73,COBROS_DIARIOS!$F$4:$F$505,$A77,COBROS_DIARIOS!$A$4:$A$505,"&gt;="&amp;$B$2,COBROS_DIARIOS!$A$4:$A$505,"&lt;="&amp;EOMONTH($B$2,0)),0))</f>
        <v>0</v>
      </c>
      <c r="H77" s="78">
        <f>IF(OR(H$73="",$A77=""),"",IFERROR(SUMIFS(COBROS_DIARIOS!$K$4:$K$505,COBROS_DIARIOS!$E$4:$E$505,H$73,COBROS_DIARIOS!$F$4:$F$505,$A77,COBROS_DIARIOS!$A$4:$A$505,"&gt;="&amp;$B$2,COBROS_DIARIOS!$A$4:$A$505,"&lt;="&amp;EOMONTH($B$2,0)),0))</f>
        <v>0</v>
      </c>
      <c r="I77" s="78">
        <f>IF(OR(I$73="",$A77=""),"",IFERROR(SUMIFS(COBROS_DIARIOS!$K$4:$K$505,COBROS_DIARIOS!$E$4:$E$505,I$73,COBROS_DIARIOS!$F$4:$F$505,$A77,COBROS_DIARIOS!$A$4:$A$505,"&gt;="&amp;$B$2,COBROS_DIARIOS!$A$4:$A$505,"&lt;="&amp;EOMONTH($B$2,0)),0))</f>
        <v>0</v>
      </c>
      <c r="J77" s="78">
        <f>IF(OR(J$73="",$A77=""),"",IFERROR(SUMIFS(COBROS_DIARIOS!$K$4:$K$505,COBROS_DIARIOS!$E$4:$E$505,J$73,COBROS_DIARIOS!$F$4:$F$505,$A77,COBROS_DIARIOS!$A$4:$A$505,"&gt;="&amp;$B$2,COBROS_DIARIOS!$A$4:$A$505,"&lt;="&amp;EOMONTH($B$2,0)),0))</f>
        <v>0</v>
      </c>
      <c r="K77" s="78">
        <f>IF(OR(K$73="",$A77=""),"",IFERROR(SUMIFS(COBROS_DIARIOS!$K$4:$K$505,COBROS_DIARIOS!$E$4:$E$505,K$73,COBROS_DIARIOS!$F$4:$F$505,$A77,COBROS_DIARIOS!$A$4:$A$505,"&gt;="&amp;$B$2,COBROS_DIARIOS!$A$4:$A$505,"&lt;="&amp;EOMONTH($B$2,0)),0))</f>
        <v>0</v>
      </c>
      <c r="L77" s="78">
        <f>IF(OR(L$73="",$A77=""),"",IFERROR(SUMIFS(COBROS_DIARIOS!$K$4:$K$505,COBROS_DIARIOS!$E$4:$E$505,L$73,COBROS_DIARIOS!$F$4:$F$505,$A77,COBROS_DIARIOS!$A$4:$A$505,"&gt;="&amp;$B$2,COBROS_DIARIOS!$A$4:$A$505,"&lt;="&amp;EOMONTH($B$2,0)),0))</f>
        <v>0</v>
      </c>
      <c r="M77" s="78">
        <f>IF(OR(M$73="",$A77=""),"",IFERROR(SUMIFS(COBROS_DIARIOS!$K$4:$K$505,COBROS_DIARIOS!$E$4:$E$505,M$73,COBROS_DIARIOS!$F$4:$F$505,$A77,COBROS_DIARIOS!$A$4:$A$505,"&gt;="&amp;$B$2,COBROS_DIARIOS!$A$4:$A$505,"&lt;="&amp;EOMONTH($B$2,0)),0))</f>
        <v>0</v>
      </c>
      <c r="N77" s="78">
        <f>IF(OR(N$73="",$A77=""),"",IFERROR(SUMIFS(COBROS_DIARIOS!$K$4:$K$505,COBROS_DIARIOS!$E$4:$E$505,N$73,COBROS_DIARIOS!$F$4:$F$505,$A77,COBROS_DIARIOS!$A$4:$A$505,"&gt;="&amp;$B$2,COBROS_DIARIOS!$A$4:$A$505,"&lt;="&amp;EOMONTH($B$2,0)),0))</f>
        <v>0</v>
      </c>
      <c r="O77" s="78">
        <f>IF(OR(O$73="",$A77=""),"",IFERROR(SUMIFS(COBROS_DIARIOS!$K$4:$K$505,COBROS_DIARIOS!$E$4:$E$505,O$73,COBROS_DIARIOS!$F$4:$F$505,$A77,COBROS_DIARIOS!$A$4:$A$505,"&gt;="&amp;$B$2,COBROS_DIARIOS!$A$4:$A$505,"&lt;="&amp;EOMONTH($B$2,0)),0))</f>
        <v>0</v>
      </c>
      <c r="P77" s="78">
        <f>IF(OR(P$73="",$A77=""),"",IFERROR(SUMIFS(COBROS_DIARIOS!$K$4:$K$505,COBROS_DIARIOS!$E$4:$E$505,P$73,COBROS_DIARIOS!$F$4:$F$505,$A77,COBROS_DIARIOS!$A$4:$A$505,"&gt;="&amp;$B$2,COBROS_DIARIOS!$A$4:$A$505,"&lt;="&amp;EOMONTH($B$2,0)),0))</f>
        <v>0</v>
      </c>
      <c r="Q77" s="78">
        <f>IF(OR(Q$73="",$A77=""),"",IFERROR(SUMIFS(COBROS_DIARIOS!$K$4:$K$505,COBROS_DIARIOS!$E$4:$E$505,Q$73,COBROS_DIARIOS!$F$4:$F$505,$A77,COBROS_DIARIOS!$A$4:$A$505,"&gt;="&amp;$B$2,COBROS_DIARIOS!$A$4:$A$505,"&lt;="&amp;EOMONTH($B$2,0)),0))</f>
        <v>0</v>
      </c>
      <c r="R77" s="78">
        <f>IF(OR(R$73="",$A77=""),"",IFERROR(SUMIFS(COBROS_DIARIOS!$K$4:$K$505,COBROS_DIARIOS!$E$4:$E$505,R$73,COBROS_DIARIOS!$F$4:$F$505,$A77,COBROS_DIARIOS!$A$4:$A$505,"&gt;="&amp;$B$2,COBROS_DIARIOS!$A$4:$A$505,"&lt;="&amp;EOMONTH($B$2,0)),0))</f>
        <v>0</v>
      </c>
      <c r="S77" s="78" t="str">
        <f>IF(OR(S$73="",$A77=""),"",IFERROR(SUMIFS(COBROS_DIARIOS!$K$4:$K$505,COBROS_DIARIOS!$E$4:$E$505,S$73,COBROS_DIARIOS!$F$4:$F$505,$A77,COBROS_DIARIOS!$A$4:$A$505,"&gt;="&amp;$B$2,COBROS_DIARIOS!$A$4:$A$505,"&lt;="&amp;EOMONTH($B$2,0)),0))</f>
        <v/>
      </c>
      <c r="T77" s="78" t="str">
        <f>IF(OR(T$73="",$A77=""),"",IFERROR(SUMIFS(COBROS_DIARIOS!$K$4:$K$505,COBROS_DIARIOS!$E$4:$E$505,T$73,COBROS_DIARIOS!$F$4:$F$505,$A77,COBROS_DIARIOS!$A$4:$A$505,"&gt;="&amp;$B$2,COBROS_DIARIOS!$A$4:$A$505,"&lt;="&amp;EOMONTH($B$2,0)),0))</f>
        <v/>
      </c>
      <c r="U77" s="78" t="str">
        <f>IF(OR(U$73="",$A77=""),"",IFERROR(SUMIFS(COBROS_DIARIOS!$K$4:$K$505,COBROS_DIARIOS!$E$4:$E$505,U$73,COBROS_DIARIOS!$F$4:$F$505,$A77,COBROS_DIARIOS!$A$4:$A$505,"&gt;="&amp;$B$2,COBROS_DIARIOS!$A$4:$A$505,"&lt;="&amp;EOMONTH($B$2,0)),0))</f>
        <v/>
      </c>
      <c r="V77" s="78" t="str">
        <f>IF(OR(V$73="",$A77=""),"",IFERROR(SUMIFS(COBROS_DIARIOS!$K$4:$K$505,COBROS_DIARIOS!$E$4:$E$505,V$73,COBROS_DIARIOS!$F$4:$F$505,$A77,COBROS_DIARIOS!$A$4:$A$505,"&gt;="&amp;$B$2,COBROS_DIARIOS!$A$4:$A$505,"&lt;="&amp;EOMONTH($B$2,0)),0))</f>
        <v/>
      </c>
      <c r="W77" s="78" t="str">
        <f>IF(OR(W$73="",$A77=""),"",IFERROR(SUMIFS(COBROS_DIARIOS!$K$4:$K$505,COBROS_DIARIOS!$E$4:$E$505,W$73,COBROS_DIARIOS!$F$4:$F$505,$A77,COBROS_DIARIOS!$A$4:$A$505,"&gt;="&amp;$B$2,COBROS_DIARIOS!$A$4:$A$505,"&lt;="&amp;EOMONTH($B$2,0)),0))</f>
        <v/>
      </c>
      <c r="X77" s="78" t="str">
        <f>IF(OR(X$73="",$A77=""),"",IFERROR(SUMIFS(COBROS_DIARIOS!$K$4:$K$505,COBROS_DIARIOS!$E$4:$E$505,X$73,COBROS_DIARIOS!$F$4:$F$505,$A77,COBROS_DIARIOS!$A$4:$A$505,"&gt;="&amp;$B$2,COBROS_DIARIOS!$A$4:$A$505,"&lt;="&amp;EOMONTH($B$2,0)),0))</f>
        <v/>
      </c>
      <c r="Y77" s="78" t="str">
        <f>IF(OR(Y$73="",$A77=""),"",IFERROR(SUMIFS(COBROS_DIARIOS!$K$4:$K$505,COBROS_DIARIOS!$E$4:$E$505,Y$73,COBROS_DIARIOS!$F$4:$F$505,$A77,COBROS_DIARIOS!$A$4:$A$505,"&gt;="&amp;$B$2,COBROS_DIARIOS!$A$4:$A$505,"&lt;="&amp;EOMONTH($B$2,0)),0))</f>
        <v/>
      </c>
      <c r="Z77" s="78" t="str">
        <f>IF(OR(Z$73="",$A77=""),"",IFERROR(SUMIFS(COBROS_DIARIOS!$K$4:$K$505,COBROS_DIARIOS!$E$4:$E$505,Z$73,COBROS_DIARIOS!$F$4:$F$505,$A77,COBROS_DIARIOS!$A$4:$A$505,"&gt;="&amp;$B$2,COBROS_DIARIOS!$A$4:$A$505,"&lt;="&amp;EOMONTH($B$2,0)),0))</f>
        <v/>
      </c>
      <c r="AA77" s="79">
        <f t="shared" si="3"/>
        <v>0</v>
      </c>
    </row>
    <row r="78" ht="15.0" customHeight="1">
      <c r="A78" s="65" t="str">
        <f>IFERROR(IF(COLORES!A8="","",COLORES!A8),"")</f>
        <v>Beige</v>
      </c>
      <c r="B78" s="78">
        <f>IF(OR(B$73="",$A78=""),"",IFERROR(SUMIFS(COBROS_DIARIOS!$K$4:$K$505,COBROS_DIARIOS!$E$4:$E$505,B$73,COBROS_DIARIOS!$F$4:$F$505,$A78,COBROS_DIARIOS!$A$4:$A$505,"&gt;="&amp;$B$2,COBROS_DIARIOS!$A$4:$A$505,"&lt;="&amp;EOMONTH($B$2,0)),0))</f>
        <v>392</v>
      </c>
      <c r="C78" s="78">
        <f>IF(OR(C$73="",$A78=""),"",IFERROR(SUMIFS(COBROS_DIARIOS!$K$4:$K$505,COBROS_DIARIOS!$E$4:$E$505,C$73,COBROS_DIARIOS!$F$4:$F$505,$A78,COBROS_DIARIOS!$A$4:$A$505,"&gt;="&amp;$B$2,COBROS_DIARIOS!$A$4:$A$505,"&lt;="&amp;EOMONTH($B$2,0)),0))</f>
        <v>0</v>
      </c>
      <c r="D78" s="78">
        <f>IF(OR(D$73="",$A78=""),"",IFERROR(SUMIFS(COBROS_DIARIOS!$K$4:$K$505,COBROS_DIARIOS!$E$4:$E$505,D$73,COBROS_DIARIOS!$F$4:$F$505,$A78,COBROS_DIARIOS!$A$4:$A$505,"&gt;="&amp;$B$2,COBROS_DIARIOS!$A$4:$A$505,"&lt;="&amp;EOMONTH($B$2,0)),0))</f>
        <v>404</v>
      </c>
      <c r="E78" s="78">
        <f>IF(OR(E$73="",$A78=""),"",IFERROR(SUMIFS(COBROS_DIARIOS!$K$4:$K$505,COBROS_DIARIOS!$E$4:$E$505,E$73,COBROS_DIARIOS!$F$4:$F$505,$A78,COBROS_DIARIOS!$A$4:$A$505,"&gt;="&amp;$B$2,COBROS_DIARIOS!$A$4:$A$505,"&lt;="&amp;EOMONTH($B$2,0)),0))</f>
        <v>323</v>
      </c>
      <c r="F78" s="78">
        <f>IF(OR(F$73="",$A78=""),"",IFERROR(SUMIFS(COBROS_DIARIOS!$K$4:$K$505,COBROS_DIARIOS!$E$4:$E$505,F$73,COBROS_DIARIOS!$F$4:$F$505,$A78,COBROS_DIARIOS!$A$4:$A$505,"&gt;="&amp;$B$2,COBROS_DIARIOS!$A$4:$A$505,"&lt;="&amp;EOMONTH($B$2,0)),0))</f>
        <v>0</v>
      </c>
      <c r="G78" s="78">
        <f>IF(OR(G$73="",$A78=""),"",IFERROR(SUMIFS(COBROS_DIARIOS!$K$4:$K$505,COBROS_DIARIOS!$E$4:$E$505,G$73,COBROS_DIARIOS!$F$4:$F$505,$A78,COBROS_DIARIOS!$A$4:$A$505,"&gt;="&amp;$B$2,COBROS_DIARIOS!$A$4:$A$505,"&lt;="&amp;EOMONTH($B$2,0)),0))</f>
        <v>207</v>
      </c>
      <c r="H78" s="78">
        <f>IF(OR(H$73="",$A78=""),"",IFERROR(SUMIFS(COBROS_DIARIOS!$K$4:$K$505,COBROS_DIARIOS!$E$4:$E$505,H$73,COBROS_DIARIOS!$F$4:$F$505,$A78,COBROS_DIARIOS!$A$4:$A$505,"&gt;="&amp;$B$2,COBROS_DIARIOS!$A$4:$A$505,"&lt;="&amp;EOMONTH($B$2,0)),0))</f>
        <v>26</v>
      </c>
      <c r="I78" s="78">
        <f>IF(OR(I$73="",$A78=""),"",IFERROR(SUMIFS(COBROS_DIARIOS!$K$4:$K$505,COBROS_DIARIOS!$E$4:$E$505,I$73,COBROS_DIARIOS!$F$4:$F$505,$A78,COBROS_DIARIOS!$A$4:$A$505,"&gt;="&amp;$B$2,COBROS_DIARIOS!$A$4:$A$505,"&lt;="&amp;EOMONTH($B$2,0)),0))</f>
        <v>56</v>
      </c>
      <c r="J78" s="78">
        <f>IF(OR(J$73="",$A78=""),"",IFERROR(SUMIFS(COBROS_DIARIOS!$K$4:$K$505,COBROS_DIARIOS!$E$4:$E$505,J$73,COBROS_DIARIOS!$F$4:$F$505,$A78,COBROS_DIARIOS!$A$4:$A$505,"&gt;="&amp;$B$2,COBROS_DIARIOS!$A$4:$A$505,"&lt;="&amp;EOMONTH($B$2,0)),0))</f>
        <v>42</v>
      </c>
      <c r="K78" s="78">
        <f>IF(OR(K$73="",$A78=""),"",IFERROR(SUMIFS(COBROS_DIARIOS!$K$4:$K$505,COBROS_DIARIOS!$E$4:$E$505,K$73,COBROS_DIARIOS!$F$4:$F$505,$A78,COBROS_DIARIOS!$A$4:$A$505,"&gt;="&amp;$B$2,COBROS_DIARIOS!$A$4:$A$505,"&lt;="&amp;EOMONTH($B$2,0)),0))</f>
        <v>189</v>
      </c>
      <c r="L78" s="78">
        <f>IF(OR(L$73="",$A78=""),"",IFERROR(SUMIFS(COBROS_DIARIOS!$K$4:$K$505,COBROS_DIARIOS!$E$4:$E$505,L$73,COBROS_DIARIOS!$F$4:$F$505,$A78,COBROS_DIARIOS!$A$4:$A$505,"&gt;="&amp;$B$2,COBROS_DIARIOS!$A$4:$A$505,"&lt;="&amp;EOMONTH($B$2,0)),0))</f>
        <v>96</v>
      </c>
      <c r="M78" s="78">
        <f>IF(OR(M$73="",$A78=""),"",IFERROR(SUMIFS(COBROS_DIARIOS!$K$4:$K$505,COBROS_DIARIOS!$E$4:$E$505,M$73,COBROS_DIARIOS!$F$4:$F$505,$A78,COBROS_DIARIOS!$A$4:$A$505,"&gt;="&amp;$B$2,COBROS_DIARIOS!$A$4:$A$505,"&lt;="&amp;EOMONTH($B$2,0)),0))</f>
        <v>0</v>
      </c>
      <c r="N78" s="78">
        <f>IF(OR(N$73="",$A78=""),"",IFERROR(SUMIFS(COBROS_DIARIOS!$K$4:$K$505,COBROS_DIARIOS!$E$4:$E$505,N$73,COBROS_DIARIOS!$F$4:$F$505,$A78,COBROS_DIARIOS!$A$4:$A$505,"&gt;="&amp;$B$2,COBROS_DIARIOS!$A$4:$A$505,"&lt;="&amp;EOMONTH($B$2,0)),0))</f>
        <v>0</v>
      </c>
      <c r="O78" s="78">
        <f>IF(OR(O$73="",$A78=""),"",IFERROR(SUMIFS(COBROS_DIARIOS!$K$4:$K$505,COBROS_DIARIOS!$E$4:$E$505,O$73,COBROS_DIARIOS!$F$4:$F$505,$A78,COBROS_DIARIOS!$A$4:$A$505,"&gt;="&amp;$B$2,COBROS_DIARIOS!$A$4:$A$505,"&lt;="&amp;EOMONTH($B$2,0)),0))</f>
        <v>136</v>
      </c>
      <c r="P78" s="78">
        <f>IF(OR(P$73="",$A78=""),"",IFERROR(SUMIFS(COBROS_DIARIOS!$K$4:$K$505,COBROS_DIARIOS!$E$4:$E$505,P$73,COBROS_DIARIOS!$F$4:$F$505,$A78,COBROS_DIARIOS!$A$4:$A$505,"&gt;="&amp;$B$2,COBROS_DIARIOS!$A$4:$A$505,"&lt;="&amp;EOMONTH($B$2,0)),0))</f>
        <v>0</v>
      </c>
      <c r="Q78" s="78">
        <f>IF(OR(Q$73="",$A78=""),"",IFERROR(SUMIFS(COBROS_DIARIOS!$K$4:$K$505,COBROS_DIARIOS!$E$4:$E$505,Q$73,COBROS_DIARIOS!$F$4:$F$505,$A78,COBROS_DIARIOS!$A$4:$A$505,"&gt;="&amp;$B$2,COBROS_DIARIOS!$A$4:$A$505,"&lt;="&amp;EOMONTH($B$2,0)),0))</f>
        <v>0</v>
      </c>
      <c r="R78" s="78">
        <f>IF(OR(R$73="",$A78=""),"",IFERROR(SUMIFS(COBROS_DIARIOS!$K$4:$K$505,COBROS_DIARIOS!$E$4:$E$505,R$73,COBROS_DIARIOS!$F$4:$F$505,$A78,COBROS_DIARIOS!$A$4:$A$505,"&gt;="&amp;$B$2,COBROS_DIARIOS!$A$4:$A$505,"&lt;="&amp;EOMONTH($B$2,0)),0))</f>
        <v>0</v>
      </c>
      <c r="S78" s="78" t="str">
        <f>IF(OR(S$73="",$A78=""),"",IFERROR(SUMIFS(COBROS_DIARIOS!$K$4:$K$505,COBROS_DIARIOS!$E$4:$E$505,S$73,COBROS_DIARIOS!$F$4:$F$505,$A78,COBROS_DIARIOS!$A$4:$A$505,"&gt;="&amp;$B$2,COBROS_DIARIOS!$A$4:$A$505,"&lt;="&amp;EOMONTH($B$2,0)),0))</f>
        <v/>
      </c>
      <c r="T78" s="78" t="str">
        <f>IF(OR(T$73="",$A78=""),"",IFERROR(SUMIFS(COBROS_DIARIOS!$K$4:$K$505,COBROS_DIARIOS!$E$4:$E$505,T$73,COBROS_DIARIOS!$F$4:$F$505,$A78,COBROS_DIARIOS!$A$4:$A$505,"&gt;="&amp;$B$2,COBROS_DIARIOS!$A$4:$A$505,"&lt;="&amp;EOMONTH($B$2,0)),0))</f>
        <v/>
      </c>
      <c r="U78" s="78" t="str">
        <f>IF(OR(U$73="",$A78=""),"",IFERROR(SUMIFS(COBROS_DIARIOS!$K$4:$K$505,COBROS_DIARIOS!$E$4:$E$505,U$73,COBROS_DIARIOS!$F$4:$F$505,$A78,COBROS_DIARIOS!$A$4:$A$505,"&gt;="&amp;$B$2,COBROS_DIARIOS!$A$4:$A$505,"&lt;="&amp;EOMONTH($B$2,0)),0))</f>
        <v/>
      </c>
      <c r="V78" s="78" t="str">
        <f>IF(OR(V$73="",$A78=""),"",IFERROR(SUMIFS(COBROS_DIARIOS!$K$4:$K$505,COBROS_DIARIOS!$E$4:$E$505,V$73,COBROS_DIARIOS!$F$4:$F$505,$A78,COBROS_DIARIOS!$A$4:$A$505,"&gt;="&amp;$B$2,COBROS_DIARIOS!$A$4:$A$505,"&lt;="&amp;EOMONTH($B$2,0)),0))</f>
        <v/>
      </c>
      <c r="W78" s="78" t="str">
        <f>IF(OR(W$73="",$A78=""),"",IFERROR(SUMIFS(COBROS_DIARIOS!$K$4:$K$505,COBROS_DIARIOS!$E$4:$E$505,W$73,COBROS_DIARIOS!$F$4:$F$505,$A78,COBROS_DIARIOS!$A$4:$A$505,"&gt;="&amp;$B$2,COBROS_DIARIOS!$A$4:$A$505,"&lt;="&amp;EOMONTH($B$2,0)),0))</f>
        <v/>
      </c>
      <c r="X78" s="78" t="str">
        <f>IF(OR(X$73="",$A78=""),"",IFERROR(SUMIFS(COBROS_DIARIOS!$K$4:$K$505,COBROS_DIARIOS!$E$4:$E$505,X$73,COBROS_DIARIOS!$F$4:$F$505,$A78,COBROS_DIARIOS!$A$4:$A$505,"&gt;="&amp;$B$2,COBROS_DIARIOS!$A$4:$A$505,"&lt;="&amp;EOMONTH($B$2,0)),0))</f>
        <v/>
      </c>
      <c r="Y78" s="78" t="str">
        <f>IF(OR(Y$73="",$A78=""),"",IFERROR(SUMIFS(COBROS_DIARIOS!$K$4:$K$505,COBROS_DIARIOS!$E$4:$E$505,Y$73,COBROS_DIARIOS!$F$4:$F$505,$A78,COBROS_DIARIOS!$A$4:$A$505,"&gt;="&amp;$B$2,COBROS_DIARIOS!$A$4:$A$505,"&lt;="&amp;EOMONTH($B$2,0)),0))</f>
        <v/>
      </c>
      <c r="Z78" s="78" t="str">
        <f>IF(OR(Z$73="",$A78=""),"",IFERROR(SUMIFS(COBROS_DIARIOS!$K$4:$K$505,COBROS_DIARIOS!$E$4:$E$505,Z$73,COBROS_DIARIOS!$F$4:$F$505,$A78,COBROS_DIARIOS!$A$4:$A$505,"&gt;="&amp;$B$2,COBROS_DIARIOS!$A$4:$A$505,"&lt;="&amp;EOMONTH($B$2,0)),0))</f>
        <v/>
      </c>
      <c r="AA78" s="79">
        <f t="shared" si="3"/>
        <v>1871</v>
      </c>
    </row>
    <row r="79" ht="15.0" customHeight="1">
      <c r="A79" s="65" t="str">
        <f>IFERROR(IF(COLORES!A9="","",COLORES!A9),"")</f>
        <v>Melange</v>
      </c>
      <c r="B79" s="78">
        <f>IF(OR(B$73="",$A79=""),"",IFERROR(SUMIFS(COBROS_DIARIOS!$K$4:$K$505,COBROS_DIARIOS!$E$4:$E$505,B$73,COBROS_DIARIOS!$F$4:$F$505,$A79,COBROS_DIARIOS!$A$4:$A$505,"&gt;="&amp;$B$2,COBROS_DIARIOS!$A$4:$A$505,"&lt;="&amp;EOMONTH($B$2,0)),0))</f>
        <v>0</v>
      </c>
      <c r="C79" s="78">
        <f>IF(OR(C$73="",$A79=""),"",IFERROR(SUMIFS(COBROS_DIARIOS!$K$4:$K$505,COBROS_DIARIOS!$E$4:$E$505,C$73,COBROS_DIARIOS!$F$4:$F$505,$A79,COBROS_DIARIOS!$A$4:$A$505,"&gt;="&amp;$B$2,COBROS_DIARIOS!$A$4:$A$505,"&lt;="&amp;EOMONTH($B$2,0)),0))</f>
        <v>0</v>
      </c>
      <c r="D79" s="78">
        <f>IF(OR(D$73="",$A79=""),"",IFERROR(SUMIFS(COBROS_DIARIOS!$K$4:$K$505,COBROS_DIARIOS!$E$4:$E$505,D$73,COBROS_DIARIOS!$F$4:$F$505,$A79,COBROS_DIARIOS!$A$4:$A$505,"&gt;="&amp;$B$2,COBROS_DIARIOS!$A$4:$A$505,"&lt;="&amp;EOMONTH($B$2,0)),0))</f>
        <v>0</v>
      </c>
      <c r="E79" s="78">
        <f>IF(OR(E$73="",$A79=""),"",IFERROR(SUMIFS(COBROS_DIARIOS!$K$4:$K$505,COBROS_DIARIOS!$E$4:$E$505,E$73,COBROS_DIARIOS!$F$4:$F$505,$A79,COBROS_DIARIOS!$A$4:$A$505,"&gt;="&amp;$B$2,COBROS_DIARIOS!$A$4:$A$505,"&lt;="&amp;EOMONTH($B$2,0)),0))</f>
        <v>0</v>
      </c>
      <c r="F79" s="78">
        <f>IF(OR(F$73="",$A79=""),"",IFERROR(SUMIFS(COBROS_DIARIOS!$K$4:$K$505,COBROS_DIARIOS!$E$4:$E$505,F$73,COBROS_DIARIOS!$F$4:$F$505,$A79,COBROS_DIARIOS!$A$4:$A$505,"&gt;="&amp;$B$2,COBROS_DIARIOS!$A$4:$A$505,"&lt;="&amp;EOMONTH($B$2,0)),0))</f>
        <v>325</v>
      </c>
      <c r="G79" s="78">
        <f>IF(OR(G$73="",$A79=""),"",IFERROR(SUMIFS(COBROS_DIARIOS!$K$4:$K$505,COBROS_DIARIOS!$E$4:$E$505,G$73,COBROS_DIARIOS!$F$4:$F$505,$A79,COBROS_DIARIOS!$A$4:$A$505,"&gt;="&amp;$B$2,COBROS_DIARIOS!$A$4:$A$505,"&lt;="&amp;EOMONTH($B$2,0)),0))</f>
        <v>309</v>
      </c>
      <c r="H79" s="78">
        <f>IF(OR(H$73="",$A79=""),"",IFERROR(SUMIFS(COBROS_DIARIOS!$K$4:$K$505,COBROS_DIARIOS!$E$4:$E$505,H$73,COBROS_DIARIOS!$F$4:$F$505,$A79,COBROS_DIARIOS!$A$4:$A$505,"&gt;="&amp;$B$2,COBROS_DIARIOS!$A$4:$A$505,"&lt;="&amp;EOMONTH($B$2,0)),0))</f>
        <v>0</v>
      </c>
      <c r="I79" s="78">
        <f>IF(OR(I$73="",$A79=""),"",IFERROR(SUMIFS(COBROS_DIARIOS!$K$4:$K$505,COBROS_DIARIOS!$E$4:$E$505,I$73,COBROS_DIARIOS!$F$4:$F$505,$A79,COBROS_DIARIOS!$A$4:$A$505,"&gt;="&amp;$B$2,COBROS_DIARIOS!$A$4:$A$505,"&lt;="&amp;EOMONTH($B$2,0)),0))</f>
        <v>0</v>
      </c>
      <c r="J79" s="78">
        <f>IF(OR(J$73="",$A79=""),"",IFERROR(SUMIFS(COBROS_DIARIOS!$K$4:$K$505,COBROS_DIARIOS!$E$4:$E$505,J$73,COBROS_DIARIOS!$F$4:$F$505,$A79,COBROS_DIARIOS!$A$4:$A$505,"&gt;="&amp;$B$2,COBROS_DIARIOS!$A$4:$A$505,"&lt;="&amp;EOMONTH($B$2,0)),0))</f>
        <v>0</v>
      </c>
      <c r="K79" s="78">
        <f>IF(OR(K$73="",$A79=""),"",IFERROR(SUMIFS(COBROS_DIARIOS!$K$4:$K$505,COBROS_DIARIOS!$E$4:$E$505,K$73,COBROS_DIARIOS!$F$4:$F$505,$A79,COBROS_DIARIOS!$A$4:$A$505,"&gt;="&amp;$B$2,COBROS_DIARIOS!$A$4:$A$505,"&lt;="&amp;EOMONTH($B$2,0)),0))</f>
        <v>0</v>
      </c>
      <c r="L79" s="78">
        <f>IF(OR(L$73="",$A79=""),"",IFERROR(SUMIFS(COBROS_DIARIOS!$K$4:$K$505,COBROS_DIARIOS!$E$4:$E$505,L$73,COBROS_DIARIOS!$F$4:$F$505,$A79,COBROS_DIARIOS!$A$4:$A$505,"&gt;="&amp;$B$2,COBROS_DIARIOS!$A$4:$A$505,"&lt;="&amp;EOMONTH($B$2,0)),0))</f>
        <v>0</v>
      </c>
      <c r="M79" s="78">
        <f>IF(OR(M$73="",$A79=""),"",IFERROR(SUMIFS(COBROS_DIARIOS!$K$4:$K$505,COBROS_DIARIOS!$E$4:$E$505,M$73,COBROS_DIARIOS!$F$4:$F$505,$A79,COBROS_DIARIOS!$A$4:$A$505,"&gt;="&amp;$B$2,COBROS_DIARIOS!$A$4:$A$505,"&lt;="&amp;EOMONTH($B$2,0)),0))</f>
        <v>0</v>
      </c>
      <c r="N79" s="78">
        <f>IF(OR(N$73="",$A79=""),"",IFERROR(SUMIFS(COBROS_DIARIOS!$K$4:$K$505,COBROS_DIARIOS!$E$4:$E$505,N$73,COBROS_DIARIOS!$F$4:$F$505,$A79,COBROS_DIARIOS!$A$4:$A$505,"&gt;="&amp;$B$2,COBROS_DIARIOS!$A$4:$A$505,"&lt;="&amp;EOMONTH($B$2,0)),0))</f>
        <v>0</v>
      </c>
      <c r="O79" s="78">
        <f>IF(OR(O$73="",$A79=""),"",IFERROR(SUMIFS(COBROS_DIARIOS!$K$4:$K$505,COBROS_DIARIOS!$E$4:$E$505,O$73,COBROS_DIARIOS!$F$4:$F$505,$A79,COBROS_DIARIOS!$A$4:$A$505,"&gt;="&amp;$B$2,COBROS_DIARIOS!$A$4:$A$505,"&lt;="&amp;EOMONTH($B$2,0)),0))</f>
        <v>0</v>
      </c>
      <c r="P79" s="78">
        <f>IF(OR(P$73="",$A79=""),"",IFERROR(SUMIFS(COBROS_DIARIOS!$K$4:$K$505,COBROS_DIARIOS!$E$4:$E$505,P$73,COBROS_DIARIOS!$F$4:$F$505,$A79,COBROS_DIARIOS!$A$4:$A$505,"&gt;="&amp;$B$2,COBROS_DIARIOS!$A$4:$A$505,"&lt;="&amp;EOMONTH($B$2,0)),0))</f>
        <v>0</v>
      </c>
      <c r="Q79" s="78">
        <f>IF(OR(Q$73="",$A79=""),"",IFERROR(SUMIFS(COBROS_DIARIOS!$K$4:$K$505,COBROS_DIARIOS!$E$4:$E$505,Q$73,COBROS_DIARIOS!$F$4:$F$505,$A79,COBROS_DIARIOS!$A$4:$A$505,"&gt;="&amp;$B$2,COBROS_DIARIOS!$A$4:$A$505,"&lt;="&amp;EOMONTH($B$2,0)),0))</f>
        <v>0</v>
      </c>
      <c r="R79" s="78">
        <f>IF(OR(R$73="",$A79=""),"",IFERROR(SUMIFS(COBROS_DIARIOS!$K$4:$K$505,COBROS_DIARIOS!$E$4:$E$505,R$73,COBROS_DIARIOS!$F$4:$F$505,$A79,COBROS_DIARIOS!$A$4:$A$505,"&gt;="&amp;$B$2,COBROS_DIARIOS!$A$4:$A$505,"&lt;="&amp;EOMONTH($B$2,0)),0))</f>
        <v>58</v>
      </c>
      <c r="S79" s="78" t="str">
        <f>IF(OR(S$73="",$A79=""),"",IFERROR(SUMIFS(COBROS_DIARIOS!$K$4:$K$505,COBROS_DIARIOS!$E$4:$E$505,S$73,COBROS_DIARIOS!$F$4:$F$505,$A79,COBROS_DIARIOS!$A$4:$A$505,"&gt;="&amp;$B$2,COBROS_DIARIOS!$A$4:$A$505,"&lt;="&amp;EOMONTH($B$2,0)),0))</f>
        <v/>
      </c>
      <c r="T79" s="78" t="str">
        <f>IF(OR(T$73="",$A79=""),"",IFERROR(SUMIFS(COBROS_DIARIOS!$K$4:$K$505,COBROS_DIARIOS!$E$4:$E$505,T$73,COBROS_DIARIOS!$F$4:$F$505,$A79,COBROS_DIARIOS!$A$4:$A$505,"&gt;="&amp;$B$2,COBROS_DIARIOS!$A$4:$A$505,"&lt;="&amp;EOMONTH($B$2,0)),0))</f>
        <v/>
      </c>
      <c r="U79" s="78" t="str">
        <f>IF(OR(U$73="",$A79=""),"",IFERROR(SUMIFS(COBROS_DIARIOS!$K$4:$K$505,COBROS_DIARIOS!$E$4:$E$505,U$73,COBROS_DIARIOS!$F$4:$F$505,$A79,COBROS_DIARIOS!$A$4:$A$505,"&gt;="&amp;$B$2,COBROS_DIARIOS!$A$4:$A$505,"&lt;="&amp;EOMONTH($B$2,0)),0))</f>
        <v/>
      </c>
      <c r="V79" s="78" t="str">
        <f>IF(OR(V$73="",$A79=""),"",IFERROR(SUMIFS(COBROS_DIARIOS!$K$4:$K$505,COBROS_DIARIOS!$E$4:$E$505,V$73,COBROS_DIARIOS!$F$4:$F$505,$A79,COBROS_DIARIOS!$A$4:$A$505,"&gt;="&amp;$B$2,COBROS_DIARIOS!$A$4:$A$505,"&lt;="&amp;EOMONTH($B$2,0)),0))</f>
        <v/>
      </c>
      <c r="W79" s="78" t="str">
        <f>IF(OR(W$73="",$A79=""),"",IFERROR(SUMIFS(COBROS_DIARIOS!$K$4:$K$505,COBROS_DIARIOS!$E$4:$E$505,W$73,COBROS_DIARIOS!$F$4:$F$505,$A79,COBROS_DIARIOS!$A$4:$A$505,"&gt;="&amp;$B$2,COBROS_DIARIOS!$A$4:$A$505,"&lt;="&amp;EOMONTH($B$2,0)),0))</f>
        <v/>
      </c>
      <c r="X79" s="78" t="str">
        <f>IF(OR(X$73="",$A79=""),"",IFERROR(SUMIFS(COBROS_DIARIOS!$K$4:$K$505,COBROS_DIARIOS!$E$4:$E$505,X$73,COBROS_DIARIOS!$F$4:$F$505,$A79,COBROS_DIARIOS!$A$4:$A$505,"&gt;="&amp;$B$2,COBROS_DIARIOS!$A$4:$A$505,"&lt;="&amp;EOMONTH($B$2,0)),0))</f>
        <v/>
      </c>
      <c r="Y79" s="78" t="str">
        <f>IF(OR(Y$73="",$A79=""),"",IFERROR(SUMIFS(COBROS_DIARIOS!$K$4:$K$505,COBROS_DIARIOS!$E$4:$E$505,Y$73,COBROS_DIARIOS!$F$4:$F$505,$A79,COBROS_DIARIOS!$A$4:$A$505,"&gt;="&amp;$B$2,COBROS_DIARIOS!$A$4:$A$505,"&lt;="&amp;EOMONTH($B$2,0)),0))</f>
        <v/>
      </c>
      <c r="Z79" s="78" t="str">
        <f>IF(OR(Z$73="",$A79=""),"",IFERROR(SUMIFS(COBROS_DIARIOS!$K$4:$K$505,COBROS_DIARIOS!$E$4:$E$505,Z$73,COBROS_DIARIOS!$F$4:$F$505,$A79,COBROS_DIARIOS!$A$4:$A$505,"&gt;="&amp;$B$2,COBROS_DIARIOS!$A$4:$A$505,"&lt;="&amp;EOMONTH($B$2,0)),0))</f>
        <v/>
      </c>
      <c r="AA79" s="79">
        <f t="shared" si="3"/>
        <v>692</v>
      </c>
    </row>
    <row r="80" ht="15.0" customHeight="1">
      <c r="A80" s="65" t="str">
        <f>IFERROR(IF(COLORES!A10="","",COLORES!A10),"")</f>
        <v>Botella</v>
      </c>
      <c r="B80" s="78">
        <f>IF(OR(B$73="",$A80=""),"",IFERROR(SUMIFS(COBROS_DIARIOS!$K$4:$K$505,COBROS_DIARIOS!$E$4:$E$505,B$73,COBROS_DIARIOS!$F$4:$F$505,$A80,COBROS_DIARIOS!$A$4:$A$505,"&gt;="&amp;$B$2,COBROS_DIARIOS!$A$4:$A$505,"&lt;="&amp;EOMONTH($B$2,0)),0))</f>
        <v>496</v>
      </c>
      <c r="C80" s="78">
        <f>IF(OR(C$73="",$A80=""),"",IFERROR(SUMIFS(COBROS_DIARIOS!$K$4:$K$505,COBROS_DIARIOS!$E$4:$E$505,C$73,COBROS_DIARIOS!$F$4:$F$505,$A80,COBROS_DIARIOS!$A$4:$A$505,"&gt;="&amp;$B$2,COBROS_DIARIOS!$A$4:$A$505,"&lt;="&amp;EOMONTH($B$2,0)),0))</f>
        <v>252</v>
      </c>
      <c r="D80" s="78">
        <f>IF(OR(D$73="",$A80=""),"",IFERROR(SUMIFS(COBROS_DIARIOS!$K$4:$K$505,COBROS_DIARIOS!$E$4:$E$505,D$73,COBROS_DIARIOS!$F$4:$F$505,$A80,COBROS_DIARIOS!$A$4:$A$505,"&gt;="&amp;$B$2,COBROS_DIARIOS!$A$4:$A$505,"&lt;="&amp;EOMONTH($B$2,0)),0))</f>
        <v>317</v>
      </c>
      <c r="E80" s="78">
        <f>IF(OR(E$73="",$A80=""),"",IFERROR(SUMIFS(COBROS_DIARIOS!$K$4:$K$505,COBROS_DIARIOS!$E$4:$E$505,E$73,COBROS_DIARIOS!$F$4:$F$505,$A80,COBROS_DIARIOS!$A$4:$A$505,"&gt;="&amp;$B$2,COBROS_DIARIOS!$A$4:$A$505,"&lt;="&amp;EOMONTH($B$2,0)),0))</f>
        <v>0</v>
      </c>
      <c r="F80" s="78">
        <f>IF(OR(F$73="",$A80=""),"",IFERROR(SUMIFS(COBROS_DIARIOS!$K$4:$K$505,COBROS_DIARIOS!$E$4:$E$505,F$73,COBROS_DIARIOS!$F$4:$F$505,$A80,COBROS_DIARIOS!$A$4:$A$505,"&gt;="&amp;$B$2,COBROS_DIARIOS!$A$4:$A$505,"&lt;="&amp;EOMONTH($B$2,0)),0))</f>
        <v>0</v>
      </c>
      <c r="G80" s="78">
        <f>IF(OR(G$73="",$A80=""),"",IFERROR(SUMIFS(COBROS_DIARIOS!$K$4:$K$505,COBROS_DIARIOS!$E$4:$E$505,G$73,COBROS_DIARIOS!$F$4:$F$505,$A80,COBROS_DIARIOS!$A$4:$A$505,"&gt;="&amp;$B$2,COBROS_DIARIOS!$A$4:$A$505,"&lt;="&amp;EOMONTH($B$2,0)),0))</f>
        <v>394</v>
      </c>
      <c r="H80" s="78">
        <f>IF(OR(H$73="",$A80=""),"",IFERROR(SUMIFS(COBROS_DIARIOS!$K$4:$K$505,COBROS_DIARIOS!$E$4:$E$505,H$73,COBROS_DIARIOS!$F$4:$F$505,$A80,COBROS_DIARIOS!$A$4:$A$505,"&gt;="&amp;$B$2,COBROS_DIARIOS!$A$4:$A$505,"&lt;="&amp;EOMONTH($B$2,0)),0))</f>
        <v>0</v>
      </c>
      <c r="I80" s="78">
        <f>IF(OR(I$73="",$A80=""),"",IFERROR(SUMIFS(COBROS_DIARIOS!$K$4:$K$505,COBROS_DIARIOS!$E$4:$E$505,I$73,COBROS_DIARIOS!$F$4:$F$505,$A80,COBROS_DIARIOS!$A$4:$A$505,"&gt;="&amp;$B$2,COBROS_DIARIOS!$A$4:$A$505,"&lt;="&amp;EOMONTH($B$2,0)),0))</f>
        <v>0</v>
      </c>
      <c r="J80" s="78">
        <f>IF(OR(J$73="",$A80=""),"",IFERROR(SUMIFS(COBROS_DIARIOS!$K$4:$K$505,COBROS_DIARIOS!$E$4:$E$505,J$73,COBROS_DIARIOS!$F$4:$F$505,$A80,COBROS_DIARIOS!$A$4:$A$505,"&gt;="&amp;$B$2,COBROS_DIARIOS!$A$4:$A$505,"&lt;="&amp;EOMONTH($B$2,0)),0))</f>
        <v>0</v>
      </c>
      <c r="K80" s="78">
        <f>IF(OR(K$73="",$A80=""),"",IFERROR(SUMIFS(COBROS_DIARIOS!$K$4:$K$505,COBROS_DIARIOS!$E$4:$E$505,K$73,COBROS_DIARIOS!$F$4:$F$505,$A80,COBROS_DIARIOS!$A$4:$A$505,"&gt;="&amp;$B$2,COBROS_DIARIOS!$A$4:$A$505,"&lt;="&amp;EOMONTH($B$2,0)),0))</f>
        <v>0</v>
      </c>
      <c r="L80" s="78">
        <f>IF(OR(L$73="",$A80=""),"",IFERROR(SUMIFS(COBROS_DIARIOS!$K$4:$K$505,COBROS_DIARIOS!$E$4:$E$505,L$73,COBROS_DIARIOS!$F$4:$F$505,$A80,COBROS_DIARIOS!$A$4:$A$505,"&gt;="&amp;$B$2,COBROS_DIARIOS!$A$4:$A$505,"&lt;="&amp;EOMONTH($B$2,0)),0))</f>
        <v>0</v>
      </c>
      <c r="M80" s="78">
        <f>IF(OR(M$73="",$A80=""),"",IFERROR(SUMIFS(COBROS_DIARIOS!$K$4:$K$505,COBROS_DIARIOS!$E$4:$E$505,M$73,COBROS_DIARIOS!$F$4:$F$505,$A80,COBROS_DIARIOS!$A$4:$A$505,"&gt;="&amp;$B$2,COBROS_DIARIOS!$A$4:$A$505,"&lt;="&amp;EOMONTH($B$2,0)),0))</f>
        <v>0</v>
      </c>
      <c r="N80" s="78">
        <f>IF(OR(N$73="",$A80=""),"",IFERROR(SUMIFS(COBROS_DIARIOS!$K$4:$K$505,COBROS_DIARIOS!$E$4:$E$505,N$73,COBROS_DIARIOS!$F$4:$F$505,$A80,COBROS_DIARIOS!$A$4:$A$505,"&gt;="&amp;$B$2,COBROS_DIARIOS!$A$4:$A$505,"&lt;="&amp;EOMONTH($B$2,0)),0))</f>
        <v>0</v>
      </c>
      <c r="O80" s="78">
        <f>IF(OR(O$73="",$A80=""),"",IFERROR(SUMIFS(COBROS_DIARIOS!$K$4:$K$505,COBROS_DIARIOS!$E$4:$E$505,O$73,COBROS_DIARIOS!$F$4:$F$505,$A80,COBROS_DIARIOS!$A$4:$A$505,"&gt;="&amp;$B$2,COBROS_DIARIOS!$A$4:$A$505,"&lt;="&amp;EOMONTH($B$2,0)),0))</f>
        <v>405</v>
      </c>
      <c r="P80" s="78">
        <f>IF(OR(P$73="",$A80=""),"",IFERROR(SUMIFS(COBROS_DIARIOS!$K$4:$K$505,COBROS_DIARIOS!$E$4:$E$505,P$73,COBROS_DIARIOS!$F$4:$F$505,$A80,COBROS_DIARIOS!$A$4:$A$505,"&gt;="&amp;$B$2,COBROS_DIARIOS!$A$4:$A$505,"&lt;="&amp;EOMONTH($B$2,0)),0))</f>
        <v>116</v>
      </c>
      <c r="Q80" s="78">
        <f>IF(OR(Q$73="",$A80=""),"",IFERROR(SUMIFS(COBROS_DIARIOS!$K$4:$K$505,COBROS_DIARIOS!$E$4:$E$505,Q$73,COBROS_DIARIOS!$F$4:$F$505,$A80,COBROS_DIARIOS!$A$4:$A$505,"&gt;="&amp;$B$2,COBROS_DIARIOS!$A$4:$A$505,"&lt;="&amp;EOMONTH($B$2,0)),0))</f>
        <v>0</v>
      </c>
      <c r="R80" s="78">
        <f>IF(OR(R$73="",$A80=""),"",IFERROR(SUMIFS(COBROS_DIARIOS!$K$4:$K$505,COBROS_DIARIOS!$E$4:$E$505,R$73,COBROS_DIARIOS!$F$4:$F$505,$A80,COBROS_DIARIOS!$A$4:$A$505,"&gt;="&amp;$B$2,COBROS_DIARIOS!$A$4:$A$505,"&lt;="&amp;EOMONTH($B$2,0)),0))</f>
        <v>0</v>
      </c>
      <c r="S80" s="78" t="str">
        <f>IF(OR(S$73="",$A80=""),"",IFERROR(SUMIFS(COBROS_DIARIOS!$K$4:$K$505,COBROS_DIARIOS!$E$4:$E$505,S$73,COBROS_DIARIOS!$F$4:$F$505,$A80,COBROS_DIARIOS!$A$4:$A$505,"&gt;="&amp;$B$2,COBROS_DIARIOS!$A$4:$A$505,"&lt;="&amp;EOMONTH($B$2,0)),0))</f>
        <v/>
      </c>
      <c r="T80" s="78" t="str">
        <f>IF(OR(T$73="",$A80=""),"",IFERROR(SUMIFS(COBROS_DIARIOS!$K$4:$K$505,COBROS_DIARIOS!$E$4:$E$505,T$73,COBROS_DIARIOS!$F$4:$F$505,$A80,COBROS_DIARIOS!$A$4:$A$505,"&gt;="&amp;$B$2,COBROS_DIARIOS!$A$4:$A$505,"&lt;="&amp;EOMONTH($B$2,0)),0))</f>
        <v/>
      </c>
      <c r="U80" s="78" t="str">
        <f>IF(OR(U$73="",$A80=""),"",IFERROR(SUMIFS(COBROS_DIARIOS!$K$4:$K$505,COBROS_DIARIOS!$E$4:$E$505,U$73,COBROS_DIARIOS!$F$4:$F$505,$A80,COBROS_DIARIOS!$A$4:$A$505,"&gt;="&amp;$B$2,COBROS_DIARIOS!$A$4:$A$505,"&lt;="&amp;EOMONTH($B$2,0)),0))</f>
        <v/>
      </c>
      <c r="V80" s="78" t="str">
        <f>IF(OR(V$73="",$A80=""),"",IFERROR(SUMIFS(COBROS_DIARIOS!$K$4:$K$505,COBROS_DIARIOS!$E$4:$E$505,V$73,COBROS_DIARIOS!$F$4:$F$505,$A80,COBROS_DIARIOS!$A$4:$A$505,"&gt;="&amp;$B$2,COBROS_DIARIOS!$A$4:$A$505,"&lt;="&amp;EOMONTH($B$2,0)),0))</f>
        <v/>
      </c>
      <c r="W80" s="78" t="str">
        <f>IF(OR(W$73="",$A80=""),"",IFERROR(SUMIFS(COBROS_DIARIOS!$K$4:$K$505,COBROS_DIARIOS!$E$4:$E$505,W$73,COBROS_DIARIOS!$F$4:$F$505,$A80,COBROS_DIARIOS!$A$4:$A$505,"&gt;="&amp;$B$2,COBROS_DIARIOS!$A$4:$A$505,"&lt;="&amp;EOMONTH($B$2,0)),0))</f>
        <v/>
      </c>
      <c r="X80" s="78" t="str">
        <f>IF(OR(X$73="",$A80=""),"",IFERROR(SUMIFS(COBROS_DIARIOS!$K$4:$K$505,COBROS_DIARIOS!$E$4:$E$505,X$73,COBROS_DIARIOS!$F$4:$F$505,$A80,COBROS_DIARIOS!$A$4:$A$505,"&gt;="&amp;$B$2,COBROS_DIARIOS!$A$4:$A$505,"&lt;="&amp;EOMONTH($B$2,0)),0))</f>
        <v/>
      </c>
      <c r="Y80" s="78" t="str">
        <f>IF(OR(Y$73="",$A80=""),"",IFERROR(SUMIFS(COBROS_DIARIOS!$K$4:$K$505,COBROS_DIARIOS!$E$4:$E$505,Y$73,COBROS_DIARIOS!$F$4:$F$505,$A80,COBROS_DIARIOS!$A$4:$A$505,"&gt;="&amp;$B$2,COBROS_DIARIOS!$A$4:$A$505,"&lt;="&amp;EOMONTH($B$2,0)),0))</f>
        <v/>
      </c>
      <c r="Z80" s="78" t="str">
        <f>IF(OR(Z$73="",$A80=""),"",IFERROR(SUMIFS(COBROS_DIARIOS!$K$4:$K$505,COBROS_DIARIOS!$E$4:$E$505,Z$73,COBROS_DIARIOS!$F$4:$F$505,$A80,COBROS_DIARIOS!$A$4:$A$505,"&gt;="&amp;$B$2,COBROS_DIARIOS!$A$4:$A$505,"&lt;="&amp;EOMONTH($B$2,0)),0))</f>
        <v/>
      </c>
      <c r="AA80" s="79">
        <f t="shared" si="3"/>
        <v>1980</v>
      </c>
    </row>
    <row r="81" ht="15.0" customHeight="1">
      <c r="A81" s="65" t="str">
        <f>IFERROR(IF(COLORES!A11="","",COLORES!A11),"")</f>
        <v>Pacay</v>
      </c>
      <c r="B81" s="78">
        <f>IF(OR(B$73="",$A81=""),"",IFERROR(SUMIFS(COBROS_DIARIOS!$K$4:$K$505,COBROS_DIARIOS!$E$4:$E$505,B$73,COBROS_DIARIOS!$F$4:$F$505,$A81,COBROS_DIARIOS!$A$4:$A$505,"&gt;="&amp;$B$2,COBROS_DIARIOS!$A$4:$A$505,"&lt;="&amp;EOMONTH($B$2,0)),0))</f>
        <v>0</v>
      </c>
      <c r="C81" s="78">
        <f>IF(OR(C$73="",$A81=""),"",IFERROR(SUMIFS(COBROS_DIARIOS!$K$4:$K$505,COBROS_DIARIOS!$E$4:$E$505,C$73,COBROS_DIARIOS!$F$4:$F$505,$A81,COBROS_DIARIOS!$A$4:$A$505,"&gt;="&amp;$B$2,COBROS_DIARIOS!$A$4:$A$505,"&lt;="&amp;EOMONTH($B$2,0)),0))</f>
        <v>0</v>
      </c>
      <c r="D81" s="78">
        <f>IF(OR(D$73="",$A81=""),"",IFERROR(SUMIFS(COBROS_DIARIOS!$K$4:$K$505,COBROS_DIARIOS!$E$4:$E$505,D$73,COBROS_DIARIOS!$F$4:$F$505,$A81,COBROS_DIARIOS!$A$4:$A$505,"&gt;="&amp;$B$2,COBROS_DIARIOS!$A$4:$A$505,"&lt;="&amp;EOMONTH($B$2,0)),0))</f>
        <v>0</v>
      </c>
      <c r="E81" s="78">
        <f>IF(OR(E$73="",$A81=""),"",IFERROR(SUMIFS(COBROS_DIARIOS!$K$4:$K$505,COBROS_DIARIOS!$E$4:$E$505,E$73,COBROS_DIARIOS!$F$4:$F$505,$A81,COBROS_DIARIOS!$A$4:$A$505,"&gt;="&amp;$B$2,COBROS_DIARIOS!$A$4:$A$505,"&lt;="&amp;EOMONTH($B$2,0)),0))</f>
        <v>0</v>
      </c>
      <c r="F81" s="78">
        <f>IF(OR(F$73="",$A81=""),"",IFERROR(SUMIFS(COBROS_DIARIOS!$K$4:$K$505,COBROS_DIARIOS!$E$4:$E$505,F$73,COBROS_DIARIOS!$F$4:$F$505,$A81,COBROS_DIARIOS!$A$4:$A$505,"&gt;="&amp;$B$2,COBROS_DIARIOS!$A$4:$A$505,"&lt;="&amp;EOMONTH($B$2,0)),0))</f>
        <v>0</v>
      </c>
      <c r="G81" s="78">
        <f>IF(OR(G$73="",$A81=""),"",IFERROR(SUMIFS(COBROS_DIARIOS!$K$4:$K$505,COBROS_DIARIOS!$E$4:$E$505,G$73,COBROS_DIARIOS!$F$4:$F$505,$A81,COBROS_DIARIOS!$A$4:$A$505,"&gt;="&amp;$B$2,COBROS_DIARIOS!$A$4:$A$505,"&lt;="&amp;EOMONTH($B$2,0)),0))</f>
        <v>0</v>
      </c>
      <c r="H81" s="78">
        <f>IF(OR(H$73="",$A81=""),"",IFERROR(SUMIFS(COBROS_DIARIOS!$K$4:$K$505,COBROS_DIARIOS!$E$4:$E$505,H$73,COBROS_DIARIOS!$F$4:$F$505,$A81,COBROS_DIARIOS!$A$4:$A$505,"&gt;="&amp;$B$2,COBROS_DIARIOS!$A$4:$A$505,"&lt;="&amp;EOMONTH($B$2,0)),0))</f>
        <v>0</v>
      </c>
      <c r="I81" s="78">
        <f>IF(OR(I$73="",$A81=""),"",IFERROR(SUMIFS(COBROS_DIARIOS!$K$4:$K$505,COBROS_DIARIOS!$E$4:$E$505,I$73,COBROS_DIARIOS!$F$4:$F$505,$A81,COBROS_DIARIOS!$A$4:$A$505,"&gt;="&amp;$B$2,COBROS_DIARIOS!$A$4:$A$505,"&lt;="&amp;EOMONTH($B$2,0)),0))</f>
        <v>0</v>
      </c>
      <c r="J81" s="78">
        <f>IF(OR(J$73="",$A81=""),"",IFERROR(SUMIFS(COBROS_DIARIOS!$K$4:$K$505,COBROS_DIARIOS!$E$4:$E$505,J$73,COBROS_DIARIOS!$F$4:$F$505,$A81,COBROS_DIARIOS!$A$4:$A$505,"&gt;="&amp;$B$2,COBROS_DIARIOS!$A$4:$A$505,"&lt;="&amp;EOMONTH($B$2,0)),0))</f>
        <v>0</v>
      </c>
      <c r="K81" s="78">
        <f>IF(OR(K$73="",$A81=""),"",IFERROR(SUMIFS(COBROS_DIARIOS!$K$4:$K$505,COBROS_DIARIOS!$E$4:$E$505,K$73,COBROS_DIARIOS!$F$4:$F$505,$A81,COBROS_DIARIOS!$A$4:$A$505,"&gt;="&amp;$B$2,COBROS_DIARIOS!$A$4:$A$505,"&lt;="&amp;EOMONTH($B$2,0)),0))</f>
        <v>0</v>
      </c>
      <c r="L81" s="78">
        <f>IF(OR(L$73="",$A81=""),"",IFERROR(SUMIFS(COBROS_DIARIOS!$K$4:$K$505,COBROS_DIARIOS!$E$4:$E$505,L$73,COBROS_DIARIOS!$F$4:$F$505,$A81,COBROS_DIARIOS!$A$4:$A$505,"&gt;="&amp;$B$2,COBROS_DIARIOS!$A$4:$A$505,"&lt;="&amp;EOMONTH($B$2,0)),0))</f>
        <v>0</v>
      </c>
      <c r="M81" s="78">
        <f>IF(OR(M$73="",$A81=""),"",IFERROR(SUMIFS(COBROS_DIARIOS!$K$4:$K$505,COBROS_DIARIOS!$E$4:$E$505,M$73,COBROS_DIARIOS!$F$4:$F$505,$A81,COBROS_DIARIOS!$A$4:$A$505,"&gt;="&amp;$B$2,COBROS_DIARIOS!$A$4:$A$505,"&lt;="&amp;EOMONTH($B$2,0)),0))</f>
        <v>0</v>
      </c>
      <c r="N81" s="78">
        <f>IF(OR(N$73="",$A81=""),"",IFERROR(SUMIFS(COBROS_DIARIOS!$K$4:$K$505,COBROS_DIARIOS!$E$4:$E$505,N$73,COBROS_DIARIOS!$F$4:$F$505,$A81,COBROS_DIARIOS!$A$4:$A$505,"&gt;="&amp;$B$2,COBROS_DIARIOS!$A$4:$A$505,"&lt;="&amp;EOMONTH($B$2,0)),0))</f>
        <v>0</v>
      </c>
      <c r="O81" s="78">
        <f>IF(OR(O$73="",$A81=""),"",IFERROR(SUMIFS(COBROS_DIARIOS!$K$4:$K$505,COBROS_DIARIOS!$E$4:$E$505,O$73,COBROS_DIARIOS!$F$4:$F$505,$A81,COBROS_DIARIOS!$A$4:$A$505,"&gt;="&amp;$B$2,COBROS_DIARIOS!$A$4:$A$505,"&lt;="&amp;EOMONTH($B$2,0)),0))</f>
        <v>0</v>
      </c>
      <c r="P81" s="78">
        <f>IF(OR(P$73="",$A81=""),"",IFERROR(SUMIFS(COBROS_DIARIOS!$K$4:$K$505,COBROS_DIARIOS!$E$4:$E$505,P$73,COBROS_DIARIOS!$F$4:$F$505,$A81,COBROS_DIARIOS!$A$4:$A$505,"&gt;="&amp;$B$2,COBROS_DIARIOS!$A$4:$A$505,"&lt;="&amp;EOMONTH($B$2,0)),0))</f>
        <v>0</v>
      </c>
      <c r="Q81" s="78">
        <f>IF(OR(Q$73="",$A81=""),"",IFERROR(SUMIFS(COBROS_DIARIOS!$K$4:$K$505,COBROS_DIARIOS!$E$4:$E$505,Q$73,COBROS_DIARIOS!$F$4:$F$505,$A81,COBROS_DIARIOS!$A$4:$A$505,"&gt;="&amp;$B$2,COBROS_DIARIOS!$A$4:$A$505,"&lt;="&amp;EOMONTH($B$2,0)),0))</f>
        <v>0</v>
      </c>
      <c r="R81" s="78">
        <f>IF(OR(R$73="",$A81=""),"",IFERROR(SUMIFS(COBROS_DIARIOS!$K$4:$K$505,COBROS_DIARIOS!$E$4:$E$505,R$73,COBROS_DIARIOS!$F$4:$F$505,$A81,COBROS_DIARIOS!$A$4:$A$505,"&gt;="&amp;$B$2,COBROS_DIARIOS!$A$4:$A$505,"&lt;="&amp;EOMONTH($B$2,0)),0))</f>
        <v>0</v>
      </c>
      <c r="S81" s="78" t="str">
        <f>IF(OR(S$73="",$A81=""),"",IFERROR(SUMIFS(COBROS_DIARIOS!$K$4:$K$505,COBROS_DIARIOS!$E$4:$E$505,S$73,COBROS_DIARIOS!$F$4:$F$505,$A81,COBROS_DIARIOS!$A$4:$A$505,"&gt;="&amp;$B$2,COBROS_DIARIOS!$A$4:$A$505,"&lt;="&amp;EOMONTH($B$2,0)),0))</f>
        <v/>
      </c>
      <c r="T81" s="78" t="str">
        <f>IF(OR(T$73="",$A81=""),"",IFERROR(SUMIFS(COBROS_DIARIOS!$K$4:$K$505,COBROS_DIARIOS!$E$4:$E$505,T$73,COBROS_DIARIOS!$F$4:$F$505,$A81,COBROS_DIARIOS!$A$4:$A$505,"&gt;="&amp;$B$2,COBROS_DIARIOS!$A$4:$A$505,"&lt;="&amp;EOMONTH($B$2,0)),0))</f>
        <v/>
      </c>
      <c r="U81" s="78" t="str">
        <f>IF(OR(U$73="",$A81=""),"",IFERROR(SUMIFS(COBROS_DIARIOS!$K$4:$K$505,COBROS_DIARIOS!$E$4:$E$505,U$73,COBROS_DIARIOS!$F$4:$F$505,$A81,COBROS_DIARIOS!$A$4:$A$505,"&gt;="&amp;$B$2,COBROS_DIARIOS!$A$4:$A$505,"&lt;="&amp;EOMONTH($B$2,0)),0))</f>
        <v/>
      </c>
      <c r="V81" s="78" t="str">
        <f>IF(OR(V$73="",$A81=""),"",IFERROR(SUMIFS(COBROS_DIARIOS!$K$4:$K$505,COBROS_DIARIOS!$E$4:$E$505,V$73,COBROS_DIARIOS!$F$4:$F$505,$A81,COBROS_DIARIOS!$A$4:$A$505,"&gt;="&amp;$B$2,COBROS_DIARIOS!$A$4:$A$505,"&lt;="&amp;EOMONTH($B$2,0)),0))</f>
        <v/>
      </c>
      <c r="W81" s="78" t="str">
        <f>IF(OR(W$73="",$A81=""),"",IFERROR(SUMIFS(COBROS_DIARIOS!$K$4:$K$505,COBROS_DIARIOS!$E$4:$E$505,W$73,COBROS_DIARIOS!$F$4:$F$505,$A81,COBROS_DIARIOS!$A$4:$A$505,"&gt;="&amp;$B$2,COBROS_DIARIOS!$A$4:$A$505,"&lt;="&amp;EOMONTH($B$2,0)),0))</f>
        <v/>
      </c>
      <c r="X81" s="78" t="str">
        <f>IF(OR(X$73="",$A81=""),"",IFERROR(SUMIFS(COBROS_DIARIOS!$K$4:$K$505,COBROS_DIARIOS!$E$4:$E$505,X$73,COBROS_DIARIOS!$F$4:$F$505,$A81,COBROS_DIARIOS!$A$4:$A$505,"&gt;="&amp;$B$2,COBROS_DIARIOS!$A$4:$A$505,"&lt;="&amp;EOMONTH($B$2,0)),0))</f>
        <v/>
      </c>
      <c r="Y81" s="78" t="str">
        <f>IF(OR(Y$73="",$A81=""),"",IFERROR(SUMIFS(COBROS_DIARIOS!$K$4:$K$505,COBROS_DIARIOS!$E$4:$E$505,Y$73,COBROS_DIARIOS!$F$4:$F$505,$A81,COBROS_DIARIOS!$A$4:$A$505,"&gt;="&amp;$B$2,COBROS_DIARIOS!$A$4:$A$505,"&lt;="&amp;EOMONTH($B$2,0)),0))</f>
        <v/>
      </c>
      <c r="Z81" s="78" t="str">
        <f>IF(OR(Z$73="",$A81=""),"",IFERROR(SUMIFS(COBROS_DIARIOS!$K$4:$K$505,COBROS_DIARIOS!$E$4:$E$505,Z$73,COBROS_DIARIOS!$F$4:$F$505,$A81,COBROS_DIARIOS!$A$4:$A$505,"&gt;="&amp;$B$2,COBROS_DIARIOS!$A$4:$A$505,"&lt;="&amp;EOMONTH($B$2,0)),0))</f>
        <v/>
      </c>
      <c r="AA81" s="79">
        <f t="shared" si="3"/>
        <v>0</v>
      </c>
    </row>
    <row r="82" ht="15.0" customHeight="1">
      <c r="A82" s="65" t="str">
        <f>IFERROR(IF(COLORES!A12="","",COLORES!A12),"")</f>
        <v>V. Pacay</v>
      </c>
      <c r="B82" s="78">
        <f>IF(OR(B$73="",$A82=""),"",IFERROR(SUMIFS(COBROS_DIARIOS!$K$4:$K$505,COBROS_DIARIOS!$E$4:$E$505,B$73,COBROS_DIARIOS!$F$4:$F$505,$A82,COBROS_DIARIOS!$A$4:$A$505,"&gt;="&amp;$B$2,COBROS_DIARIOS!$A$4:$A$505,"&lt;="&amp;EOMONTH($B$2,0)),0))</f>
        <v>216</v>
      </c>
      <c r="C82" s="78">
        <f>IF(OR(C$73="",$A82=""),"",IFERROR(SUMIFS(COBROS_DIARIOS!$K$4:$K$505,COBROS_DIARIOS!$E$4:$E$505,C$73,COBROS_DIARIOS!$F$4:$F$505,$A82,COBROS_DIARIOS!$A$4:$A$505,"&gt;="&amp;$B$2,COBROS_DIARIOS!$A$4:$A$505,"&lt;="&amp;EOMONTH($B$2,0)),0))</f>
        <v>0</v>
      </c>
      <c r="D82" s="78">
        <f>IF(OR(D$73="",$A82=""),"",IFERROR(SUMIFS(COBROS_DIARIOS!$K$4:$K$505,COBROS_DIARIOS!$E$4:$E$505,D$73,COBROS_DIARIOS!$F$4:$F$505,$A82,COBROS_DIARIOS!$A$4:$A$505,"&gt;="&amp;$B$2,COBROS_DIARIOS!$A$4:$A$505,"&lt;="&amp;EOMONTH($B$2,0)),0))</f>
        <v>0</v>
      </c>
      <c r="E82" s="78">
        <f>IF(OR(E$73="",$A82=""),"",IFERROR(SUMIFS(COBROS_DIARIOS!$K$4:$K$505,COBROS_DIARIOS!$E$4:$E$505,E$73,COBROS_DIARIOS!$F$4:$F$505,$A82,COBROS_DIARIOS!$A$4:$A$505,"&gt;="&amp;$B$2,COBROS_DIARIOS!$A$4:$A$505,"&lt;="&amp;EOMONTH($B$2,0)),0))</f>
        <v>0</v>
      </c>
      <c r="F82" s="78">
        <f>IF(OR(F$73="",$A82=""),"",IFERROR(SUMIFS(COBROS_DIARIOS!$K$4:$K$505,COBROS_DIARIOS!$E$4:$E$505,F$73,COBROS_DIARIOS!$F$4:$F$505,$A82,COBROS_DIARIOS!$A$4:$A$505,"&gt;="&amp;$B$2,COBROS_DIARIOS!$A$4:$A$505,"&lt;="&amp;EOMONTH($B$2,0)),0))</f>
        <v>0</v>
      </c>
      <c r="G82" s="78">
        <f>IF(OR(G$73="",$A82=""),"",IFERROR(SUMIFS(COBROS_DIARIOS!$K$4:$K$505,COBROS_DIARIOS!$E$4:$E$505,G$73,COBROS_DIARIOS!$F$4:$F$505,$A82,COBROS_DIARIOS!$A$4:$A$505,"&gt;="&amp;$B$2,COBROS_DIARIOS!$A$4:$A$505,"&lt;="&amp;EOMONTH($B$2,0)),0))</f>
        <v>0</v>
      </c>
      <c r="H82" s="78">
        <f>IF(OR(H$73="",$A82=""),"",IFERROR(SUMIFS(COBROS_DIARIOS!$K$4:$K$505,COBROS_DIARIOS!$E$4:$E$505,H$73,COBROS_DIARIOS!$F$4:$F$505,$A82,COBROS_DIARIOS!$A$4:$A$505,"&gt;="&amp;$B$2,COBROS_DIARIOS!$A$4:$A$505,"&lt;="&amp;EOMONTH($B$2,0)),0))</f>
        <v>25</v>
      </c>
      <c r="I82" s="78">
        <f>IF(OR(I$73="",$A82=""),"",IFERROR(SUMIFS(COBROS_DIARIOS!$K$4:$K$505,COBROS_DIARIOS!$E$4:$E$505,I$73,COBROS_DIARIOS!$F$4:$F$505,$A82,COBROS_DIARIOS!$A$4:$A$505,"&gt;="&amp;$B$2,COBROS_DIARIOS!$A$4:$A$505,"&lt;="&amp;EOMONTH($B$2,0)),0))</f>
        <v>53</v>
      </c>
      <c r="J82" s="78">
        <f>IF(OR(J$73="",$A82=""),"",IFERROR(SUMIFS(COBROS_DIARIOS!$K$4:$K$505,COBROS_DIARIOS!$E$4:$E$505,J$73,COBROS_DIARIOS!$F$4:$F$505,$A82,COBROS_DIARIOS!$A$4:$A$505,"&gt;="&amp;$B$2,COBROS_DIARIOS!$A$4:$A$505,"&lt;="&amp;EOMONTH($B$2,0)),0))</f>
        <v>39</v>
      </c>
      <c r="K82" s="78">
        <f>IF(OR(K$73="",$A82=""),"",IFERROR(SUMIFS(COBROS_DIARIOS!$K$4:$K$505,COBROS_DIARIOS!$E$4:$E$505,K$73,COBROS_DIARIOS!$F$4:$F$505,$A82,COBROS_DIARIOS!$A$4:$A$505,"&gt;="&amp;$B$2,COBROS_DIARIOS!$A$4:$A$505,"&lt;="&amp;EOMONTH($B$2,0)),0))</f>
        <v>204</v>
      </c>
      <c r="L82" s="78">
        <f>IF(OR(L$73="",$A82=""),"",IFERROR(SUMIFS(COBROS_DIARIOS!$K$4:$K$505,COBROS_DIARIOS!$E$4:$E$505,L$73,COBROS_DIARIOS!$F$4:$F$505,$A82,COBROS_DIARIOS!$A$4:$A$505,"&gt;="&amp;$B$2,COBROS_DIARIOS!$A$4:$A$505,"&lt;="&amp;EOMONTH($B$2,0)),0))</f>
        <v>100</v>
      </c>
      <c r="M82" s="78">
        <f>IF(OR(M$73="",$A82=""),"",IFERROR(SUMIFS(COBROS_DIARIOS!$K$4:$K$505,COBROS_DIARIOS!$E$4:$E$505,M$73,COBROS_DIARIOS!$F$4:$F$505,$A82,COBROS_DIARIOS!$A$4:$A$505,"&gt;="&amp;$B$2,COBROS_DIARIOS!$A$4:$A$505,"&lt;="&amp;EOMONTH($B$2,0)),0))</f>
        <v>76</v>
      </c>
      <c r="N82" s="78">
        <f>IF(OR(N$73="",$A82=""),"",IFERROR(SUMIFS(COBROS_DIARIOS!$K$4:$K$505,COBROS_DIARIOS!$E$4:$E$505,N$73,COBROS_DIARIOS!$F$4:$F$505,$A82,COBROS_DIARIOS!$A$4:$A$505,"&gt;="&amp;$B$2,COBROS_DIARIOS!$A$4:$A$505,"&lt;="&amp;EOMONTH($B$2,0)),0))</f>
        <v>76</v>
      </c>
      <c r="O82" s="78">
        <f>IF(OR(O$73="",$A82=""),"",IFERROR(SUMIFS(COBROS_DIARIOS!$K$4:$K$505,COBROS_DIARIOS!$E$4:$E$505,O$73,COBROS_DIARIOS!$F$4:$F$505,$A82,COBROS_DIARIOS!$A$4:$A$505,"&gt;="&amp;$B$2,COBROS_DIARIOS!$A$4:$A$505,"&lt;="&amp;EOMONTH($B$2,0)),0))</f>
        <v>355</v>
      </c>
      <c r="P82" s="78">
        <f>IF(OR(P$73="",$A82=""),"",IFERROR(SUMIFS(COBROS_DIARIOS!$K$4:$K$505,COBROS_DIARIOS!$E$4:$E$505,P$73,COBROS_DIARIOS!$F$4:$F$505,$A82,COBROS_DIARIOS!$A$4:$A$505,"&gt;="&amp;$B$2,COBROS_DIARIOS!$A$4:$A$505,"&lt;="&amp;EOMONTH($B$2,0)),0))</f>
        <v>0</v>
      </c>
      <c r="Q82" s="78">
        <f>IF(OR(Q$73="",$A82=""),"",IFERROR(SUMIFS(COBROS_DIARIOS!$K$4:$K$505,COBROS_DIARIOS!$E$4:$E$505,Q$73,COBROS_DIARIOS!$F$4:$F$505,$A82,COBROS_DIARIOS!$A$4:$A$505,"&gt;="&amp;$B$2,COBROS_DIARIOS!$A$4:$A$505,"&lt;="&amp;EOMONTH($B$2,0)),0))</f>
        <v>0</v>
      </c>
      <c r="R82" s="78">
        <f>IF(OR(R$73="",$A82=""),"",IFERROR(SUMIFS(COBROS_DIARIOS!$K$4:$K$505,COBROS_DIARIOS!$E$4:$E$505,R$73,COBROS_DIARIOS!$F$4:$F$505,$A82,COBROS_DIARIOS!$A$4:$A$505,"&gt;="&amp;$B$2,COBROS_DIARIOS!$A$4:$A$505,"&lt;="&amp;EOMONTH($B$2,0)),0))</f>
        <v>70</v>
      </c>
      <c r="S82" s="78" t="str">
        <f>IF(OR(S$73="",$A82=""),"",IFERROR(SUMIFS(COBROS_DIARIOS!$K$4:$K$505,COBROS_DIARIOS!$E$4:$E$505,S$73,COBROS_DIARIOS!$F$4:$F$505,$A82,COBROS_DIARIOS!$A$4:$A$505,"&gt;="&amp;$B$2,COBROS_DIARIOS!$A$4:$A$505,"&lt;="&amp;EOMONTH($B$2,0)),0))</f>
        <v/>
      </c>
      <c r="T82" s="78" t="str">
        <f>IF(OR(T$73="",$A82=""),"",IFERROR(SUMIFS(COBROS_DIARIOS!$K$4:$K$505,COBROS_DIARIOS!$E$4:$E$505,T$73,COBROS_DIARIOS!$F$4:$F$505,$A82,COBROS_DIARIOS!$A$4:$A$505,"&gt;="&amp;$B$2,COBROS_DIARIOS!$A$4:$A$505,"&lt;="&amp;EOMONTH($B$2,0)),0))</f>
        <v/>
      </c>
      <c r="U82" s="78" t="str">
        <f>IF(OR(U$73="",$A82=""),"",IFERROR(SUMIFS(COBROS_DIARIOS!$K$4:$K$505,COBROS_DIARIOS!$E$4:$E$505,U$73,COBROS_DIARIOS!$F$4:$F$505,$A82,COBROS_DIARIOS!$A$4:$A$505,"&gt;="&amp;$B$2,COBROS_DIARIOS!$A$4:$A$505,"&lt;="&amp;EOMONTH($B$2,0)),0))</f>
        <v/>
      </c>
      <c r="V82" s="78" t="str">
        <f>IF(OR(V$73="",$A82=""),"",IFERROR(SUMIFS(COBROS_DIARIOS!$K$4:$K$505,COBROS_DIARIOS!$E$4:$E$505,V$73,COBROS_DIARIOS!$F$4:$F$505,$A82,COBROS_DIARIOS!$A$4:$A$505,"&gt;="&amp;$B$2,COBROS_DIARIOS!$A$4:$A$505,"&lt;="&amp;EOMONTH($B$2,0)),0))</f>
        <v/>
      </c>
      <c r="W82" s="78" t="str">
        <f>IF(OR(W$73="",$A82=""),"",IFERROR(SUMIFS(COBROS_DIARIOS!$K$4:$K$505,COBROS_DIARIOS!$E$4:$E$505,W$73,COBROS_DIARIOS!$F$4:$F$505,$A82,COBROS_DIARIOS!$A$4:$A$505,"&gt;="&amp;$B$2,COBROS_DIARIOS!$A$4:$A$505,"&lt;="&amp;EOMONTH($B$2,0)),0))</f>
        <v/>
      </c>
      <c r="X82" s="78" t="str">
        <f>IF(OR(X$73="",$A82=""),"",IFERROR(SUMIFS(COBROS_DIARIOS!$K$4:$K$505,COBROS_DIARIOS!$E$4:$E$505,X$73,COBROS_DIARIOS!$F$4:$F$505,$A82,COBROS_DIARIOS!$A$4:$A$505,"&gt;="&amp;$B$2,COBROS_DIARIOS!$A$4:$A$505,"&lt;="&amp;EOMONTH($B$2,0)),0))</f>
        <v/>
      </c>
      <c r="Y82" s="78" t="str">
        <f>IF(OR(Y$73="",$A82=""),"",IFERROR(SUMIFS(COBROS_DIARIOS!$K$4:$K$505,COBROS_DIARIOS!$E$4:$E$505,Y$73,COBROS_DIARIOS!$F$4:$F$505,$A82,COBROS_DIARIOS!$A$4:$A$505,"&gt;="&amp;$B$2,COBROS_DIARIOS!$A$4:$A$505,"&lt;="&amp;EOMONTH($B$2,0)),0))</f>
        <v/>
      </c>
      <c r="Z82" s="78" t="str">
        <f>IF(OR(Z$73="",$A82=""),"",IFERROR(SUMIFS(COBROS_DIARIOS!$K$4:$K$505,COBROS_DIARIOS!$E$4:$E$505,Z$73,COBROS_DIARIOS!$F$4:$F$505,$A82,COBROS_DIARIOS!$A$4:$A$505,"&gt;="&amp;$B$2,COBROS_DIARIOS!$A$4:$A$505,"&lt;="&amp;EOMONTH($B$2,0)),0))</f>
        <v/>
      </c>
      <c r="AA82" s="79">
        <f t="shared" si="3"/>
        <v>1214</v>
      </c>
    </row>
    <row r="83" ht="15.0" customHeight="1">
      <c r="A83" s="65" t="str">
        <f>IFERROR(IF(COLORES!A13="","",COLORES!A13),"")</f>
        <v>Cemento</v>
      </c>
      <c r="B83" s="78">
        <f>IF(OR(B$73="",$A83=""),"",IFERROR(SUMIFS(COBROS_DIARIOS!$K$4:$K$505,COBROS_DIARIOS!$E$4:$E$505,B$73,COBROS_DIARIOS!$F$4:$F$505,$A83,COBROS_DIARIOS!$A$4:$A$505,"&gt;="&amp;$B$2,COBROS_DIARIOS!$A$4:$A$505,"&lt;="&amp;EOMONTH($B$2,0)),0))</f>
        <v>0</v>
      </c>
      <c r="C83" s="78">
        <f>IF(OR(C$73="",$A83=""),"",IFERROR(SUMIFS(COBROS_DIARIOS!$K$4:$K$505,COBROS_DIARIOS!$E$4:$E$505,C$73,COBROS_DIARIOS!$F$4:$F$505,$A83,COBROS_DIARIOS!$A$4:$A$505,"&gt;="&amp;$B$2,COBROS_DIARIOS!$A$4:$A$505,"&lt;="&amp;EOMONTH($B$2,0)),0))</f>
        <v>544</v>
      </c>
      <c r="D83" s="78">
        <f>IF(OR(D$73="",$A83=""),"",IFERROR(SUMIFS(COBROS_DIARIOS!$K$4:$K$505,COBROS_DIARIOS!$E$4:$E$505,D$73,COBROS_DIARIOS!$F$4:$F$505,$A83,COBROS_DIARIOS!$A$4:$A$505,"&gt;="&amp;$B$2,COBROS_DIARIOS!$A$4:$A$505,"&lt;="&amp;EOMONTH($B$2,0)),0))</f>
        <v>201</v>
      </c>
      <c r="E83" s="78">
        <f>IF(OR(E$73="",$A83=""),"",IFERROR(SUMIFS(COBROS_DIARIOS!$K$4:$K$505,COBROS_DIARIOS!$E$4:$E$505,E$73,COBROS_DIARIOS!$F$4:$F$505,$A83,COBROS_DIARIOS!$A$4:$A$505,"&gt;="&amp;$B$2,COBROS_DIARIOS!$A$4:$A$505,"&lt;="&amp;EOMONTH($B$2,0)),0))</f>
        <v>0</v>
      </c>
      <c r="F83" s="78">
        <f>IF(OR(F$73="",$A83=""),"",IFERROR(SUMIFS(COBROS_DIARIOS!$K$4:$K$505,COBROS_DIARIOS!$E$4:$E$505,F$73,COBROS_DIARIOS!$F$4:$F$505,$A83,COBROS_DIARIOS!$A$4:$A$505,"&gt;="&amp;$B$2,COBROS_DIARIOS!$A$4:$A$505,"&lt;="&amp;EOMONTH($B$2,0)),0))</f>
        <v>0</v>
      </c>
      <c r="G83" s="78">
        <f>IF(OR(G$73="",$A83=""),"",IFERROR(SUMIFS(COBROS_DIARIOS!$K$4:$K$505,COBROS_DIARIOS!$E$4:$E$505,G$73,COBROS_DIARIOS!$F$4:$F$505,$A83,COBROS_DIARIOS!$A$4:$A$505,"&gt;="&amp;$B$2,COBROS_DIARIOS!$A$4:$A$505,"&lt;="&amp;EOMONTH($B$2,0)),0))</f>
        <v>37</v>
      </c>
      <c r="H83" s="78">
        <f>IF(OR(H$73="",$A83=""),"",IFERROR(SUMIFS(COBROS_DIARIOS!$K$4:$K$505,COBROS_DIARIOS!$E$4:$E$505,H$73,COBROS_DIARIOS!$F$4:$F$505,$A83,COBROS_DIARIOS!$A$4:$A$505,"&gt;="&amp;$B$2,COBROS_DIARIOS!$A$4:$A$505,"&lt;="&amp;EOMONTH($B$2,0)),0))</f>
        <v>27</v>
      </c>
      <c r="I83" s="78">
        <f>IF(OR(I$73="",$A83=""),"",IFERROR(SUMIFS(COBROS_DIARIOS!$K$4:$K$505,COBROS_DIARIOS!$E$4:$E$505,I$73,COBROS_DIARIOS!$F$4:$F$505,$A83,COBROS_DIARIOS!$A$4:$A$505,"&gt;="&amp;$B$2,COBROS_DIARIOS!$A$4:$A$505,"&lt;="&amp;EOMONTH($B$2,0)),0))</f>
        <v>54</v>
      </c>
      <c r="J83" s="78">
        <f>IF(OR(J$73="",$A83=""),"",IFERROR(SUMIFS(COBROS_DIARIOS!$K$4:$K$505,COBROS_DIARIOS!$E$4:$E$505,J$73,COBROS_DIARIOS!$F$4:$F$505,$A83,COBROS_DIARIOS!$A$4:$A$505,"&gt;="&amp;$B$2,COBROS_DIARIOS!$A$4:$A$505,"&lt;="&amp;EOMONTH($B$2,0)),0))</f>
        <v>42</v>
      </c>
      <c r="K83" s="78">
        <f>IF(OR(K$73="",$A83=""),"",IFERROR(SUMIFS(COBROS_DIARIOS!$K$4:$K$505,COBROS_DIARIOS!$E$4:$E$505,K$73,COBROS_DIARIOS!$F$4:$F$505,$A83,COBROS_DIARIOS!$A$4:$A$505,"&gt;="&amp;$B$2,COBROS_DIARIOS!$A$4:$A$505,"&lt;="&amp;EOMONTH($B$2,0)),0))</f>
        <v>192</v>
      </c>
      <c r="L83" s="78">
        <f>IF(OR(L$73="",$A83=""),"",IFERROR(SUMIFS(COBROS_DIARIOS!$K$4:$K$505,COBROS_DIARIOS!$E$4:$E$505,L$73,COBROS_DIARIOS!$F$4:$F$505,$A83,COBROS_DIARIOS!$A$4:$A$505,"&gt;="&amp;$B$2,COBROS_DIARIOS!$A$4:$A$505,"&lt;="&amp;EOMONTH($B$2,0)),0))</f>
        <v>96</v>
      </c>
      <c r="M83" s="78">
        <f>IF(OR(M$73="",$A83=""),"",IFERROR(SUMIFS(COBROS_DIARIOS!$K$4:$K$505,COBROS_DIARIOS!$E$4:$E$505,M$73,COBROS_DIARIOS!$F$4:$F$505,$A83,COBROS_DIARIOS!$A$4:$A$505,"&gt;="&amp;$B$2,COBROS_DIARIOS!$A$4:$A$505,"&lt;="&amp;EOMONTH($B$2,0)),0))</f>
        <v>0</v>
      </c>
      <c r="N83" s="78">
        <f>IF(OR(N$73="",$A83=""),"",IFERROR(SUMIFS(COBROS_DIARIOS!$K$4:$K$505,COBROS_DIARIOS!$E$4:$E$505,N$73,COBROS_DIARIOS!$F$4:$F$505,$A83,COBROS_DIARIOS!$A$4:$A$505,"&gt;="&amp;$B$2,COBROS_DIARIOS!$A$4:$A$505,"&lt;="&amp;EOMONTH($B$2,0)),0))</f>
        <v>0</v>
      </c>
      <c r="O83" s="78">
        <f>IF(OR(O$73="",$A83=""),"",IFERROR(SUMIFS(COBROS_DIARIOS!$K$4:$K$505,COBROS_DIARIOS!$E$4:$E$505,O$73,COBROS_DIARIOS!$F$4:$F$505,$A83,COBROS_DIARIOS!$A$4:$A$505,"&gt;="&amp;$B$2,COBROS_DIARIOS!$A$4:$A$505,"&lt;="&amp;EOMONTH($B$2,0)),0))</f>
        <v>0</v>
      </c>
      <c r="P83" s="78">
        <f>IF(OR(P$73="",$A83=""),"",IFERROR(SUMIFS(COBROS_DIARIOS!$K$4:$K$505,COBROS_DIARIOS!$E$4:$E$505,P$73,COBROS_DIARIOS!$F$4:$F$505,$A83,COBROS_DIARIOS!$A$4:$A$505,"&gt;="&amp;$B$2,COBROS_DIARIOS!$A$4:$A$505,"&lt;="&amp;EOMONTH($B$2,0)),0))</f>
        <v>0</v>
      </c>
      <c r="Q83" s="78">
        <f>IF(OR(Q$73="",$A83=""),"",IFERROR(SUMIFS(COBROS_DIARIOS!$K$4:$K$505,COBROS_DIARIOS!$E$4:$E$505,Q$73,COBROS_DIARIOS!$F$4:$F$505,$A83,COBROS_DIARIOS!$A$4:$A$505,"&gt;="&amp;$B$2,COBROS_DIARIOS!$A$4:$A$505,"&lt;="&amp;EOMONTH($B$2,0)),0))</f>
        <v>0</v>
      </c>
      <c r="R83" s="78">
        <f>IF(OR(R$73="",$A83=""),"",IFERROR(SUMIFS(COBROS_DIARIOS!$K$4:$K$505,COBROS_DIARIOS!$E$4:$E$505,R$73,COBROS_DIARIOS!$F$4:$F$505,$A83,COBROS_DIARIOS!$A$4:$A$505,"&gt;="&amp;$B$2,COBROS_DIARIOS!$A$4:$A$505,"&lt;="&amp;EOMONTH($B$2,0)),0))</f>
        <v>64</v>
      </c>
      <c r="S83" s="78" t="str">
        <f>IF(OR(S$73="",$A83=""),"",IFERROR(SUMIFS(COBROS_DIARIOS!$K$4:$K$505,COBROS_DIARIOS!$E$4:$E$505,S$73,COBROS_DIARIOS!$F$4:$F$505,$A83,COBROS_DIARIOS!$A$4:$A$505,"&gt;="&amp;$B$2,COBROS_DIARIOS!$A$4:$A$505,"&lt;="&amp;EOMONTH($B$2,0)),0))</f>
        <v/>
      </c>
      <c r="T83" s="78" t="str">
        <f>IF(OR(T$73="",$A83=""),"",IFERROR(SUMIFS(COBROS_DIARIOS!$K$4:$K$505,COBROS_DIARIOS!$E$4:$E$505,T$73,COBROS_DIARIOS!$F$4:$F$505,$A83,COBROS_DIARIOS!$A$4:$A$505,"&gt;="&amp;$B$2,COBROS_DIARIOS!$A$4:$A$505,"&lt;="&amp;EOMONTH($B$2,0)),0))</f>
        <v/>
      </c>
      <c r="U83" s="78" t="str">
        <f>IF(OR(U$73="",$A83=""),"",IFERROR(SUMIFS(COBROS_DIARIOS!$K$4:$K$505,COBROS_DIARIOS!$E$4:$E$505,U$73,COBROS_DIARIOS!$F$4:$F$505,$A83,COBROS_DIARIOS!$A$4:$A$505,"&gt;="&amp;$B$2,COBROS_DIARIOS!$A$4:$A$505,"&lt;="&amp;EOMONTH($B$2,0)),0))</f>
        <v/>
      </c>
      <c r="V83" s="78" t="str">
        <f>IF(OR(V$73="",$A83=""),"",IFERROR(SUMIFS(COBROS_DIARIOS!$K$4:$K$505,COBROS_DIARIOS!$E$4:$E$505,V$73,COBROS_DIARIOS!$F$4:$F$505,$A83,COBROS_DIARIOS!$A$4:$A$505,"&gt;="&amp;$B$2,COBROS_DIARIOS!$A$4:$A$505,"&lt;="&amp;EOMONTH($B$2,0)),0))</f>
        <v/>
      </c>
      <c r="W83" s="78" t="str">
        <f>IF(OR(W$73="",$A83=""),"",IFERROR(SUMIFS(COBROS_DIARIOS!$K$4:$K$505,COBROS_DIARIOS!$E$4:$E$505,W$73,COBROS_DIARIOS!$F$4:$F$505,$A83,COBROS_DIARIOS!$A$4:$A$505,"&gt;="&amp;$B$2,COBROS_DIARIOS!$A$4:$A$505,"&lt;="&amp;EOMONTH($B$2,0)),0))</f>
        <v/>
      </c>
      <c r="X83" s="78" t="str">
        <f>IF(OR(X$73="",$A83=""),"",IFERROR(SUMIFS(COBROS_DIARIOS!$K$4:$K$505,COBROS_DIARIOS!$E$4:$E$505,X$73,COBROS_DIARIOS!$F$4:$F$505,$A83,COBROS_DIARIOS!$A$4:$A$505,"&gt;="&amp;$B$2,COBROS_DIARIOS!$A$4:$A$505,"&lt;="&amp;EOMONTH($B$2,0)),0))</f>
        <v/>
      </c>
      <c r="Y83" s="78" t="str">
        <f>IF(OR(Y$73="",$A83=""),"",IFERROR(SUMIFS(COBROS_DIARIOS!$K$4:$K$505,COBROS_DIARIOS!$E$4:$E$505,Y$73,COBROS_DIARIOS!$F$4:$F$505,$A83,COBROS_DIARIOS!$A$4:$A$505,"&gt;="&amp;$B$2,COBROS_DIARIOS!$A$4:$A$505,"&lt;="&amp;EOMONTH($B$2,0)),0))</f>
        <v/>
      </c>
      <c r="Z83" s="78" t="str">
        <f>IF(OR(Z$73="",$A83=""),"",IFERROR(SUMIFS(COBROS_DIARIOS!$K$4:$K$505,COBROS_DIARIOS!$E$4:$E$505,Z$73,COBROS_DIARIOS!$F$4:$F$505,$A83,COBROS_DIARIOS!$A$4:$A$505,"&gt;="&amp;$B$2,COBROS_DIARIOS!$A$4:$A$505,"&lt;="&amp;EOMONTH($B$2,0)),0))</f>
        <v/>
      </c>
      <c r="AA83" s="79">
        <f t="shared" si="3"/>
        <v>1257</v>
      </c>
    </row>
    <row r="84" ht="15.0" customHeight="1">
      <c r="A84" s="65" t="str">
        <f>IFERROR(IF(COLORES!A14="","",COLORES!A14),"")</f>
        <v>Camote</v>
      </c>
      <c r="B84" s="78">
        <f>IF(OR(B$73="",$A84=""),"",IFERROR(SUMIFS(COBROS_DIARIOS!$K$4:$K$505,COBROS_DIARIOS!$E$4:$E$505,B$73,COBROS_DIARIOS!$F$4:$F$505,$A84,COBROS_DIARIOS!$A$4:$A$505,"&gt;="&amp;$B$2,COBROS_DIARIOS!$A$4:$A$505,"&lt;="&amp;EOMONTH($B$2,0)),0))</f>
        <v>0</v>
      </c>
      <c r="C84" s="78">
        <f>IF(OR(C$73="",$A84=""),"",IFERROR(SUMIFS(COBROS_DIARIOS!$K$4:$K$505,COBROS_DIARIOS!$E$4:$E$505,C$73,COBROS_DIARIOS!$F$4:$F$505,$A84,COBROS_DIARIOS!$A$4:$A$505,"&gt;="&amp;$B$2,COBROS_DIARIOS!$A$4:$A$505,"&lt;="&amp;EOMONTH($B$2,0)),0))</f>
        <v>0</v>
      </c>
      <c r="D84" s="78">
        <f>IF(OR(D$73="",$A84=""),"",IFERROR(SUMIFS(COBROS_DIARIOS!$K$4:$K$505,COBROS_DIARIOS!$E$4:$E$505,D$73,COBROS_DIARIOS!$F$4:$F$505,$A84,COBROS_DIARIOS!$A$4:$A$505,"&gt;="&amp;$B$2,COBROS_DIARIOS!$A$4:$A$505,"&lt;="&amp;EOMONTH($B$2,0)),0))</f>
        <v>0</v>
      </c>
      <c r="E84" s="78">
        <f>IF(OR(E$73="",$A84=""),"",IFERROR(SUMIFS(COBROS_DIARIOS!$K$4:$K$505,COBROS_DIARIOS!$E$4:$E$505,E$73,COBROS_DIARIOS!$F$4:$F$505,$A84,COBROS_DIARIOS!$A$4:$A$505,"&gt;="&amp;$B$2,COBROS_DIARIOS!$A$4:$A$505,"&lt;="&amp;EOMONTH($B$2,0)),0))</f>
        <v>0</v>
      </c>
      <c r="F84" s="78">
        <f>IF(OR(F$73="",$A84=""),"",IFERROR(SUMIFS(COBROS_DIARIOS!$K$4:$K$505,COBROS_DIARIOS!$E$4:$E$505,F$73,COBROS_DIARIOS!$F$4:$F$505,$A84,COBROS_DIARIOS!$A$4:$A$505,"&gt;="&amp;$B$2,COBROS_DIARIOS!$A$4:$A$505,"&lt;="&amp;EOMONTH($B$2,0)),0))</f>
        <v>0</v>
      </c>
      <c r="G84" s="78">
        <f>IF(OR(G$73="",$A84=""),"",IFERROR(SUMIFS(COBROS_DIARIOS!$K$4:$K$505,COBROS_DIARIOS!$E$4:$E$505,G$73,COBROS_DIARIOS!$F$4:$F$505,$A84,COBROS_DIARIOS!$A$4:$A$505,"&gt;="&amp;$B$2,COBROS_DIARIOS!$A$4:$A$505,"&lt;="&amp;EOMONTH($B$2,0)),0))</f>
        <v>0</v>
      </c>
      <c r="H84" s="78">
        <f>IF(OR(H$73="",$A84=""),"",IFERROR(SUMIFS(COBROS_DIARIOS!$K$4:$K$505,COBROS_DIARIOS!$E$4:$E$505,H$73,COBROS_DIARIOS!$F$4:$F$505,$A84,COBROS_DIARIOS!$A$4:$A$505,"&gt;="&amp;$B$2,COBROS_DIARIOS!$A$4:$A$505,"&lt;="&amp;EOMONTH($B$2,0)),0))</f>
        <v>0</v>
      </c>
      <c r="I84" s="78">
        <f>IF(OR(I$73="",$A84=""),"",IFERROR(SUMIFS(COBROS_DIARIOS!$K$4:$K$505,COBROS_DIARIOS!$E$4:$E$505,I$73,COBROS_DIARIOS!$F$4:$F$505,$A84,COBROS_DIARIOS!$A$4:$A$505,"&gt;="&amp;$B$2,COBROS_DIARIOS!$A$4:$A$505,"&lt;="&amp;EOMONTH($B$2,0)),0))</f>
        <v>0</v>
      </c>
      <c r="J84" s="78">
        <f>IF(OR(J$73="",$A84=""),"",IFERROR(SUMIFS(COBROS_DIARIOS!$K$4:$K$505,COBROS_DIARIOS!$E$4:$E$505,J$73,COBROS_DIARIOS!$F$4:$F$505,$A84,COBROS_DIARIOS!$A$4:$A$505,"&gt;="&amp;$B$2,COBROS_DIARIOS!$A$4:$A$505,"&lt;="&amp;EOMONTH($B$2,0)),0))</f>
        <v>0</v>
      </c>
      <c r="K84" s="78">
        <f>IF(OR(K$73="",$A84=""),"",IFERROR(SUMIFS(COBROS_DIARIOS!$K$4:$K$505,COBROS_DIARIOS!$E$4:$E$505,K$73,COBROS_DIARIOS!$F$4:$F$505,$A84,COBROS_DIARIOS!$A$4:$A$505,"&gt;="&amp;$B$2,COBROS_DIARIOS!$A$4:$A$505,"&lt;="&amp;EOMONTH($B$2,0)),0))</f>
        <v>0</v>
      </c>
      <c r="L84" s="78">
        <f>IF(OR(L$73="",$A84=""),"",IFERROR(SUMIFS(COBROS_DIARIOS!$K$4:$K$505,COBROS_DIARIOS!$E$4:$E$505,L$73,COBROS_DIARIOS!$F$4:$F$505,$A84,COBROS_DIARIOS!$A$4:$A$505,"&gt;="&amp;$B$2,COBROS_DIARIOS!$A$4:$A$505,"&lt;="&amp;EOMONTH($B$2,0)),0))</f>
        <v>0</v>
      </c>
      <c r="M84" s="78">
        <f>IF(OR(M$73="",$A84=""),"",IFERROR(SUMIFS(COBROS_DIARIOS!$K$4:$K$505,COBROS_DIARIOS!$E$4:$E$505,M$73,COBROS_DIARIOS!$F$4:$F$505,$A84,COBROS_DIARIOS!$A$4:$A$505,"&gt;="&amp;$B$2,COBROS_DIARIOS!$A$4:$A$505,"&lt;="&amp;EOMONTH($B$2,0)),0))</f>
        <v>0</v>
      </c>
      <c r="N84" s="78">
        <f>IF(OR(N$73="",$A84=""),"",IFERROR(SUMIFS(COBROS_DIARIOS!$K$4:$K$505,COBROS_DIARIOS!$E$4:$E$505,N$73,COBROS_DIARIOS!$F$4:$F$505,$A84,COBROS_DIARIOS!$A$4:$A$505,"&gt;="&amp;$B$2,COBROS_DIARIOS!$A$4:$A$505,"&lt;="&amp;EOMONTH($B$2,0)),0))</f>
        <v>0</v>
      </c>
      <c r="O84" s="78">
        <f>IF(OR(O$73="",$A84=""),"",IFERROR(SUMIFS(COBROS_DIARIOS!$K$4:$K$505,COBROS_DIARIOS!$E$4:$E$505,O$73,COBROS_DIARIOS!$F$4:$F$505,$A84,COBROS_DIARIOS!$A$4:$A$505,"&gt;="&amp;$B$2,COBROS_DIARIOS!$A$4:$A$505,"&lt;="&amp;EOMONTH($B$2,0)),0))</f>
        <v>0</v>
      </c>
      <c r="P84" s="78">
        <f>IF(OR(P$73="",$A84=""),"",IFERROR(SUMIFS(COBROS_DIARIOS!$K$4:$K$505,COBROS_DIARIOS!$E$4:$E$505,P$73,COBROS_DIARIOS!$F$4:$F$505,$A84,COBROS_DIARIOS!$A$4:$A$505,"&gt;="&amp;$B$2,COBROS_DIARIOS!$A$4:$A$505,"&lt;="&amp;EOMONTH($B$2,0)),0))</f>
        <v>0</v>
      </c>
      <c r="Q84" s="78">
        <f>IF(OR(Q$73="",$A84=""),"",IFERROR(SUMIFS(COBROS_DIARIOS!$K$4:$K$505,COBROS_DIARIOS!$E$4:$E$505,Q$73,COBROS_DIARIOS!$F$4:$F$505,$A84,COBROS_DIARIOS!$A$4:$A$505,"&gt;="&amp;$B$2,COBROS_DIARIOS!$A$4:$A$505,"&lt;="&amp;EOMONTH($B$2,0)),0))</f>
        <v>0</v>
      </c>
      <c r="R84" s="78">
        <f>IF(OR(R$73="",$A84=""),"",IFERROR(SUMIFS(COBROS_DIARIOS!$K$4:$K$505,COBROS_DIARIOS!$E$4:$E$505,R$73,COBROS_DIARIOS!$F$4:$F$505,$A84,COBROS_DIARIOS!$A$4:$A$505,"&gt;="&amp;$B$2,COBROS_DIARIOS!$A$4:$A$505,"&lt;="&amp;EOMONTH($B$2,0)),0))</f>
        <v>0</v>
      </c>
      <c r="S84" s="78" t="str">
        <f>IF(OR(S$73="",$A84=""),"",IFERROR(SUMIFS(COBROS_DIARIOS!$K$4:$K$505,COBROS_DIARIOS!$E$4:$E$505,S$73,COBROS_DIARIOS!$F$4:$F$505,$A84,COBROS_DIARIOS!$A$4:$A$505,"&gt;="&amp;$B$2,COBROS_DIARIOS!$A$4:$A$505,"&lt;="&amp;EOMONTH($B$2,0)),0))</f>
        <v/>
      </c>
      <c r="T84" s="78" t="str">
        <f>IF(OR(T$73="",$A84=""),"",IFERROR(SUMIFS(COBROS_DIARIOS!$K$4:$K$505,COBROS_DIARIOS!$E$4:$E$505,T$73,COBROS_DIARIOS!$F$4:$F$505,$A84,COBROS_DIARIOS!$A$4:$A$505,"&gt;="&amp;$B$2,COBROS_DIARIOS!$A$4:$A$505,"&lt;="&amp;EOMONTH($B$2,0)),0))</f>
        <v/>
      </c>
      <c r="U84" s="78" t="str">
        <f>IF(OR(U$73="",$A84=""),"",IFERROR(SUMIFS(COBROS_DIARIOS!$K$4:$K$505,COBROS_DIARIOS!$E$4:$E$505,U$73,COBROS_DIARIOS!$F$4:$F$505,$A84,COBROS_DIARIOS!$A$4:$A$505,"&gt;="&amp;$B$2,COBROS_DIARIOS!$A$4:$A$505,"&lt;="&amp;EOMONTH($B$2,0)),0))</f>
        <v/>
      </c>
      <c r="V84" s="78" t="str">
        <f>IF(OR(V$73="",$A84=""),"",IFERROR(SUMIFS(COBROS_DIARIOS!$K$4:$K$505,COBROS_DIARIOS!$E$4:$E$505,V$73,COBROS_DIARIOS!$F$4:$F$505,$A84,COBROS_DIARIOS!$A$4:$A$505,"&gt;="&amp;$B$2,COBROS_DIARIOS!$A$4:$A$505,"&lt;="&amp;EOMONTH($B$2,0)),0))</f>
        <v/>
      </c>
      <c r="W84" s="78" t="str">
        <f>IF(OR(W$73="",$A84=""),"",IFERROR(SUMIFS(COBROS_DIARIOS!$K$4:$K$505,COBROS_DIARIOS!$E$4:$E$505,W$73,COBROS_DIARIOS!$F$4:$F$505,$A84,COBROS_DIARIOS!$A$4:$A$505,"&gt;="&amp;$B$2,COBROS_DIARIOS!$A$4:$A$505,"&lt;="&amp;EOMONTH($B$2,0)),0))</f>
        <v/>
      </c>
      <c r="X84" s="78" t="str">
        <f>IF(OR(X$73="",$A84=""),"",IFERROR(SUMIFS(COBROS_DIARIOS!$K$4:$K$505,COBROS_DIARIOS!$E$4:$E$505,X$73,COBROS_DIARIOS!$F$4:$F$505,$A84,COBROS_DIARIOS!$A$4:$A$505,"&gt;="&amp;$B$2,COBROS_DIARIOS!$A$4:$A$505,"&lt;="&amp;EOMONTH($B$2,0)),0))</f>
        <v/>
      </c>
      <c r="Y84" s="78" t="str">
        <f>IF(OR(Y$73="",$A84=""),"",IFERROR(SUMIFS(COBROS_DIARIOS!$K$4:$K$505,COBROS_DIARIOS!$E$4:$E$505,Y$73,COBROS_DIARIOS!$F$4:$F$505,$A84,COBROS_DIARIOS!$A$4:$A$505,"&gt;="&amp;$B$2,COBROS_DIARIOS!$A$4:$A$505,"&lt;="&amp;EOMONTH($B$2,0)),0))</f>
        <v/>
      </c>
      <c r="Z84" s="78" t="str">
        <f>IF(OR(Z$73="",$A84=""),"",IFERROR(SUMIFS(COBROS_DIARIOS!$K$4:$K$505,COBROS_DIARIOS!$E$4:$E$505,Z$73,COBROS_DIARIOS!$F$4:$F$505,$A84,COBROS_DIARIOS!$A$4:$A$505,"&gt;="&amp;$B$2,COBROS_DIARIOS!$A$4:$A$505,"&lt;="&amp;EOMONTH($B$2,0)),0))</f>
        <v/>
      </c>
      <c r="AA84" s="79">
        <f t="shared" si="3"/>
        <v>0</v>
      </c>
    </row>
    <row r="85" ht="15.0" customHeight="1">
      <c r="A85" s="65" t="str">
        <f>IFERROR(IF(COLORES!A15="","",COLORES!A15),"")</f>
        <v>Denim</v>
      </c>
      <c r="B85" s="78">
        <f>IF(OR(B$73="",$A85=""),"",IFERROR(SUMIFS(COBROS_DIARIOS!$K$4:$K$505,COBROS_DIARIOS!$E$4:$E$505,B$73,COBROS_DIARIOS!$F$4:$F$505,$A85,COBROS_DIARIOS!$A$4:$A$505,"&gt;="&amp;$B$2,COBROS_DIARIOS!$A$4:$A$505,"&lt;="&amp;EOMONTH($B$2,0)),0))</f>
        <v>1153</v>
      </c>
      <c r="C85" s="78">
        <f>IF(OR(C$73="",$A85=""),"",IFERROR(SUMIFS(COBROS_DIARIOS!$K$4:$K$505,COBROS_DIARIOS!$E$4:$E$505,C$73,COBROS_DIARIOS!$F$4:$F$505,$A85,COBROS_DIARIOS!$A$4:$A$505,"&gt;="&amp;$B$2,COBROS_DIARIOS!$A$4:$A$505,"&lt;="&amp;EOMONTH($B$2,0)),0))</f>
        <v>306</v>
      </c>
      <c r="D85" s="78">
        <f>IF(OR(D$73="",$A85=""),"",IFERROR(SUMIFS(COBROS_DIARIOS!$K$4:$K$505,COBROS_DIARIOS!$E$4:$E$505,D$73,COBROS_DIARIOS!$F$4:$F$505,$A85,COBROS_DIARIOS!$A$4:$A$505,"&gt;="&amp;$B$2,COBROS_DIARIOS!$A$4:$A$505,"&lt;="&amp;EOMONTH($B$2,0)),0))</f>
        <v>203</v>
      </c>
      <c r="E85" s="78">
        <f>IF(OR(E$73="",$A85=""),"",IFERROR(SUMIFS(COBROS_DIARIOS!$K$4:$K$505,COBROS_DIARIOS!$E$4:$E$505,E$73,COBROS_DIARIOS!$F$4:$F$505,$A85,COBROS_DIARIOS!$A$4:$A$505,"&gt;="&amp;$B$2,COBROS_DIARIOS!$A$4:$A$505,"&lt;="&amp;EOMONTH($B$2,0)),0))</f>
        <v>0</v>
      </c>
      <c r="F85" s="78">
        <f>IF(OR(F$73="",$A85=""),"",IFERROR(SUMIFS(COBROS_DIARIOS!$K$4:$K$505,COBROS_DIARIOS!$E$4:$E$505,F$73,COBROS_DIARIOS!$F$4:$F$505,$A85,COBROS_DIARIOS!$A$4:$A$505,"&gt;="&amp;$B$2,COBROS_DIARIOS!$A$4:$A$505,"&lt;="&amp;EOMONTH($B$2,0)),0))</f>
        <v>0</v>
      </c>
      <c r="G85" s="78">
        <f>IF(OR(G$73="",$A85=""),"",IFERROR(SUMIFS(COBROS_DIARIOS!$K$4:$K$505,COBROS_DIARIOS!$E$4:$E$505,G$73,COBROS_DIARIOS!$F$4:$F$505,$A85,COBROS_DIARIOS!$A$4:$A$505,"&gt;="&amp;$B$2,COBROS_DIARIOS!$A$4:$A$505,"&lt;="&amp;EOMONTH($B$2,0)),0))</f>
        <v>305</v>
      </c>
      <c r="H85" s="78">
        <f>IF(OR(H$73="",$A85=""),"",IFERROR(SUMIFS(COBROS_DIARIOS!$K$4:$K$505,COBROS_DIARIOS!$E$4:$E$505,H$73,COBROS_DIARIOS!$F$4:$F$505,$A85,COBROS_DIARIOS!$A$4:$A$505,"&gt;="&amp;$B$2,COBROS_DIARIOS!$A$4:$A$505,"&lt;="&amp;EOMONTH($B$2,0)),0))</f>
        <v>31</v>
      </c>
      <c r="I85" s="78">
        <f>IF(OR(I$73="",$A85=""),"",IFERROR(SUMIFS(COBROS_DIARIOS!$K$4:$K$505,COBROS_DIARIOS!$E$4:$E$505,I$73,COBROS_DIARIOS!$F$4:$F$505,$A85,COBROS_DIARIOS!$A$4:$A$505,"&gt;="&amp;$B$2,COBROS_DIARIOS!$A$4:$A$505,"&lt;="&amp;EOMONTH($B$2,0)),0))</f>
        <v>66</v>
      </c>
      <c r="J85" s="78">
        <f>IF(OR(J$73="",$A85=""),"",IFERROR(SUMIFS(COBROS_DIARIOS!$K$4:$K$505,COBROS_DIARIOS!$E$4:$E$505,J$73,COBROS_DIARIOS!$F$4:$F$505,$A85,COBROS_DIARIOS!$A$4:$A$505,"&gt;="&amp;$B$2,COBROS_DIARIOS!$A$4:$A$505,"&lt;="&amp;EOMONTH($B$2,0)),0))</f>
        <v>47</v>
      </c>
      <c r="K85" s="78">
        <f>IF(OR(K$73="",$A85=""),"",IFERROR(SUMIFS(COBROS_DIARIOS!$K$4:$K$505,COBROS_DIARIOS!$E$4:$E$505,K$73,COBROS_DIARIOS!$F$4:$F$505,$A85,COBROS_DIARIOS!$A$4:$A$505,"&gt;="&amp;$B$2,COBROS_DIARIOS!$A$4:$A$505,"&lt;="&amp;EOMONTH($B$2,0)),0))</f>
        <v>96</v>
      </c>
      <c r="L85" s="78">
        <f>IF(OR(L$73="",$A85=""),"",IFERROR(SUMIFS(COBROS_DIARIOS!$K$4:$K$505,COBROS_DIARIOS!$E$4:$E$505,L$73,COBROS_DIARIOS!$F$4:$F$505,$A85,COBROS_DIARIOS!$A$4:$A$505,"&gt;="&amp;$B$2,COBROS_DIARIOS!$A$4:$A$505,"&lt;="&amp;EOMONTH($B$2,0)),0))</f>
        <v>48</v>
      </c>
      <c r="M85" s="78">
        <f>IF(OR(M$73="",$A85=""),"",IFERROR(SUMIFS(COBROS_DIARIOS!$K$4:$K$505,COBROS_DIARIOS!$E$4:$E$505,M$73,COBROS_DIARIOS!$F$4:$F$505,$A85,COBROS_DIARIOS!$A$4:$A$505,"&gt;="&amp;$B$2,COBROS_DIARIOS!$A$4:$A$505,"&lt;="&amp;EOMONTH($B$2,0)),0))</f>
        <v>0</v>
      </c>
      <c r="N85" s="78">
        <f>IF(OR(N$73="",$A85=""),"",IFERROR(SUMIFS(COBROS_DIARIOS!$K$4:$K$505,COBROS_DIARIOS!$E$4:$E$505,N$73,COBROS_DIARIOS!$F$4:$F$505,$A85,COBROS_DIARIOS!$A$4:$A$505,"&gt;="&amp;$B$2,COBROS_DIARIOS!$A$4:$A$505,"&lt;="&amp;EOMONTH($B$2,0)),0))</f>
        <v>0</v>
      </c>
      <c r="O85" s="78">
        <f>IF(OR(O$73="",$A85=""),"",IFERROR(SUMIFS(COBROS_DIARIOS!$K$4:$K$505,COBROS_DIARIOS!$E$4:$E$505,O$73,COBROS_DIARIOS!$F$4:$F$505,$A85,COBROS_DIARIOS!$A$4:$A$505,"&gt;="&amp;$B$2,COBROS_DIARIOS!$A$4:$A$505,"&lt;="&amp;EOMONTH($B$2,0)),0))</f>
        <v>38</v>
      </c>
      <c r="P85" s="78">
        <f>IF(OR(P$73="",$A85=""),"",IFERROR(SUMIFS(COBROS_DIARIOS!$K$4:$K$505,COBROS_DIARIOS!$E$4:$E$505,P$73,COBROS_DIARIOS!$F$4:$F$505,$A85,COBROS_DIARIOS!$A$4:$A$505,"&gt;="&amp;$B$2,COBROS_DIARIOS!$A$4:$A$505,"&lt;="&amp;EOMONTH($B$2,0)),0))</f>
        <v>0</v>
      </c>
      <c r="Q85" s="78">
        <f>IF(OR(Q$73="",$A85=""),"",IFERROR(SUMIFS(COBROS_DIARIOS!$K$4:$K$505,COBROS_DIARIOS!$E$4:$E$505,Q$73,COBROS_DIARIOS!$F$4:$F$505,$A85,COBROS_DIARIOS!$A$4:$A$505,"&gt;="&amp;$B$2,COBROS_DIARIOS!$A$4:$A$505,"&lt;="&amp;EOMONTH($B$2,0)),0))</f>
        <v>0</v>
      </c>
      <c r="R85" s="78">
        <f>IF(OR(R$73="",$A85=""),"",IFERROR(SUMIFS(COBROS_DIARIOS!$K$4:$K$505,COBROS_DIARIOS!$E$4:$E$505,R$73,COBROS_DIARIOS!$F$4:$F$505,$A85,COBROS_DIARIOS!$A$4:$A$505,"&gt;="&amp;$B$2,COBROS_DIARIOS!$A$4:$A$505,"&lt;="&amp;EOMONTH($B$2,0)),0))</f>
        <v>70</v>
      </c>
      <c r="S85" s="78" t="str">
        <f>IF(OR(S$73="",$A85=""),"",IFERROR(SUMIFS(COBROS_DIARIOS!$K$4:$K$505,COBROS_DIARIOS!$E$4:$E$505,S$73,COBROS_DIARIOS!$F$4:$F$505,$A85,COBROS_DIARIOS!$A$4:$A$505,"&gt;="&amp;$B$2,COBROS_DIARIOS!$A$4:$A$505,"&lt;="&amp;EOMONTH($B$2,0)),0))</f>
        <v/>
      </c>
      <c r="T85" s="78" t="str">
        <f>IF(OR(T$73="",$A85=""),"",IFERROR(SUMIFS(COBROS_DIARIOS!$K$4:$K$505,COBROS_DIARIOS!$E$4:$E$505,T$73,COBROS_DIARIOS!$F$4:$F$505,$A85,COBROS_DIARIOS!$A$4:$A$505,"&gt;="&amp;$B$2,COBROS_DIARIOS!$A$4:$A$505,"&lt;="&amp;EOMONTH($B$2,0)),0))</f>
        <v/>
      </c>
      <c r="U85" s="78" t="str">
        <f>IF(OR(U$73="",$A85=""),"",IFERROR(SUMIFS(COBROS_DIARIOS!$K$4:$K$505,COBROS_DIARIOS!$E$4:$E$505,U$73,COBROS_DIARIOS!$F$4:$F$505,$A85,COBROS_DIARIOS!$A$4:$A$505,"&gt;="&amp;$B$2,COBROS_DIARIOS!$A$4:$A$505,"&lt;="&amp;EOMONTH($B$2,0)),0))</f>
        <v/>
      </c>
      <c r="V85" s="78" t="str">
        <f>IF(OR(V$73="",$A85=""),"",IFERROR(SUMIFS(COBROS_DIARIOS!$K$4:$K$505,COBROS_DIARIOS!$E$4:$E$505,V$73,COBROS_DIARIOS!$F$4:$F$505,$A85,COBROS_DIARIOS!$A$4:$A$505,"&gt;="&amp;$B$2,COBROS_DIARIOS!$A$4:$A$505,"&lt;="&amp;EOMONTH($B$2,0)),0))</f>
        <v/>
      </c>
      <c r="W85" s="78" t="str">
        <f>IF(OR(W$73="",$A85=""),"",IFERROR(SUMIFS(COBROS_DIARIOS!$K$4:$K$505,COBROS_DIARIOS!$E$4:$E$505,W$73,COBROS_DIARIOS!$F$4:$F$505,$A85,COBROS_DIARIOS!$A$4:$A$505,"&gt;="&amp;$B$2,COBROS_DIARIOS!$A$4:$A$505,"&lt;="&amp;EOMONTH($B$2,0)),0))</f>
        <v/>
      </c>
      <c r="X85" s="78" t="str">
        <f>IF(OR(X$73="",$A85=""),"",IFERROR(SUMIFS(COBROS_DIARIOS!$K$4:$K$505,COBROS_DIARIOS!$E$4:$E$505,X$73,COBROS_DIARIOS!$F$4:$F$505,$A85,COBROS_DIARIOS!$A$4:$A$505,"&gt;="&amp;$B$2,COBROS_DIARIOS!$A$4:$A$505,"&lt;="&amp;EOMONTH($B$2,0)),0))</f>
        <v/>
      </c>
      <c r="Y85" s="78" t="str">
        <f>IF(OR(Y$73="",$A85=""),"",IFERROR(SUMIFS(COBROS_DIARIOS!$K$4:$K$505,COBROS_DIARIOS!$E$4:$E$505,Y$73,COBROS_DIARIOS!$F$4:$F$505,$A85,COBROS_DIARIOS!$A$4:$A$505,"&gt;="&amp;$B$2,COBROS_DIARIOS!$A$4:$A$505,"&lt;="&amp;EOMONTH($B$2,0)),0))</f>
        <v/>
      </c>
      <c r="Z85" s="78" t="str">
        <f>IF(OR(Z$73="",$A85=""),"",IFERROR(SUMIFS(COBROS_DIARIOS!$K$4:$K$505,COBROS_DIARIOS!$E$4:$E$505,Z$73,COBROS_DIARIOS!$F$4:$F$505,$A85,COBROS_DIARIOS!$A$4:$A$505,"&gt;="&amp;$B$2,COBROS_DIARIOS!$A$4:$A$505,"&lt;="&amp;EOMONTH($B$2,0)),0))</f>
        <v/>
      </c>
      <c r="AA85" s="79">
        <f t="shared" si="3"/>
        <v>2363</v>
      </c>
    </row>
    <row r="86" ht="15.0" customHeight="1">
      <c r="A86" s="65" t="str">
        <f>IFERROR(IF(COLORES!A16="","",COLORES!A16),"")</f>
        <v>Marrón</v>
      </c>
      <c r="B86" s="78">
        <f>IF(OR(B$73="",$A86=""),"",IFERROR(SUMIFS(COBROS_DIARIOS!$K$4:$K$505,COBROS_DIARIOS!$E$4:$E$505,B$73,COBROS_DIARIOS!$F$4:$F$505,$A86,COBROS_DIARIOS!$A$4:$A$505,"&gt;="&amp;$B$2,COBROS_DIARIOS!$A$4:$A$505,"&lt;="&amp;EOMONTH($B$2,0)),0))</f>
        <v>0</v>
      </c>
      <c r="C86" s="78">
        <f>IF(OR(C$73="",$A86=""),"",IFERROR(SUMIFS(COBROS_DIARIOS!$K$4:$K$505,COBROS_DIARIOS!$E$4:$E$505,C$73,COBROS_DIARIOS!$F$4:$F$505,$A86,COBROS_DIARIOS!$A$4:$A$505,"&gt;="&amp;$B$2,COBROS_DIARIOS!$A$4:$A$505,"&lt;="&amp;EOMONTH($B$2,0)),0))</f>
        <v>0</v>
      </c>
      <c r="D86" s="78">
        <f>IF(OR(D$73="",$A86=""),"",IFERROR(SUMIFS(COBROS_DIARIOS!$K$4:$K$505,COBROS_DIARIOS!$E$4:$E$505,D$73,COBROS_DIARIOS!$F$4:$F$505,$A86,COBROS_DIARIOS!$A$4:$A$505,"&gt;="&amp;$B$2,COBROS_DIARIOS!$A$4:$A$505,"&lt;="&amp;EOMONTH($B$2,0)),0))</f>
        <v>0</v>
      </c>
      <c r="E86" s="78">
        <f>IF(OR(E$73="",$A86=""),"",IFERROR(SUMIFS(COBROS_DIARIOS!$K$4:$K$505,COBROS_DIARIOS!$E$4:$E$505,E$73,COBROS_DIARIOS!$F$4:$F$505,$A86,COBROS_DIARIOS!$A$4:$A$505,"&gt;="&amp;$B$2,COBROS_DIARIOS!$A$4:$A$505,"&lt;="&amp;EOMONTH($B$2,0)),0))</f>
        <v>0</v>
      </c>
      <c r="F86" s="78">
        <f>IF(OR(F$73="",$A86=""),"",IFERROR(SUMIFS(COBROS_DIARIOS!$K$4:$K$505,COBROS_DIARIOS!$E$4:$E$505,F$73,COBROS_DIARIOS!$F$4:$F$505,$A86,COBROS_DIARIOS!$A$4:$A$505,"&gt;="&amp;$B$2,COBROS_DIARIOS!$A$4:$A$505,"&lt;="&amp;EOMONTH($B$2,0)),0))</f>
        <v>0</v>
      </c>
      <c r="G86" s="78">
        <f>IF(OR(G$73="",$A86=""),"",IFERROR(SUMIFS(COBROS_DIARIOS!$K$4:$K$505,COBROS_DIARIOS!$E$4:$E$505,G$73,COBROS_DIARIOS!$F$4:$F$505,$A86,COBROS_DIARIOS!$A$4:$A$505,"&gt;="&amp;$B$2,COBROS_DIARIOS!$A$4:$A$505,"&lt;="&amp;EOMONTH($B$2,0)),0))</f>
        <v>0</v>
      </c>
      <c r="H86" s="78">
        <f>IF(OR(H$73="",$A86=""),"",IFERROR(SUMIFS(COBROS_DIARIOS!$K$4:$K$505,COBROS_DIARIOS!$E$4:$E$505,H$73,COBROS_DIARIOS!$F$4:$F$505,$A86,COBROS_DIARIOS!$A$4:$A$505,"&gt;="&amp;$B$2,COBROS_DIARIOS!$A$4:$A$505,"&lt;="&amp;EOMONTH($B$2,0)),0))</f>
        <v>0</v>
      </c>
      <c r="I86" s="78">
        <f>IF(OR(I$73="",$A86=""),"",IFERROR(SUMIFS(COBROS_DIARIOS!$K$4:$K$505,COBROS_DIARIOS!$E$4:$E$505,I$73,COBROS_DIARIOS!$F$4:$F$505,$A86,COBROS_DIARIOS!$A$4:$A$505,"&gt;="&amp;$B$2,COBROS_DIARIOS!$A$4:$A$505,"&lt;="&amp;EOMONTH($B$2,0)),0))</f>
        <v>0</v>
      </c>
      <c r="J86" s="78">
        <f>IF(OR(J$73="",$A86=""),"",IFERROR(SUMIFS(COBROS_DIARIOS!$K$4:$K$505,COBROS_DIARIOS!$E$4:$E$505,J$73,COBROS_DIARIOS!$F$4:$F$505,$A86,COBROS_DIARIOS!$A$4:$A$505,"&gt;="&amp;$B$2,COBROS_DIARIOS!$A$4:$A$505,"&lt;="&amp;EOMONTH($B$2,0)),0))</f>
        <v>0</v>
      </c>
      <c r="K86" s="78">
        <f>IF(OR(K$73="",$A86=""),"",IFERROR(SUMIFS(COBROS_DIARIOS!$K$4:$K$505,COBROS_DIARIOS!$E$4:$E$505,K$73,COBROS_DIARIOS!$F$4:$F$505,$A86,COBROS_DIARIOS!$A$4:$A$505,"&gt;="&amp;$B$2,COBROS_DIARIOS!$A$4:$A$505,"&lt;="&amp;EOMONTH($B$2,0)),0))</f>
        <v>0</v>
      </c>
      <c r="L86" s="78">
        <f>IF(OR(L$73="",$A86=""),"",IFERROR(SUMIFS(COBROS_DIARIOS!$K$4:$K$505,COBROS_DIARIOS!$E$4:$E$505,L$73,COBROS_DIARIOS!$F$4:$F$505,$A86,COBROS_DIARIOS!$A$4:$A$505,"&gt;="&amp;$B$2,COBROS_DIARIOS!$A$4:$A$505,"&lt;="&amp;EOMONTH($B$2,0)),0))</f>
        <v>0</v>
      </c>
      <c r="M86" s="78">
        <f>IF(OR(M$73="",$A86=""),"",IFERROR(SUMIFS(COBROS_DIARIOS!$K$4:$K$505,COBROS_DIARIOS!$E$4:$E$505,M$73,COBROS_DIARIOS!$F$4:$F$505,$A86,COBROS_DIARIOS!$A$4:$A$505,"&gt;="&amp;$B$2,COBROS_DIARIOS!$A$4:$A$505,"&lt;="&amp;EOMONTH($B$2,0)),0))</f>
        <v>0</v>
      </c>
      <c r="N86" s="78">
        <f>IF(OR(N$73="",$A86=""),"",IFERROR(SUMIFS(COBROS_DIARIOS!$K$4:$K$505,COBROS_DIARIOS!$E$4:$E$505,N$73,COBROS_DIARIOS!$F$4:$F$505,$A86,COBROS_DIARIOS!$A$4:$A$505,"&gt;="&amp;$B$2,COBROS_DIARIOS!$A$4:$A$505,"&lt;="&amp;EOMONTH($B$2,0)),0))</f>
        <v>0</v>
      </c>
      <c r="O86" s="78">
        <f>IF(OR(O$73="",$A86=""),"",IFERROR(SUMIFS(COBROS_DIARIOS!$K$4:$K$505,COBROS_DIARIOS!$E$4:$E$505,O$73,COBROS_DIARIOS!$F$4:$F$505,$A86,COBROS_DIARIOS!$A$4:$A$505,"&gt;="&amp;$B$2,COBROS_DIARIOS!$A$4:$A$505,"&lt;="&amp;EOMONTH($B$2,0)),0))</f>
        <v>0</v>
      </c>
      <c r="P86" s="78">
        <f>IF(OR(P$73="",$A86=""),"",IFERROR(SUMIFS(COBROS_DIARIOS!$K$4:$K$505,COBROS_DIARIOS!$E$4:$E$505,P$73,COBROS_DIARIOS!$F$4:$F$505,$A86,COBROS_DIARIOS!$A$4:$A$505,"&gt;="&amp;$B$2,COBROS_DIARIOS!$A$4:$A$505,"&lt;="&amp;EOMONTH($B$2,0)),0))</f>
        <v>0</v>
      </c>
      <c r="Q86" s="78">
        <f>IF(OR(Q$73="",$A86=""),"",IFERROR(SUMIFS(COBROS_DIARIOS!$K$4:$K$505,COBROS_DIARIOS!$E$4:$E$505,Q$73,COBROS_DIARIOS!$F$4:$F$505,$A86,COBROS_DIARIOS!$A$4:$A$505,"&gt;="&amp;$B$2,COBROS_DIARIOS!$A$4:$A$505,"&lt;="&amp;EOMONTH($B$2,0)),0))</f>
        <v>0</v>
      </c>
      <c r="R86" s="78">
        <f>IF(OR(R$73="",$A86=""),"",IFERROR(SUMIFS(COBROS_DIARIOS!$K$4:$K$505,COBROS_DIARIOS!$E$4:$E$505,R$73,COBROS_DIARIOS!$F$4:$F$505,$A86,COBROS_DIARIOS!$A$4:$A$505,"&gt;="&amp;$B$2,COBROS_DIARIOS!$A$4:$A$505,"&lt;="&amp;EOMONTH($B$2,0)),0))</f>
        <v>0</v>
      </c>
      <c r="S86" s="78" t="str">
        <f>IF(OR(S$73="",$A86=""),"",IFERROR(SUMIFS(COBROS_DIARIOS!$K$4:$K$505,COBROS_DIARIOS!$E$4:$E$505,S$73,COBROS_DIARIOS!$F$4:$F$505,$A86,COBROS_DIARIOS!$A$4:$A$505,"&gt;="&amp;$B$2,COBROS_DIARIOS!$A$4:$A$505,"&lt;="&amp;EOMONTH($B$2,0)),0))</f>
        <v/>
      </c>
      <c r="T86" s="78" t="str">
        <f>IF(OR(T$73="",$A86=""),"",IFERROR(SUMIFS(COBROS_DIARIOS!$K$4:$K$505,COBROS_DIARIOS!$E$4:$E$505,T$73,COBROS_DIARIOS!$F$4:$F$505,$A86,COBROS_DIARIOS!$A$4:$A$505,"&gt;="&amp;$B$2,COBROS_DIARIOS!$A$4:$A$505,"&lt;="&amp;EOMONTH($B$2,0)),0))</f>
        <v/>
      </c>
      <c r="U86" s="78" t="str">
        <f>IF(OR(U$73="",$A86=""),"",IFERROR(SUMIFS(COBROS_DIARIOS!$K$4:$K$505,COBROS_DIARIOS!$E$4:$E$505,U$73,COBROS_DIARIOS!$F$4:$F$505,$A86,COBROS_DIARIOS!$A$4:$A$505,"&gt;="&amp;$B$2,COBROS_DIARIOS!$A$4:$A$505,"&lt;="&amp;EOMONTH($B$2,0)),0))</f>
        <v/>
      </c>
      <c r="V86" s="78" t="str">
        <f>IF(OR(V$73="",$A86=""),"",IFERROR(SUMIFS(COBROS_DIARIOS!$K$4:$K$505,COBROS_DIARIOS!$E$4:$E$505,V$73,COBROS_DIARIOS!$F$4:$F$505,$A86,COBROS_DIARIOS!$A$4:$A$505,"&gt;="&amp;$B$2,COBROS_DIARIOS!$A$4:$A$505,"&lt;="&amp;EOMONTH($B$2,0)),0))</f>
        <v/>
      </c>
      <c r="W86" s="78" t="str">
        <f>IF(OR(W$73="",$A86=""),"",IFERROR(SUMIFS(COBROS_DIARIOS!$K$4:$K$505,COBROS_DIARIOS!$E$4:$E$505,W$73,COBROS_DIARIOS!$F$4:$F$505,$A86,COBROS_DIARIOS!$A$4:$A$505,"&gt;="&amp;$B$2,COBROS_DIARIOS!$A$4:$A$505,"&lt;="&amp;EOMONTH($B$2,0)),0))</f>
        <v/>
      </c>
      <c r="X86" s="78" t="str">
        <f>IF(OR(X$73="",$A86=""),"",IFERROR(SUMIFS(COBROS_DIARIOS!$K$4:$K$505,COBROS_DIARIOS!$E$4:$E$505,X$73,COBROS_DIARIOS!$F$4:$F$505,$A86,COBROS_DIARIOS!$A$4:$A$505,"&gt;="&amp;$B$2,COBROS_DIARIOS!$A$4:$A$505,"&lt;="&amp;EOMONTH($B$2,0)),0))</f>
        <v/>
      </c>
      <c r="Y86" s="78" t="str">
        <f>IF(OR(Y$73="",$A86=""),"",IFERROR(SUMIFS(COBROS_DIARIOS!$K$4:$K$505,COBROS_DIARIOS!$E$4:$E$505,Y$73,COBROS_DIARIOS!$F$4:$F$505,$A86,COBROS_DIARIOS!$A$4:$A$505,"&gt;="&amp;$B$2,COBROS_DIARIOS!$A$4:$A$505,"&lt;="&amp;EOMONTH($B$2,0)),0))</f>
        <v/>
      </c>
      <c r="Z86" s="78" t="str">
        <f>IF(OR(Z$73="",$A86=""),"",IFERROR(SUMIFS(COBROS_DIARIOS!$K$4:$K$505,COBROS_DIARIOS!$E$4:$E$505,Z$73,COBROS_DIARIOS!$F$4:$F$505,$A86,COBROS_DIARIOS!$A$4:$A$505,"&gt;="&amp;$B$2,COBROS_DIARIOS!$A$4:$A$505,"&lt;="&amp;EOMONTH($B$2,0)),0))</f>
        <v/>
      </c>
      <c r="AA86" s="79">
        <f t="shared" si="3"/>
        <v>0</v>
      </c>
    </row>
    <row r="87" ht="15.0" customHeight="1">
      <c r="A87" s="65" t="str">
        <f>IFERROR(IF(COLORES!A17="","",COLORES!A17),"")</f>
        <v>Topo</v>
      </c>
      <c r="B87" s="78">
        <f>IF(OR(B$73="",$A87=""),"",IFERROR(SUMIFS(COBROS_DIARIOS!$K$4:$K$505,COBROS_DIARIOS!$E$4:$E$505,B$73,COBROS_DIARIOS!$F$4:$F$505,$A87,COBROS_DIARIOS!$A$4:$A$505,"&gt;="&amp;$B$2,COBROS_DIARIOS!$A$4:$A$505,"&lt;="&amp;EOMONTH($B$2,0)),0))</f>
        <v>227</v>
      </c>
      <c r="C87" s="78">
        <f>IF(OR(C$73="",$A87=""),"",IFERROR(SUMIFS(COBROS_DIARIOS!$K$4:$K$505,COBROS_DIARIOS!$E$4:$E$505,C$73,COBROS_DIARIOS!$F$4:$F$505,$A87,COBROS_DIARIOS!$A$4:$A$505,"&gt;="&amp;$B$2,COBROS_DIARIOS!$A$4:$A$505,"&lt;="&amp;EOMONTH($B$2,0)),0))</f>
        <v>0</v>
      </c>
      <c r="D87" s="78">
        <f>IF(OR(D$73="",$A87=""),"",IFERROR(SUMIFS(COBROS_DIARIOS!$K$4:$K$505,COBROS_DIARIOS!$E$4:$E$505,D$73,COBROS_DIARIOS!$F$4:$F$505,$A87,COBROS_DIARIOS!$A$4:$A$505,"&gt;="&amp;$B$2,COBROS_DIARIOS!$A$4:$A$505,"&lt;="&amp;EOMONTH($B$2,0)),0))</f>
        <v>914</v>
      </c>
      <c r="E87" s="78">
        <f>IF(OR(E$73="",$A87=""),"",IFERROR(SUMIFS(COBROS_DIARIOS!$K$4:$K$505,COBROS_DIARIOS!$E$4:$E$505,E$73,COBROS_DIARIOS!$F$4:$F$505,$A87,COBROS_DIARIOS!$A$4:$A$505,"&gt;="&amp;$B$2,COBROS_DIARIOS!$A$4:$A$505,"&lt;="&amp;EOMONTH($B$2,0)),0))</f>
        <v>0</v>
      </c>
      <c r="F87" s="78">
        <f>IF(OR(F$73="",$A87=""),"",IFERROR(SUMIFS(COBROS_DIARIOS!$K$4:$K$505,COBROS_DIARIOS!$E$4:$E$505,F$73,COBROS_DIARIOS!$F$4:$F$505,$A87,COBROS_DIARIOS!$A$4:$A$505,"&gt;="&amp;$B$2,COBROS_DIARIOS!$A$4:$A$505,"&lt;="&amp;EOMONTH($B$2,0)),0))</f>
        <v>0</v>
      </c>
      <c r="G87" s="78">
        <f>IF(OR(G$73="",$A87=""),"",IFERROR(SUMIFS(COBROS_DIARIOS!$K$4:$K$505,COBROS_DIARIOS!$E$4:$E$505,G$73,COBROS_DIARIOS!$F$4:$F$505,$A87,COBROS_DIARIOS!$A$4:$A$505,"&gt;="&amp;$B$2,COBROS_DIARIOS!$A$4:$A$505,"&lt;="&amp;EOMONTH($B$2,0)),0))</f>
        <v>402</v>
      </c>
      <c r="H87" s="78">
        <f>IF(OR(H$73="",$A87=""),"",IFERROR(SUMIFS(COBROS_DIARIOS!$K$4:$K$505,COBROS_DIARIOS!$E$4:$E$505,H$73,COBROS_DIARIOS!$F$4:$F$505,$A87,COBROS_DIARIOS!$A$4:$A$505,"&gt;="&amp;$B$2,COBROS_DIARIOS!$A$4:$A$505,"&lt;="&amp;EOMONTH($B$2,0)),0))</f>
        <v>0</v>
      </c>
      <c r="I87" s="78">
        <f>IF(OR(I$73="",$A87=""),"",IFERROR(SUMIFS(COBROS_DIARIOS!$K$4:$K$505,COBROS_DIARIOS!$E$4:$E$505,I$73,COBROS_DIARIOS!$F$4:$F$505,$A87,COBROS_DIARIOS!$A$4:$A$505,"&gt;="&amp;$B$2,COBROS_DIARIOS!$A$4:$A$505,"&lt;="&amp;EOMONTH($B$2,0)),0))</f>
        <v>0</v>
      </c>
      <c r="J87" s="78">
        <f>IF(OR(J$73="",$A87=""),"",IFERROR(SUMIFS(COBROS_DIARIOS!$K$4:$K$505,COBROS_DIARIOS!$E$4:$E$505,J$73,COBROS_DIARIOS!$F$4:$F$505,$A87,COBROS_DIARIOS!$A$4:$A$505,"&gt;="&amp;$B$2,COBROS_DIARIOS!$A$4:$A$505,"&lt;="&amp;EOMONTH($B$2,0)),0))</f>
        <v>0</v>
      </c>
      <c r="K87" s="78">
        <f>IF(OR(K$73="",$A87=""),"",IFERROR(SUMIFS(COBROS_DIARIOS!$K$4:$K$505,COBROS_DIARIOS!$E$4:$E$505,K$73,COBROS_DIARIOS!$F$4:$F$505,$A87,COBROS_DIARIOS!$A$4:$A$505,"&gt;="&amp;$B$2,COBROS_DIARIOS!$A$4:$A$505,"&lt;="&amp;EOMONTH($B$2,0)),0))</f>
        <v>0</v>
      </c>
      <c r="L87" s="78">
        <f>IF(OR(L$73="",$A87=""),"",IFERROR(SUMIFS(COBROS_DIARIOS!$K$4:$K$505,COBROS_DIARIOS!$E$4:$E$505,L$73,COBROS_DIARIOS!$F$4:$F$505,$A87,COBROS_DIARIOS!$A$4:$A$505,"&gt;="&amp;$B$2,COBROS_DIARIOS!$A$4:$A$505,"&lt;="&amp;EOMONTH($B$2,0)),0))</f>
        <v>0</v>
      </c>
      <c r="M87" s="78">
        <f>IF(OR(M$73="",$A87=""),"",IFERROR(SUMIFS(COBROS_DIARIOS!$K$4:$K$505,COBROS_DIARIOS!$E$4:$E$505,M$73,COBROS_DIARIOS!$F$4:$F$505,$A87,COBROS_DIARIOS!$A$4:$A$505,"&gt;="&amp;$B$2,COBROS_DIARIOS!$A$4:$A$505,"&lt;="&amp;EOMONTH($B$2,0)),0))</f>
        <v>0</v>
      </c>
      <c r="N87" s="78">
        <f>IF(OR(N$73="",$A87=""),"",IFERROR(SUMIFS(COBROS_DIARIOS!$K$4:$K$505,COBROS_DIARIOS!$E$4:$E$505,N$73,COBROS_DIARIOS!$F$4:$F$505,$A87,COBROS_DIARIOS!$A$4:$A$505,"&gt;="&amp;$B$2,COBROS_DIARIOS!$A$4:$A$505,"&lt;="&amp;EOMONTH($B$2,0)),0))</f>
        <v>0</v>
      </c>
      <c r="O87" s="78">
        <f>IF(OR(O$73="",$A87=""),"",IFERROR(SUMIFS(COBROS_DIARIOS!$K$4:$K$505,COBROS_DIARIOS!$E$4:$E$505,O$73,COBROS_DIARIOS!$F$4:$F$505,$A87,COBROS_DIARIOS!$A$4:$A$505,"&gt;="&amp;$B$2,COBROS_DIARIOS!$A$4:$A$505,"&lt;="&amp;EOMONTH($B$2,0)),0))</f>
        <v>0</v>
      </c>
      <c r="P87" s="78">
        <f>IF(OR(P$73="",$A87=""),"",IFERROR(SUMIFS(COBROS_DIARIOS!$K$4:$K$505,COBROS_DIARIOS!$E$4:$E$505,P$73,COBROS_DIARIOS!$F$4:$F$505,$A87,COBROS_DIARIOS!$A$4:$A$505,"&gt;="&amp;$B$2,COBROS_DIARIOS!$A$4:$A$505,"&lt;="&amp;EOMONTH($B$2,0)),0))</f>
        <v>0</v>
      </c>
      <c r="Q87" s="78">
        <f>IF(OR(Q$73="",$A87=""),"",IFERROR(SUMIFS(COBROS_DIARIOS!$K$4:$K$505,COBROS_DIARIOS!$E$4:$E$505,Q$73,COBROS_DIARIOS!$F$4:$F$505,$A87,COBROS_DIARIOS!$A$4:$A$505,"&gt;="&amp;$B$2,COBROS_DIARIOS!$A$4:$A$505,"&lt;="&amp;EOMONTH($B$2,0)),0))</f>
        <v>0</v>
      </c>
      <c r="R87" s="78">
        <f>IF(OR(R$73="",$A87=""),"",IFERROR(SUMIFS(COBROS_DIARIOS!$K$4:$K$505,COBROS_DIARIOS!$E$4:$E$505,R$73,COBROS_DIARIOS!$F$4:$F$505,$A87,COBROS_DIARIOS!$A$4:$A$505,"&gt;="&amp;$B$2,COBROS_DIARIOS!$A$4:$A$505,"&lt;="&amp;EOMONTH($B$2,0)),0))</f>
        <v>0</v>
      </c>
      <c r="S87" s="78" t="str">
        <f>IF(OR(S$73="",$A87=""),"",IFERROR(SUMIFS(COBROS_DIARIOS!$K$4:$K$505,COBROS_DIARIOS!$E$4:$E$505,S$73,COBROS_DIARIOS!$F$4:$F$505,$A87,COBROS_DIARIOS!$A$4:$A$505,"&gt;="&amp;$B$2,COBROS_DIARIOS!$A$4:$A$505,"&lt;="&amp;EOMONTH($B$2,0)),0))</f>
        <v/>
      </c>
      <c r="T87" s="78" t="str">
        <f>IF(OR(T$73="",$A87=""),"",IFERROR(SUMIFS(COBROS_DIARIOS!$K$4:$K$505,COBROS_DIARIOS!$E$4:$E$505,T$73,COBROS_DIARIOS!$F$4:$F$505,$A87,COBROS_DIARIOS!$A$4:$A$505,"&gt;="&amp;$B$2,COBROS_DIARIOS!$A$4:$A$505,"&lt;="&amp;EOMONTH($B$2,0)),0))</f>
        <v/>
      </c>
      <c r="U87" s="78" t="str">
        <f>IF(OR(U$73="",$A87=""),"",IFERROR(SUMIFS(COBROS_DIARIOS!$K$4:$K$505,COBROS_DIARIOS!$E$4:$E$505,U$73,COBROS_DIARIOS!$F$4:$F$505,$A87,COBROS_DIARIOS!$A$4:$A$505,"&gt;="&amp;$B$2,COBROS_DIARIOS!$A$4:$A$505,"&lt;="&amp;EOMONTH($B$2,0)),0))</f>
        <v/>
      </c>
      <c r="V87" s="78" t="str">
        <f>IF(OR(V$73="",$A87=""),"",IFERROR(SUMIFS(COBROS_DIARIOS!$K$4:$K$505,COBROS_DIARIOS!$E$4:$E$505,V$73,COBROS_DIARIOS!$F$4:$F$505,$A87,COBROS_DIARIOS!$A$4:$A$505,"&gt;="&amp;$B$2,COBROS_DIARIOS!$A$4:$A$505,"&lt;="&amp;EOMONTH($B$2,0)),0))</f>
        <v/>
      </c>
      <c r="W87" s="78" t="str">
        <f>IF(OR(W$73="",$A87=""),"",IFERROR(SUMIFS(COBROS_DIARIOS!$K$4:$K$505,COBROS_DIARIOS!$E$4:$E$505,W$73,COBROS_DIARIOS!$F$4:$F$505,$A87,COBROS_DIARIOS!$A$4:$A$505,"&gt;="&amp;$B$2,COBROS_DIARIOS!$A$4:$A$505,"&lt;="&amp;EOMONTH($B$2,0)),0))</f>
        <v/>
      </c>
      <c r="X87" s="78" t="str">
        <f>IF(OR(X$73="",$A87=""),"",IFERROR(SUMIFS(COBROS_DIARIOS!$K$4:$K$505,COBROS_DIARIOS!$E$4:$E$505,X$73,COBROS_DIARIOS!$F$4:$F$505,$A87,COBROS_DIARIOS!$A$4:$A$505,"&gt;="&amp;$B$2,COBROS_DIARIOS!$A$4:$A$505,"&lt;="&amp;EOMONTH($B$2,0)),0))</f>
        <v/>
      </c>
      <c r="Y87" s="78" t="str">
        <f>IF(OR(Y$73="",$A87=""),"",IFERROR(SUMIFS(COBROS_DIARIOS!$K$4:$K$505,COBROS_DIARIOS!$E$4:$E$505,Y$73,COBROS_DIARIOS!$F$4:$F$505,$A87,COBROS_DIARIOS!$A$4:$A$505,"&gt;="&amp;$B$2,COBROS_DIARIOS!$A$4:$A$505,"&lt;="&amp;EOMONTH($B$2,0)),0))</f>
        <v/>
      </c>
      <c r="Z87" s="78" t="str">
        <f>IF(OR(Z$73="",$A87=""),"",IFERROR(SUMIFS(COBROS_DIARIOS!$K$4:$K$505,COBROS_DIARIOS!$E$4:$E$505,Z$73,COBROS_DIARIOS!$F$4:$F$505,$A87,COBROS_DIARIOS!$A$4:$A$505,"&gt;="&amp;$B$2,COBROS_DIARIOS!$A$4:$A$505,"&lt;="&amp;EOMONTH($B$2,0)),0))</f>
        <v/>
      </c>
      <c r="AA87" s="79">
        <f t="shared" si="3"/>
        <v>1543</v>
      </c>
    </row>
    <row r="88" ht="15.0" customHeight="1">
      <c r="A88" s="65" t="str">
        <f>IFERROR(IF(COLORES!A18="","",COLORES!A18),"")</f>
        <v>Vino</v>
      </c>
      <c r="B88" s="78">
        <f>IF(OR(B$73="",$A88=""),"",IFERROR(SUMIFS(COBROS_DIARIOS!$K$4:$K$505,COBROS_DIARIOS!$E$4:$E$505,B$73,COBROS_DIARIOS!$F$4:$F$505,$A88,COBROS_DIARIOS!$A$4:$A$505,"&gt;="&amp;$B$2,COBROS_DIARIOS!$A$4:$A$505,"&lt;="&amp;EOMONTH($B$2,0)),0))</f>
        <v>1167</v>
      </c>
      <c r="C88" s="78">
        <f>IF(OR(C$73="",$A88=""),"",IFERROR(SUMIFS(COBROS_DIARIOS!$K$4:$K$505,COBROS_DIARIOS!$E$4:$E$505,C$73,COBROS_DIARIOS!$F$4:$F$505,$A88,COBROS_DIARIOS!$A$4:$A$505,"&gt;="&amp;$B$2,COBROS_DIARIOS!$A$4:$A$505,"&lt;="&amp;EOMONTH($B$2,0)),0))</f>
        <v>229</v>
      </c>
      <c r="D88" s="78">
        <f>IF(OR(D$73="",$A88=""),"",IFERROR(SUMIFS(COBROS_DIARIOS!$K$4:$K$505,COBROS_DIARIOS!$E$4:$E$505,D$73,COBROS_DIARIOS!$F$4:$F$505,$A88,COBROS_DIARIOS!$A$4:$A$505,"&gt;="&amp;$B$2,COBROS_DIARIOS!$A$4:$A$505,"&lt;="&amp;EOMONTH($B$2,0)),0))</f>
        <v>1205</v>
      </c>
      <c r="E88" s="78">
        <f>IF(OR(E$73="",$A88=""),"",IFERROR(SUMIFS(COBROS_DIARIOS!$K$4:$K$505,COBROS_DIARIOS!$E$4:$E$505,E$73,COBROS_DIARIOS!$F$4:$F$505,$A88,COBROS_DIARIOS!$A$4:$A$505,"&gt;="&amp;$B$2,COBROS_DIARIOS!$A$4:$A$505,"&lt;="&amp;EOMONTH($B$2,0)),0))</f>
        <v>249</v>
      </c>
      <c r="F88" s="78">
        <f>IF(OR(F$73="",$A88=""),"",IFERROR(SUMIFS(COBROS_DIARIOS!$K$4:$K$505,COBROS_DIARIOS!$E$4:$E$505,F$73,COBROS_DIARIOS!$F$4:$F$505,$A88,COBROS_DIARIOS!$A$4:$A$505,"&gt;="&amp;$B$2,COBROS_DIARIOS!$A$4:$A$505,"&lt;="&amp;EOMONTH($B$2,0)),0))</f>
        <v>131</v>
      </c>
      <c r="G88" s="78">
        <f>IF(OR(G$73="",$A88=""),"",IFERROR(SUMIFS(COBROS_DIARIOS!$K$4:$K$505,COBROS_DIARIOS!$E$4:$E$505,G$73,COBROS_DIARIOS!$F$4:$F$505,$A88,COBROS_DIARIOS!$A$4:$A$505,"&gt;="&amp;$B$2,COBROS_DIARIOS!$A$4:$A$505,"&lt;="&amp;EOMONTH($B$2,0)),0))</f>
        <v>321</v>
      </c>
      <c r="H88" s="78">
        <f>IF(OR(H$73="",$A88=""),"",IFERROR(SUMIFS(COBROS_DIARIOS!$K$4:$K$505,COBROS_DIARIOS!$E$4:$E$505,H$73,COBROS_DIARIOS!$F$4:$F$505,$A88,COBROS_DIARIOS!$A$4:$A$505,"&gt;="&amp;$B$2,COBROS_DIARIOS!$A$4:$A$505,"&lt;="&amp;EOMONTH($B$2,0)),0))</f>
        <v>24</v>
      </c>
      <c r="I88" s="78">
        <f>IF(OR(I$73="",$A88=""),"",IFERROR(SUMIFS(COBROS_DIARIOS!$K$4:$K$505,COBROS_DIARIOS!$E$4:$E$505,I$73,COBROS_DIARIOS!$F$4:$F$505,$A88,COBROS_DIARIOS!$A$4:$A$505,"&gt;="&amp;$B$2,COBROS_DIARIOS!$A$4:$A$505,"&lt;="&amp;EOMONTH($B$2,0)),0))</f>
        <v>0</v>
      </c>
      <c r="J88" s="78">
        <f>IF(OR(J$73="",$A88=""),"",IFERROR(SUMIFS(COBROS_DIARIOS!$K$4:$K$505,COBROS_DIARIOS!$E$4:$E$505,J$73,COBROS_DIARIOS!$F$4:$F$505,$A88,COBROS_DIARIOS!$A$4:$A$505,"&gt;="&amp;$B$2,COBROS_DIARIOS!$A$4:$A$505,"&lt;="&amp;EOMONTH($B$2,0)),0))</f>
        <v>96</v>
      </c>
      <c r="K88" s="78">
        <f>IF(OR(K$73="",$A88=""),"",IFERROR(SUMIFS(COBROS_DIARIOS!$K$4:$K$505,COBROS_DIARIOS!$E$4:$E$505,K$73,COBROS_DIARIOS!$F$4:$F$505,$A88,COBROS_DIARIOS!$A$4:$A$505,"&gt;="&amp;$B$2,COBROS_DIARIOS!$A$4:$A$505,"&lt;="&amp;EOMONTH($B$2,0)),0))</f>
        <v>188</v>
      </c>
      <c r="L88" s="78">
        <f>IF(OR(L$73="",$A88=""),"",IFERROR(SUMIFS(COBROS_DIARIOS!$K$4:$K$505,COBROS_DIARIOS!$E$4:$E$505,L$73,COBROS_DIARIOS!$F$4:$F$505,$A88,COBROS_DIARIOS!$A$4:$A$505,"&gt;="&amp;$B$2,COBROS_DIARIOS!$A$4:$A$505,"&lt;="&amp;EOMONTH($B$2,0)),0))</f>
        <v>204</v>
      </c>
      <c r="M88" s="78">
        <f>IF(OR(M$73="",$A88=""),"",IFERROR(SUMIFS(COBROS_DIARIOS!$K$4:$K$505,COBROS_DIARIOS!$E$4:$E$505,M$73,COBROS_DIARIOS!$F$4:$F$505,$A88,COBROS_DIARIOS!$A$4:$A$505,"&gt;="&amp;$B$2,COBROS_DIARIOS!$A$4:$A$505,"&lt;="&amp;EOMONTH($B$2,0)),0))</f>
        <v>166</v>
      </c>
      <c r="N88" s="78">
        <f>IF(OR(N$73="",$A88=""),"",IFERROR(SUMIFS(COBROS_DIARIOS!$K$4:$K$505,COBROS_DIARIOS!$E$4:$E$505,N$73,COBROS_DIARIOS!$F$4:$F$505,$A88,COBROS_DIARIOS!$A$4:$A$505,"&gt;="&amp;$B$2,COBROS_DIARIOS!$A$4:$A$505,"&lt;="&amp;EOMONTH($B$2,0)),0))</f>
        <v>164</v>
      </c>
      <c r="O88" s="78">
        <f>IF(OR(O$73="",$A88=""),"",IFERROR(SUMIFS(COBROS_DIARIOS!$K$4:$K$505,COBROS_DIARIOS!$E$4:$E$505,O$73,COBROS_DIARIOS!$F$4:$F$505,$A88,COBROS_DIARIOS!$A$4:$A$505,"&gt;="&amp;$B$2,COBROS_DIARIOS!$A$4:$A$505,"&lt;="&amp;EOMONTH($B$2,0)),0))</f>
        <v>146</v>
      </c>
      <c r="P88" s="78">
        <f>IF(OR(P$73="",$A88=""),"",IFERROR(SUMIFS(COBROS_DIARIOS!$K$4:$K$505,COBROS_DIARIOS!$E$4:$E$505,P$73,COBROS_DIARIOS!$F$4:$F$505,$A88,COBROS_DIARIOS!$A$4:$A$505,"&gt;="&amp;$B$2,COBROS_DIARIOS!$A$4:$A$505,"&lt;="&amp;EOMONTH($B$2,0)),0))</f>
        <v>60</v>
      </c>
      <c r="Q88" s="78">
        <f>IF(OR(Q$73="",$A88=""),"",IFERROR(SUMIFS(COBROS_DIARIOS!$K$4:$K$505,COBROS_DIARIOS!$E$4:$E$505,Q$73,COBROS_DIARIOS!$F$4:$F$505,$A88,COBROS_DIARIOS!$A$4:$A$505,"&gt;="&amp;$B$2,COBROS_DIARIOS!$A$4:$A$505,"&lt;="&amp;EOMONTH($B$2,0)),0))</f>
        <v>0</v>
      </c>
      <c r="R88" s="78">
        <f>IF(OR(R$73="",$A88=""),"",IFERROR(SUMIFS(COBROS_DIARIOS!$K$4:$K$505,COBROS_DIARIOS!$E$4:$E$505,R$73,COBROS_DIARIOS!$F$4:$F$505,$A88,COBROS_DIARIOS!$A$4:$A$505,"&gt;="&amp;$B$2,COBROS_DIARIOS!$A$4:$A$505,"&lt;="&amp;EOMONTH($B$2,0)),0))</f>
        <v>77</v>
      </c>
      <c r="S88" s="78" t="str">
        <f>IF(OR(S$73="",$A88=""),"",IFERROR(SUMIFS(COBROS_DIARIOS!$K$4:$K$505,COBROS_DIARIOS!$E$4:$E$505,S$73,COBROS_DIARIOS!$F$4:$F$505,$A88,COBROS_DIARIOS!$A$4:$A$505,"&gt;="&amp;$B$2,COBROS_DIARIOS!$A$4:$A$505,"&lt;="&amp;EOMONTH($B$2,0)),0))</f>
        <v/>
      </c>
      <c r="T88" s="78" t="str">
        <f>IF(OR(T$73="",$A88=""),"",IFERROR(SUMIFS(COBROS_DIARIOS!$K$4:$K$505,COBROS_DIARIOS!$E$4:$E$505,T$73,COBROS_DIARIOS!$F$4:$F$505,$A88,COBROS_DIARIOS!$A$4:$A$505,"&gt;="&amp;$B$2,COBROS_DIARIOS!$A$4:$A$505,"&lt;="&amp;EOMONTH($B$2,0)),0))</f>
        <v/>
      </c>
      <c r="U88" s="78" t="str">
        <f>IF(OR(U$73="",$A88=""),"",IFERROR(SUMIFS(COBROS_DIARIOS!$K$4:$K$505,COBROS_DIARIOS!$E$4:$E$505,U$73,COBROS_DIARIOS!$F$4:$F$505,$A88,COBROS_DIARIOS!$A$4:$A$505,"&gt;="&amp;$B$2,COBROS_DIARIOS!$A$4:$A$505,"&lt;="&amp;EOMONTH($B$2,0)),0))</f>
        <v/>
      </c>
      <c r="V88" s="78" t="str">
        <f>IF(OR(V$73="",$A88=""),"",IFERROR(SUMIFS(COBROS_DIARIOS!$K$4:$K$505,COBROS_DIARIOS!$E$4:$E$505,V$73,COBROS_DIARIOS!$F$4:$F$505,$A88,COBROS_DIARIOS!$A$4:$A$505,"&gt;="&amp;$B$2,COBROS_DIARIOS!$A$4:$A$505,"&lt;="&amp;EOMONTH($B$2,0)),0))</f>
        <v/>
      </c>
      <c r="W88" s="78" t="str">
        <f>IF(OR(W$73="",$A88=""),"",IFERROR(SUMIFS(COBROS_DIARIOS!$K$4:$K$505,COBROS_DIARIOS!$E$4:$E$505,W$73,COBROS_DIARIOS!$F$4:$F$505,$A88,COBROS_DIARIOS!$A$4:$A$505,"&gt;="&amp;$B$2,COBROS_DIARIOS!$A$4:$A$505,"&lt;="&amp;EOMONTH($B$2,0)),0))</f>
        <v/>
      </c>
      <c r="X88" s="78" t="str">
        <f>IF(OR(X$73="",$A88=""),"",IFERROR(SUMIFS(COBROS_DIARIOS!$K$4:$K$505,COBROS_DIARIOS!$E$4:$E$505,X$73,COBROS_DIARIOS!$F$4:$F$505,$A88,COBROS_DIARIOS!$A$4:$A$505,"&gt;="&amp;$B$2,COBROS_DIARIOS!$A$4:$A$505,"&lt;="&amp;EOMONTH($B$2,0)),0))</f>
        <v/>
      </c>
      <c r="Y88" s="78" t="str">
        <f>IF(OR(Y$73="",$A88=""),"",IFERROR(SUMIFS(COBROS_DIARIOS!$K$4:$K$505,COBROS_DIARIOS!$E$4:$E$505,Y$73,COBROS_DIARIOS!$F$4:$F$505,$A88,COBROS_DIARIOS!$A$4:$A$505,"&gt;="&amp;$B$2,COBROS_DIARIOS!$A$4:$A$505,"&lt;="&amp;EOMONTH($B$2,0)),0))</f>
        <v/>
      </c>
      <c r="Z88" s="78" t="str">
        <f>IF(OR(Z$73="",$A88=""),"",IFERROR(SUMIFS(COBROS_DIARIOS!$K$4:$K$505,COBROS_DIARIOS!$E$4:$E$505,Z$73,COBROS_DIARIOS!$F$4:$F$505,$A88,COBROS_DIARIOS!$A$4:$A$505,"&gt;="&amp;$B$2,COBROS_DIARIOS!$A$4:$A$505,"&lt;="&amp;EOMONTH($B$2,0)),0))</f>
        <v/>
      </c>
      <c r="AA88" s="79">
        <f t="shared" si="3"/>
        <v>4427</v>
      </c>
    </row>
    <row r="89" ht="15.0" customHeight="1">
      <c r="A89" s="65" t="str">
        <f>IFERROR(IF(COLORES!A19="","",COLORES!A19),"")</f>
        <v>Palo Rosa</v>
      </c>
      <c r="B89" s="78">
        <f>IF(OR(B$73="",$A89=""),"",IFERROR(SUMIFS(COBROS_DIARIOS!$K$4:$K$505,COBROS_DIARIOS!$E$4:$E$505,B$73,COBROS_DIARIOS!$F$4:$F$505,$A89,COBROS_DIARIOS!$A$4:$A$505,"&gt;="&amp;$B$2,COBROS_DIARIOS!$A$4:$A$505,"&lt;="&amp;EOMONTH($B$2,0)),0))</f>
        <v>0</v>
      </c>
      <c r="C89" s="78">
        <f>IF(OR(C$73="",$A89=""),"",IFERROR(SUMIFS(COBROS_DIARIOS!$K$4:$K$505,COBROS_DIARIOS!$E$4:$E$505,C$73,COBROS_DIARIOS!$F$4:$F$505,$A89,COBROS_DIARIOS!$A$4:$A$505,"&gt;="&amp;$B$2,COBROS_DIARIOS!$A$4:$A$505,"&lt;="&amp;EOMONTH($B$2,0)),0))</f>
        <v>0</v>
      </c>
      <c r="D89" s="78">
        <f>IF(OR(D$73="",$A89=""),"",IFERROR(SUMIFS(COBROS_DIARIOS!$K$4:$K$505,COBROS_DIARIOS!$E$4:$E$505,D$73,COBROS_DIARIOS!$F$4:$F$505,$A89,COBROS_DIARIOS!$A$4:$A$505,"&gt;="&amp;$B$2,COBROS_DIARIOS!$A$4:$A$505,"&lt;="&amp;EOMONTH($B$2,0)),0))</f>
        <v>198</v>
      </c>
      <c r="E89" s="78">
        <f>IF(OR(E$73="",$A89=""),"",IFERROR(SUMIFS(COBROS_DIARIOS!$K$4:$K$505,COBROS_DIARIOS!$E$4:$E$505,E$73,COBROS_DIARIOS!$F$4:$F$505,$A89,COBROS_DIARIOS!$A$4:$A$505,"&gt;="&amp;$B$2,COBROS_DIARIOS!$A$4:$A$505,"&lt;="&amp;EOMONTH($B$2,0)),0))</f>
        <v>0</v>
      </c>
      <c r="F89" s="78">
        <f>IF(OR(F$73="",$A89=""),"",IFERROR(SUMIFS(COBROS_DIARIOS!$K$4:$K$505,COBROS_DIARIOS!$E$4:$E$505,F$73,COBROS_DIARIOS!$F$4:$F$505,$A89,COBROS_DIARIOS!$A$4:$A$505,"&gt;="&amp;$B$2,COBROS_DIARIOS!$A$4:$A$505,"&lt;="&amp;EOMONTH($B$2,0)),0))</f>
        <v>0</v>
      </c>
      <c r="G89" s="78">
        <f>IF(OR(G$73="",$A89=""),"",IFERROR(SUMIFS(COBROS_DIARIOS!$K$4:$K$505,COBROS_DIARIOS!$E$4:$E$505,G$73,COBROS_DIARIOS!$F$4:$F$505,$A89,COBROS_DIARIOS!$A$4:$A$505,"&gt;="&amp;$B$2,COBROS_DIARIOS!$A$4:$A$505,"&lt;="&amp;EOMONTH($B$2,0)),0))</f>
        <v>0</v>
      </c>
      <c r="H89" s="78">
        <f>IF(OR(H$73="",$A89=""),"",IFERROR(SUMIFS(COBROS_DIARIOS!$K$4:$K$505,COBROS_DIARIOS!$E$4:$E$505,H$73,COBROS_DIARIOS!$F$4:$F$505,$A89,COBROS_DIARIOS!$A$4:$A$505,"&gt;="&amp;$B$2,COBROS_DIARIOS!$A$4:$A$505,"&lt;="&amp;EOMONTH($B$2,0)),0))</f>
        <v>0</v>
      </c>
      <c r="I89" s="78">
        <f>IF(OR(I$73="",$A89=""),"",IFERROR(SUMIFS(COBROS_DIARIOS!$K$4:$K$505,COBROS_DIARIOS!$E$4:$E$505,I$73,COBROS_DIARIOS!$F$4:$F$505,$A89,COBROS_DIARIOS!$A$4:$A$505,"&gt;="&amp;$B$2,COBROS_DIARIOS!$A$4:$A$505,"&lt;="&amp;EOMONTH($B$2,0)),0))</f>
        <v>0</v>
      </c>
      <c r="J89" s="78">
        <f>IF(OR(J$73="",$A89=""),"",IFERROR(SUMIFS(COBROS_DIARIOS!$K$4:$K$505,COBROS_DIARIOS!$E$4:$E$505,J$73,COBROS_DIARIOS!$F$4:$F$505,$A89,COBROS_DIARIOS!$A$4:$A$505,"&gt;="&amp;$B$2,COBROS_DIARIOS!$A$4:$A$505,"&lt;="&amp;EOMONTH($B$2,0)),0))</f>
        <v>0</v>
      </c>
      <c r="K89" s="78">
        <f>IF(OR(K$73="",$A89=""),"",IFERROR(SUMIFS(COBROS_DIARIOS!$K$4:$K$505,COBROS_DIARIOS!$E$4:$E$505,K$73,COBROS_DIARIOS!$F$4:$F$505,$A89,COBROS_DIARIOS!$A$4:$A$505,"&gt;="&amp;$B$2,COBROS_DIARIOS!$A$4:$A$505,"&lt;="&amp;EOMONTH($B$2,0)),0))</f>
        <v>0</v>
      </c>
      <c r="L89" s="78">
        <f>IF(OR(L$73="",$A89=""),"",IFERROR(SUMIFS(COBROS_DIARIOS!$K$4:$K$505,COBROS_DIARIOS!$E$4:$E$505,L$73,COBROS_DIARIOS!$F$4:$F$505,$A89,COBROS_DIARIOS!$A$4:$A$505,"&gt;="&amp;$B$2,COBROS_DIARIOS!$A$4:$A$505,"&lt;="&amp;EOMONTH($B$2,0)),0))</f>
        <v>0</v>
      </c>
      <c r="M89" s="78">
        <f>IF(OR(M$73="",$A89=""),"",IFERROR(SUMIFS(COBROS_DIARIOS!$K$4:$K$505,COBROS_DIARIOS!$E$4:$E$505,M$73,COBROS_DIARIOS!$F$4:$F$505,$A89,COBROS_DIARIOS!$A$4:$A$505,"&gt;="&amp;$B$2,COBROS_DIARIOS!$A$4:$A$505,"&lt;="&amp;EOMONTH($B$2,0)),0))</f>
        <v>0</v>
      </c>
      <c r="N89" s="78">
        <f>IF(OR(N$73="",$A89=""),"",IFERROR(SUMIFS(COBROS_DIARIOS!$K$4:$K$505,COBROS_DIARIOS!$E$4:$E$505,N$73,COBROS_DIARIOS!$F$4:$F$505,$A89,COBROS_DIARIOS!$A$4:$A$505,"&gt;="&amp;$B$2,COBROS_DIARIOS!$A$4:$A$505,"&lt;="&amp;EOMONTH($B$2,0)),0))</f>
        <v>0</v>
      </c>
      <c r="O89" s="78">
        <f>IF(OR(O$73="",$A89=""),"",IFERROR(SUMIFS(COBROS_DIARIOS!$K$4:$K$505,COBROS_DIARIOS!$E$4:$E$505,O$73,COBROS_DIARIOS!$F$4:$F$505,$A89,COBROS_DIARIOS!$A$4:$A$505,"&gt;="&amp;$B$2,COBROS_DIARIOS!$A$4:$A$505,"&lt;="&amp;EOMONTH($B$2,0)),0))</f>
        <v>0</v>
      </c>
      <c r="P89" s="78">
        <f>IF(OR(P$73="",$A89=""),"",IFERROR(SUMIFS(COBROS_DIARIOS!$K$4:$K$505,COBROS_DIARIOS!$E$4:$E$505,P$73,COBROS_DIARIOS!$F$4:$F$505,$A89,COBROS_DIARIOS!$A$4:$A$505,"&gt;="&amp;$B$2,COBROS_DIARIOS!$A$4:$A$505,"&lt;="&amp;EOMONTH($B$2,0)),0))</f>
        <v>0</v>
      </c>
      <c r="Q89" s="78">
        <f>IF(OR(Q$73="",$A89=""),"",IFERROR(SUMIFS(COBROS_DIARIOS!$K$4:$K$505,COBROS_DIARIOS!$E$4:$E$505,Q$73,COBROS_DIARIOS!$F$4:$F$505,$A89,COBROS_DIARIOS!$A$4:$A$505,"&gt;="&amp;$B$2,COBROS_DIARIOS!$A$4:$A$505,"&lt;="&amp;EOMONTH($B$2,0)),0))</f>
        <v>0</v>
      </c>
      <c r="R89" s="78">
        <f>IF(OR(R$73="",$A89=""),"",IFERROR(SUMIFS(COBROS_DIARIOS!$K$4:$K$505,COBROS_DIARIOS!$E$4:$E$505,R$73,COBROS_DIARIOS!$F$4:$F$505,$A89,COBROS_DIARIOS!$A$4:$A$505,"&gt;="&amp;$B$2,COBROS_DIARIOS!$A$4:$A$505,"&lt;="&amp;EOMONTH($B$2,0)),0))</f>
        <v>0</v>
      </c>
      <c r="S89" s="78" t="str">
        <f>IF(OR(S$73="",$A89=""),"",IFERROR(SUMIFS(COBROS_DIARIOS!$K$4:$K$505,COBROS_DIARIOS!$E$4:$E$505,S$73,COBROS_DIARIOS!$F$4:$F$505,$A89,COBROS_DIARIOS!$A$4:$A$505,"&gt;="&amp;$B$2,COBROS_DIARIOS!$A$4:$A$505,"&lt;="&amp;EOMONTH($B$2,0)),0))</f>
        <v/>
      </c>
      <c r="T89" s="78" t="str">
        <f>IF(OR(T$73="",$A89=""),"",IFERROR(SUMIFS(COBROS_DIARIOS!$K$4:$K$505,COBROS_DIARIOS!$E$4:$E$505,T$73,COBROS_DIARIOS!$F$4:$F$505,$A89,COBROS_DIARIOS!$A$4:$A$505,"&gt;="&amp;$B$2,COBROS_DIARIOS!$A$4:$A$505,"&lt;="&amp;EOMONTH($B$2,0)),0))</f>
        <v/>
      </c>
      <c r="U89" s="78" t="str">
        <f>IF(OR(U$73="",$A89=""),"",IFERROR(SUMIFS(COBROS_DIARIOS!$K$4:$K$505,COBROS_DIARIOS!$E$4:$E$505,U$73,COBROS_DIARIOS!$F$4:$F$505,$A89,COBROS_DIARIOS!$A$4:$A$505,"&gt;="&amp;$B$2,COBROS_DIARIOS!$A$4:$A$505,"&lt;="&amp;EOMONTH($B$2,0)),0))</f>
        <v/>
      </c>
      <c r="V89" s="78" t="str">
        <f>IF(OR(V$73="",$A89=""),"",IFERROR(SUMIFS(COBROS_DIARIOS!$K$4:$K$505,COBROS_DIARIOS!$E$4:$E$505,V$73,COBROS_DIARIOS!$F$4:$F$505,$A89,COBROS_DIARIOS!$A$4:$A$505,"&gt;="&amp;$B$2,COBROS_DIARIOS!$A$4:$A$505,"&lt;="&amp;EOMONTH($B$2,0)),0))</f>
        <v/>
      </c>
      <c r="W89" s="78" t="str">
        <f>IF(OR(W$73="",$A89=""),"",IFERROR(SUMIFS(COBROS_DIARIOS!$K$4:$K$505,COBROS_DIARIOS!$E$4:$E$505,W$73,COBROS_DIARIOS!$F$4:$F$505,$A89,COBROS_DIARIOS!$A$4:$A$505,"&gt;="&amp;$B$2,COBROS_DIARIOS!$A$4:$A$505,"&lt;="&amp;EOMONTH($B$2,0)),0))</f>
        <v/>
      </c>
      <c r="X89" s="78" t="str">
        <f>IF(OR(X$73="",$A89=""),"",IFERROR(SUMIFS(COBROS_DIARIOS!$K$4:$K$505,COBROS_DIARIOS!$E$4:$E$505,X$73,COBROS_DIARIOS!$F$4:$F$505,$A89,COBROS_DIARIOS!$A$4:$A$505,"&gt;="&amp;$B$2,COBROS_DIARIOS!$A$4:$A$505,"&lt;="&amp;EOMONTH($B$2,0)),0))</f>
        <v/>
      </c>
      <c r="Y89" s="78" t="str">
        <f>IF(OR(Y$73="",$A89=""),"",IFERROR(SUMIFS(COBROS_DIARIOS!$K$4:$K$505,COBROS_DIARIOS!$E$4:$E$505,Y$73,COBROS_DIARIOS!$F$4:$F$505,$A89,COBROS_DIARIOS!$A$4:$A$505,"&gt;="&amp;$B$2,COBROS_DIARIOS!$A$4:$A$505,"&lt;="&amp;EOMONTH($B$2,0)),0))</f>
        <v/>
      </c>
      <c r="Z89" s="78" t="str">
        <f>IF(OR(Z$73="",$A89=""),"",IFERROR(SUMIFS(COBROS_DIARIOS!$K$4:$K$505,COBROS_DIARIOS!$E$4:$E$505,Z$73,COBROS_DIARIOS!$F$4:$F$505,$A89,COBROS_DIARIOS!$A$4:$A$505,"&gt;="&amp;$B$2,COBROS_DIARIOS!$A$4:$A$505,"&lt;="&amp;EOMONTH($B$2,0)),0))</f>
        <v/>
      </c>
      <c r="AA89" s="79">
        <f t="shared" si="3"/>
        <v>198</v>
      </c>
    </row>
    <row r="90" ht="15.0" customHeight="1">
      <c r="A90" s="65" t="str">
        <f>IFERROR(IF(COLORES!A20="","",COLORES!A20),"")</f>
        <v>P. Rosa</v>
      </c>
      <c r="B90" s="78">
        <f>IF(OR(B$73="",$A90=""),"",IFERROR(SUMIFS(COBROS_DIARIOS!$K$4:$K$505,COBROS_DIARIOS!$E$4:$E$505,B$73,COBROS_DIARIOS!$F$4:$F$505,$A90,COBROS_DIARIOS!$A$4:$A$505,"&gt;="&amp;$B$2,COBROS_DIARIOS!$A$4:$A$505,"&lt;="&amp;EOMONTH($B$2,0)),0))</f>
        <v>0</v>
      </c>
      <c r="C90" s="78">
        <f>IF(OR(C$73="",$A90=""),"",IFERROR(SUMIFS(COBROS_DIARIOS!$K$4:$K$505,COBROS_DIARIOS!$E$4:$E$505,C$73,COBROS_DIARIOS!$F$4:$F$505,$A90,COBROS_DIARIOS!$A$4:$A$505,"&gt;="&amp;$B$2,COBROS_DIARIOS!$A$4:$A$505,"&lt;="&amp;EOMONTH($B$2,0)),0))</f>
        <v>497</v>
      </c>
      <c r="D90" s="78">
        <f>IF(OR(D$73="",$A90=""),"",IFERROR(SUMIFS(COBROS_DIARIOS!$K$4:$K$505,COBROS_DIARIOS!$E$4:$E$505,D$73,COBROS_DIARIOS!$F$4:$F$505,$A90,COBROS_DIARIOS!$A$4:$A$505,"&gt;="&amp;$B$2,COBROS_DIARIOS!$A$4:$A$505,"&lt;="&amp;EOMONTH($B$2,0)),0))</f>
        <v>382</v>
      </c>
      <c r="E90" s="78">
        <f>IF(OR(E$73="",$A90=""),"",IFERROR(SUMIFS(COBROS_DIARIOS!$K$4:$K$505,COBROS_DIARIOS!$E$4:$E$505,E$73,COBROS_DIARIOS!$F$4:$F$505,$A90,COBROS_DIARIOS!$A$4:$A$505,"&gt;="&amp;$B$2,COBROS_DIARIOS!$A$4:$A$505,"&lt;="&amp;EOMONTH($B$2,0)),0))</f>
        <v>0</v>
      </c>
      <c r="F90" s="78">
        <f>IF(OR(F$73="",$A90=""),"",IFERROR(SUMIFS(COBROS_DIARIOS!$K$4:$K$505,COBROS_DIARIOS!$E$4:$E$505,F$73,COBROS_DIARIOS!$F$4:$F$505,$A90,COBROS_DIARIOS!$A$4:$A$505,"&gt;="&amp;$B$2,COBROS_DIARIOS!$A$4:$A$505,"&lt;="&amp;EOMONTH($B$2,0)),0))</f>
        <v>0</v>
      </c>
      <c r="G90" s="78">
        <f>IF(OR(G$73="",$A90=""),"",IFERROR(SUMIFS(COBROS_DIARIOS!$K$4:$K$505,COBROS_DIARIOS!$E$4:$E$505,G$73,COBROS_DIARIOS!$F$4:$F$505,$A90,COBROS_DIARIOS!$A$4:$A$505,"&gt;="&amp;$B$2,COBROS_DIARIOS!$A$4:$A$505,"&lt;="&amp;EOMONTH($B$2,0)),0))</f>
        <v>310</v>
      </c>
      <c r="H90" s="78">
        <f>IF(OR(H$73="",$A90=""),"",IFERROR(SUMIFS(COBROS_DIARIOS!$K$4:$K$505,COBROS_DIARIOS!$E$4:$E$505,H$73,COBROS_DIARIOS!$F$4:$F$505,$A90,COBROS_DIARIOS!$A$4:$A$505,"&gt;="&amp;$B$2,COBROS_DIARIOS!$A$4:$A$505,"&lt;="&amp;EOMONTH($B$2,0)),0))</f>
        <v>31</v>
      </c>
      <c r="I90" s="78">
        <f>IF(OR(I$73="",$A90=""),"",IFERROR(SUMIFS(COBROS_DIARIOS!$K$4:$K$505,COBROS_DIARIOS!$E$4:$E$505,I$73,COBROS_DIARIOS!$F$4:$F$505,$A90,COBROS_DIARIOS!$A$4:$A$505,"&gt;="&amp;$B$2,COBROS_DIARIOS!$A$4:$A$505,"&lt;="&amp;EOMONTH($B$2,0)),0))</f>
        <v>62</v>
      </c>
      <c r="J90" s="78">
        <f>IF(OR(J$73="",$A90=""),"",IFERROR(SUMIFS(COBROS_DIARIOS!$K$4:$K$505,COBROS_DIARIOS!$E$4:$E$505,J$73,COBROS_DIARIOS!$F$4:$F$505,$A90,COBROS_DIARIOS!$A$4:$A$505,"&gt;="&amp;$B$2,COBROS_DIARIOS!$A$4:$A$505,"&lt;="&amp;EOMONTH($B$2,0)),0))</f>
        <v>46</v>
      </c>
      <c r="K90" s="78">
        <f>IF(OR(K$73="",$A90=""),"",IFERROR(SUMIFS(COBROS_DIARIOS!$K$4:$K$505,COBROS_DIARIOS!$E$4:$E$505,K$73,COBROS_DIARIOS!$F$4:$F$505,$A90,COBROS_DIARIOS!$A$4:$A$505,"&gt;="&amp;$B$2,COBROS_DIARIOS!$A$4:$A$505,"&lt;="&amp;EOMONTH($B$2,0)),0))</f>
        <v>0</v>
      </c>
      <c r="L90" s="78">
        <f>IF(OR(L$73="",$A90=""),"",IFERROR(SUMIFS(COBROS_DIARIOS!$K$4:$K$505,COBROS_DIARIOS!$E$4:$E$505,L$73,COBROS_DIARIOS!$F$4:$F$505,$A90,COBROS_DIARIOS!$A$4:$A$505,"&gt;="&amp;$B$2,COBROS_DIARIOS!$A$4:$A$505,"&lt;="&amp;EOMONTH($B$2,0)),0))</f>
        <v>0</v>
      </c>
      <c r="M90" s="78">
        <f>IF(OR(M$73="",$A90=""),"",IFERROR(SUMIFS(COBROS_DIARIOS!$K$4:$K$505,COBROS_DIARIOS!$E$4:$E$505,M$73,COBROS_DIARIOS!$F$4:$F$505,$A90,COBROS_DIARIOS!$A$4:$A$505,"&gt;="&amp;$B$2,COBROS_DIARIOS!$A$4:$A$505,"&lt;="&amp;EOMONTH($B$2,0)),0))</f>
        <v>0</v>
      </c>
      <c r="N90" s="78">
        <f>IF(OR(N$73="",$A90=""),"",IFERROR(SUMIFS(COBROS_DIARIOS!$K$4:$K$505,COBROS_DIARIOS!$E$4:$E$505,N$73,COBROS_DIARIOS!$F$4:$F$505,$A90,COBROS_DIARIOS!$A$4:$A$505,"&gt;="&amp;$B$2,COBROS_DIARIOS!$A$4:$A$505,"&lt;="&amp;EOMONTH($B$2,0)),0))</f>
        <v>0</v>
      </c>
      <c r="O90" s="78">
        <f>IF(OR(O$73="",$A90=""),"",IFERROR(SUMIFS(COBROS_DIARIOS!$K$4:$K$505,COBROS_DIARIOS!$E$4:$E$505,O$73,COBROS_DIARIOS!$F$4:$F$505,$A90,COBROS_DIARIOS!$A$4:$A$505,"&gt;="&amp;$B$2,COBROS_DIARIOS!$A$4:$A$505,"&lt;="&amp;EOMONTH($B$2,0)),0))</f>
        <v>96</v>
      </c>
      <c r="P90" s="78">
        <f>IF(OR(P$73="",$A90=""),"",IFERROR(SUMIFS(COBROS_DIARIOS!$K$4:$K$505,COBROS_DIARIOS!$E$4:$E$505,P$73,COBROS_DIARIOS!$F$4:$F$505,$A90,COBROS_DIARIOS!$A$4:$A$505,"&gt;="&amp;$B$2,COBROS_DIARIOS!$A$4:$A$505,"&lt;="&amp;EOMONTH($B$2,0)),0))</f>
        <v>0</v>
      </c>
      <c r="Q90" s="78">
        <f>IF(OR(Q$73="",$A90=""),"",IFERROR(SUMIFS(COBROS_DIARIOS!$K$4:$K$505,COBROS_DIARIOS!$E$4:$E$505,Q$73,COBROS_DIARIOS!$F$4:$F$505,$A90,COBROS_DIARIOS!$A$4:$A$505,"&gt;="&amp;$B$2,COBROS_DIARIOS!$A$4:$A$505,"&lt;="&amp;EOMONTH($B$2,0)),0))</f>
        <v>0</v>
      </c>
      <c r="R90" s="78">
        <f>IF(OR(R$73="",$A90=""),"",IFERROR(SUMIFS(COBROS_DIARIOS!$K$4:$K$505,COBROS_DIARIOS!$E$4:$E$505,R$73,COBROS_DIARIOS!$F$4:$F$505,$A90,COBROS_DIARIOS!$A$4:$A$505,"&gt;="&amp;$B$2,COBROS_DIARIOS!$A$4:$A$505,"&lt;="&amp;EOMONTH($B$2,0)),0))</f>
        <v>68</v>
      </c>
      <c r="S90" s="78" t="str">
        <f>IF(OR(S$73="",$A90=""),"",IFERROR(SUMIFS(COBROS_DIARIOS!$K$4:$K$505,COBROS_DIARIOS!$E$4:$E$505,S$73,COBROS_DIARIOS!$F$4:$F$505,$A90,COBROS_DIARIOS!$A$4:$A$505,"&gt;="&amp;$B$2,COBROS_DIARIOS!$A$4:$A$505,"&lt;="&amp;EOMONTH($B$2,0)),0))</f>
        <v/>
      </c>
      <c r="T90" s="78" t="str">
        <f>IF(OR(T$73="",$A90=""),"",IFERROR(SUMIFS(COBROS_DIARIOS!$K$4:$K$505,COBROS_DIARIOS!$E$4:$E$505,T$73,COBROS_DIARIOS!$F$4:$F$505,$A90,COBROS_DIARIOS!$A$4:$A$505,"&gt;="&amp;$B$2,COBROS_DIARIOS!$A$4:$A$505,"&lt;="&amp;EOMONTH($B$2,0)),0))</f>
        <v/>
      </c>
      <c r="U90" s="78" t="str">
        <f>IF(OR(U$73="",$A90=""),"",IFERROR(SUMIFS(COBROS_DIARIOS!$K$4:$K$505,COBROS_DIARIOS!$E$4:$E$505,U$73,COBROS_DIARIOS!$F$4:$F$505,$A90,COBROS_DIARIOS!$A$4:$A$505,"&gt;="&amp;$B$2,COBROS_DIARIOS!$A$4:$A$505,"&lt;="&amp;EOMONTH($B$2,0)),0))</f>
        <v/>
      </c>
      <c r="V90" s="78" t="str">
        <f>IF(OR(V$73="",$A90=""),"",IFERROR(SUMIFS(COBROS_DIARIOS!$K$4:$K$505,COBROS_DIARIOS!$E$4:$E$505,V$73,COBROS_DIARIOS!$F$4:$F$505,$A90,COBROS_DIARIOS!$A$4:$A$505,"&gt;="&amp;$B$2,COBROS_DIARIOS!$A$4:$A$505,"&lt;="&amp;EOMONTH($B$2,0)),0))</f>
        <v/>
      </c>
      <c r="W90" s="78" t="str">
        <f>IF(OR(W$73="",$A90=""),"",IFERROR(SUMIFS(COBROS_DIARIOS!$K$4:$K$505,COBROS_DIARIOS!$E$4:$E$505,W$73,COBROS_DIARIOS!$F$4:$F$505,$A90,COBROS_DIARIOS!$A$4:$A$505,"&gt;="&amp;$B$2,COBROS_DIARIOS!$A$4:$A$505,"&lt;="&amp;EOMONTH($B$2,0)),0))</f>
        <v/>
      </c>
      <c r="X90" s="78" t="str">
        <f>IF(OR(X$73="",$A90=""),"",IFERROR(SUMIFS(COBROS_DIARIOS!$K$4:$K$505,COBROS_DIARIOS!$E$4:$E$505,X$73,COBROS_DIARIOS!$F$4:$F$505,$A90,COBROS_DIARIOS!$A$4:$A$505,"&gt;="&amp;$B$2,COBROS_DIARIOS!$A$4:$A$505,"&lt;="&amp;EOMONTH($B$2,0)),0))</f>
        <v/>
      </c>
      <c r="Y90" s="78" t="str">
        <f>IF(OR(Y$73="",$A90=""),"",IFERROR(SUMIFS(COBROS_DIARIOS!$K$4:$K$505,COBROS_DIARIOS!$E$4:$E$505,Y$73,COBROS_DIARIOS!$F$4:$F$505,$A90,COBROS_DIARIOS!$A$4:$A$505,"&gt;="&amp;$B$2,COBROS_DIARIOS!$A$4:$A$505,"&lt;="&amp;EOMONTH($B$2,0)),0))</f>
        <v/>
      </c>
      <c r="Z90" s="78" t="str">
        <f>IF(OR(Z$73="",$A90=""),"",IFERROR(SUMIFS(COBROS_DIARIOS!$K$4:$K$505,COBROS_DIARIOS!$E$4:$E$505,Z$73,COBROS_DIARIOS!$F$4:$F$505,$A90,COBROS_DIARIOS!$A$4:$A$505,"&gt;="&amp;$B$2,COBROS_DIARIOS!$A$4:$A$505,"&lt;="&amp;EOMONTH($B$2,0)),0))</f>
        <v/>
      </c>
      <c r="AA90" s="79">
        <f t="shared" si="3"/>
        <v>1492</v>
      </c>
    </row>
    <row r="91" ht="15.0" customHeight="1">
      <c r="A91" s="65" t="str">
        <f>IFERROR(IF(COLORES!A21="","",COLORES!A21),"")</f>
        <v>Plomo</v>
      </c>
      <c r="B91" s="78">
        <f>IF(OR(B$73="",$A91=""),"",IFERROR(SUMIFS(COBROS_DIARIOS!$K$4:$K$505,COBROS_DIARIOS!$E$4:$E$505,B$73,COBROS_DIARIOS!$F$4:$F$505,$A91,COBROS_DIARIOS!$A$4:$A$505,"&gt;="&amp;$B$2,COBROS_DIARIOS!$A$4:$A$505,"&lt;="&amp;EOMONTH($B$2,0)),0))</f>
        <v>0</v>
      </c>
      <c r="C91" s="78">
        <f>IF(OR(C$73="",$A91=""),"",IFERROR(SUMIFS(COBROS_DIARIOS!$K$4:$K$505,COBROS_DIARIOS!$E$4:$E$505,C$73,COBROS_DIARIOS!$F$4:$F$505,$A91,COBROS_DIARIOS!$A$4:$A$505,"&gt;="&amp;$B$2,COBROS_DIARIOS!$A$4:$A$505,"&lt;="&amp;EOMONTH($B$2,0)),0))</f>
        <v>0</v>
      </c>
      <c r="D91" s="78">
        <f>IF(OR(D$73="",$A91=""),"",IFERROR(SUMIFS(COBROS_DIARIOS!$K$4:$K$505,COBROS_DIARIOS!$E$4:$E$505,D$73,COBROS_DIARIOS!$F$4:$F$505,$A91,COBROS_DIARIOS!$A$4:$A$505,"&gt;="&amp;$B$2,COBROS_DIARIOS!$A$4:$A$505,"&lt;="&amp;EOMONTH($B$2,0)),0))</f>
        <v>0</v>
      </c>
      <c r="E91" s="78">
        <f>IF(OR(E$73="",$A91=""),"",IFERROR(SUMIFS(COBROS_DIARIOS!$K$4:$K$505,COBROS_DIARIOS!$E$4:$E$505,E$73,COBROS_DIARIOS!$F$4:$F$505,$A91,COBROS_DIARIOS!$A$4:$A$505,"&gt;="&amp;$B$2,COBROS_DIARIOS!$A$4:$A$505,"&lt;="&amp;EOMONTH($B$2,0)),0))</f>
        <v>0</v>
      </c>
      <c r="F91" s="78">
        <f>IF(OR(F$73="",$A91=""),"",IFERROR(SUMIFS(COBROS_DIARIOS!$K$4:$K$505,COBROS_DIARIOS!$E$4:$E$505,F$73,COBROS_DIARIOS!$F$4:$F$505,$A91,COBROS_DIARIOS!$A$4:$A$505,"&gt;="&amp;$B$2,COBROS_DIARIOS!$A$4:$A$505,"&lt;="&amp;EOMONTH($B$2,0)),0))</f>
        <v>0</v>
      </c>
      <c r="G91" s="78">
        <f>IF(OR(G$73="",$A91=""),"",IFERROR(SUMIFS(COBROS_DIARIOS!$K$4:$K$505,COBROS_DIARIOS!$E$4:$E$505,G$73,COBROS_DIARIOS!$F$4:$F$505,$A91,COBROS_DIARIOS!$A$4:$A$505,"&gt;="&amp;$B$2,COBROS_DIARIOS!$A$4:$A$505,"&lt;="&amp;EOMONTH($B$2,0)),0))</f>
        <v>0</v>
      </c>
      <c r="H91" s="78">
        <f>IF(OR(H$73="",$A91=""),"",IFERROR(SUMIFS(COBROS_DIARIOS!$K$4:$K$505,COBROS_DIARIOS!$E$4:$E$505,H$73,COBROS_DIARIOS!$F$4:$F$505,$A91,COBROS_DIARIOS!$A$4:$A$505,"&gt;="&amp;$B$2,COBROS_DIARIOS!$A$4:$A$505,"&lt;="&amp;EOMONTH($B$2,0)),0))</f>
        <v>0</v>
      </c>
      <c r="I91" s="78">
        <f>IF(OR(I$73="",$A91=""),"",IFERROR(SUMIFS(COBROS_DIARIOS!$K$4:$K$505,COBROS_DIARIOS!$E$4:$E$505,I$73,COBROS_DIARIOS!$F$4:$F$505,$A91,COBROS_DIARIOS!$A$4:$A$505,"&gt;="&amp;$B$2,COBROS_DIARIOS!$A$4:$A$505,"&lt;="&amp;EOMONTH($B$2,0)),0))</f>
        <v>0</v>
      </c>
      <c r="J91" s="78">
        <f>IF(OR(J$73="",$A91=""),"",IFERROR(SUMIFS(COBROS_DIARIOS!$K$4:$K$505,COBROS_DIARIOS!$E$4:$E$505,J$73,COBROS_DIARIOS!$F$4:$F$505,$A91,COBROS_DIARIOS!$A$4:$A$505,"&gt;="&amp;$B$2,COBROS_DIARIOS!$A$4:$A$505,"&lt;="&amp;EOMONTH($B$2,0)),0))</f>
        <v>0</v>
      </c>
      <c r="K91" s="78">
        <f>IF(OR(K$73="",$A91=""),"",IFERROR(SUMIFS(COBROS_DIARIOS!$K$4:$K$505,COBROS_DIARIOS!$E$4:$E$505,K$73,COBROS_DIARIOS!$F$4:$F$505,$A91,COBROS_DIARIOS!$A$4:$A$505,"&gt;="&amp;$B$2,COBROS_DIARIOS!$A$4:$A$505,"&lt;="&amp;EOMONTH($B$2,0)),0))</f>
        <v>0</v>
      </c>
      <c r="L91" s="78">
        <f>IF(OR(L$73="",$A91=""),"",IFERROR(SUMIFS(COBROS_DIARIOS!$K$4:$K$505,COBROS_DIARIOS!$E$4:$E$505,L$73,COBROS_DIARIOS!$F$4:$F$505,$A91,COBROS_DIARIOS!$A$4:$A$505,"&gt;="&amp;$B$2,COBROS_DIARIOS!$A$4:$A$505,"&lt;="&amp;EOMONTH($B$2,0)),0))</f>
        <v>0</v>
      </c>
      <c r="M91" s="78">
        <f>IF(OR(M$73="",$A91=""),"",IFERROR(SUMIFS(COBROS_DIARIOS!$K$4:$K$505,COBROS_DIARIOS!$E$4:$E$505,M$73,COBROS_DIARIOS!$F$4:$F$505,$A91,COBROS_DIARIOS!$A$4:$A$505,"&gt;="&amp;$B$2,COBROS_DIARIOS!$A$4:$A$505,"&lt;="&amp;EOMONTH($B$2,0)),0))</f>
        <v>0</v>
      </c>
      <c r="N91" s="78">
        <f>IF(OR(N$73="",$A91=""),"",IFERROR(SUMIFS(COBROS_DIARIOS!$K$4:$K$505,COBROS_DIARIOS!$E$4:$E$505,N$73,COBROS_DIARIOS!$F$4:$F$505,$A91,COBROS_DIARIOS!$A$4:$A$505,"&gt;="&amp;$B$2,COBROS_DIARIOS!$A$4:$A$505,"&lt;="&amp;EOMONTH($B$2,0)),0))</f>
        <v>0</v>
      </c>
      <c r="O91" s="78">
        <f>IF(OR(O$73="",$A91=""),"",IFERROR(SUMIFS(COBROS_DIARIOS!$K$4:$K$505,COBROS_DIARIOS!$E$4:$E$505,O$73,COBROS_DIARIOS!$F$4:$F$505,$A91,COBROS_DIARIOS!$A$4:$A$505,"&gt;="&amp;$B$2,COBROS_DIARIOS!$A$4:$A$505,"&lt;="&amp;EOMONTH($B$2,0)),0))</f>
        <v>0</v>
      </c>
      <c r="P91" s="78">
        <f>IF(OR(P$73="",$A91=""),"",IFERROR(SUMIFS(COBROS_DIARIOS!$K$4:$K$505,COBROS_DIARIOS!$E$4:$E$505,P$73,COBROS_DIARIOS!$F$4:$F$505,$A91,COBROS_DIARIOS!$A$4:$A$505,"&gt;="&amp;$B$2,COBROS_DIARIOS!$A$4:$A$505,"&lt;="&amp;EOMONTH($B$2,0)),0))</f>
        <v>0</v>
      </c>
      <c r="Q91" s="78">
        <f>IF(OR(Q$73="",$A91=""),"",IFERROR(SUMIFS(COBROS_DIARIOS!$K$4:$K$505,COBROS_DIARIOS!$E$4:$E$505,Q$73,COBROS_DIARIOS!$F$4:$F$505,$A91,COBROS_DIARIOS!$A$4:$A$505,"&gt;="&amp;$B$2,COBROS_DIARIOS!$A$4:$A$505,"&lt;="&amp;EOMONTH($B$2,0)),0))</f>
        <v>0</v>
      </c>
      <c r="R91" s="78">
        <f>IF(OR(R$73="",$A91=""),"",IFERROR(SUMIFS(COBROS_DIARIOS!$K$4:$K$505,COBROS_DIARIOS!$E$4:$E$505,R$73,COBROS_DIARIOS!$F$4:$F$505,$A91,COBROS_DIARIOS!$A$4:$A$505,"&gt;="&amp;$B$2,COBROS_DIARIOS!$A$4:$A$505,"&lt;="&amp;EOMONTH($B$2,0)),0))</f>
        <v>0</v>
      </c>
      <c r="S91" s="78" t="str">
        <f>IF(OR(S$73="",$A91=""),"",IFERROR(SUMIFS(COBROS_DIARIOS!$K$4:$K$505,COBROS_DIARIOS!$E$4:$E$505,S$73,COBROS_DIARIOS!$F$4:$F$505,$A91,COBROS_DIARIOS!$A$4:$A$505,"&gt;="&amp;$B$2,COBROS_DIARIOS!$A$4:$A$505,"&lt;="&amp;EOMONTH($B$2,0)),0))</f>
        <v/>
      </c>
      <c r="T91" s="78" t="str">
        <f>IF(OR(T$73="",$A91=""),"",IFERROR(SUMIFS(COBROS_DIARIOS!$K$4:$K$505,COBROS_DIARIOS!$E$4:$E$505,T$73,COBROS_DIARIOS!$F$4:$F$505,$A91,COBROS_DIARIOS!$A$4:$A$505,"&gt;="&amp;$B$2,COBROS_DIARIOS!$A$4:$A$505,"&lt;="&amp;EOMONTH($B$2,0)),0))</f>
        <v/>
      </c>
      <c r="U91" s="78" t="str">
        <f>IF(OR(U$73="",$A91=""),"",IFERROR(SUMIFS(COBROS_DIARIOS!$K$4:$K$505,COBROS_DIARIOS!$E$4:$E$505,U$73,COBROS_DIARIOS!$F$4:$F$505,$A91,COBROS_DIARIOS!$A$4:$A$505,"&gt;="&amp;$B$2,COBROS_DIARIOS!$A$4:$A$505,"&lt;="&amp;EOMONTH($B$2,0)),0))</f>
        <v/>
      </c>
      <c r="V91" s="78" t="str">
        <f>IF(OR(V$73="",$A91=""),"",IFERROR(SUMIFS(COBROS_DIARIOS!$K$4:$K$505,COBROS_DIARIOS!$E$4:$E$505,V$73,COBROS_DIARIOS!$F$4:$F$505,$A91,COBROS_DIARIOS!$A$4:$A$505,"&gt;="&amp;$B$2,COBROS_DIARIOS!$A$4:$A$505,"&lt;="&amp;EOMONTH($B$2,0)),0))</f>
        <v/>
      </c>
      <c r="W91" s="78" t="str">
        <f>IF(OR(W$73="",$A91=""),"",IFERROR(SUMIFS(COBROS_DIARIOS!$K$4:$K$505,COBROS_DIARIOS!$E$4:$E$505,W$73,COBROS_DIARIOS!$F$4:$F$505,$A91,COBROS_DIARIOS!$A$4:$A$505,"&gt;="&amp;$B$2,COBROS_DIARIOS!$A$4:$A$505,"&lt;="&amp;EOMONTH($B$2,0)),0))</f>
        <v/>
      </c>
      <c r="X91" s="78" t="str">
        <f>IF(OR(X$73="",$A91=""),"",IFERROR(SUMIFS(COBROS_DIARIOS!$K$4:$K$505,COBROS_DIARIOS!$E$4:$E$505,X$73,COBROS_DIARIOS!$F$4:$F$505,$A91,COBROS_DIARIOS!$A$4:$A$505,"&gt;="&amp;$B$2,COBROS_DIARIOS!$A$4:$A$505,"&lt;="&amp;EOMONTH($B$2,0)),0))</f>
        <v/>
      </c>
      <c r="Y91" s="78" t="str">
        <f>IF(OR(Y$73="",$A91=""),"",IFERROR(SUMIFS(COBROS_DIARIOS!$K$4:$K$505,COBROS_DIARIOS!$E$4:$E$505,Y$73,COBROS_DIARIOS!$F$4:$F$505,$A91,COBROS_DIARIOS!$A$4:$A$505,"&gt;="&amp;$B$2,COBROS_DIARIOS!$A$4:$A$505,"&lt;="&amp;EOMONTH($B$2,0)),0))</f>
        <v/>
      </c>
      <c r="Z91" s="78" t="str">
        <f>IF(OR(Z$73="",$A91=""),"",IFERROR(SUMIFS(COBROS_DIARIOS!$K$4:$K$505,COBROS_DIARIOS!$E$4:$E$505,Z$73,COBROS_DIARIOS!$F$4:$F$505,$A91,COBROS_DIARIOS!$A$4:$A$505,"&gt;="&amp;$B$2,COBROS_DIARIOS!$A$4:$A$505,"&lt;="&amp;EOMONTH($B$2,0)),0))</f>
        <v/>
      </c>
      <c r="AA91" s="79">
        <f t="shared" si="3"/>
        <v>0</v>
      </c>
    </row>
    <row r="92" ht="15.0" customHeight="1">
      <c r="A92" s="65" t="str">
        <f>IFERROR(IF(COLORES!A22="","",COLORES!A22),"")</f>
        <v>Azul Marino</v>
      </c>
      <c r="B92" s="78">
        <f>IF(OR(B$73="",$A92=""),"",IFERROR(SUMIFS(COBROS_DIARIOS!$K$4:$K$505,COBROS_DIARIOS!$E$4:$E$505,B$73,COBROS_DIARIOS!$F$4:$F$505,$A92,COBROS_DIARIOS!$A$4:$A$505,"&gt;="&amp;$B$2,COBROS_DIARIOS!$A$4:$A$505,"&lt;="&amp;EOMONTH($B$2,0)),0))</f>
        <v>212</v>
      </c>
      <c r="C92" s="78">
        <f>IF(OR(C$73="",$A92=""),"",IFERROR(SUMIFS(COBROS_DIARIOS!$K$4:$K$505,COBROS_DIARIOS!$E$4:$E$505,C$73,COBROS_DIARIOS!$F$4:$F$505,$A92,COBROS_DIARIOS!$A$4:$A$505,"&gt;="&amp;$B$2,COBROS_DIARIOS!$A$4:$A$505,"&lt;="&amp;EOMONTH($B$2,0)),0))</f>
        <v>166</v>
      </c>
      <c r="D92" s="78">
        <f>IF(OR(D$73="",$A92=""),"",IFERROR(SUMIFS(COBROS_DIARIOS!$K$4:$K$505,COBROS_DIARIOS!$E$4:$E$505,D$73,COBROS_DIARIOS!$F$4:$F$505,$A92,COBROS_DIARIOS!$A$4:$A$505,"&gt;="&amp;$B$2,COBROS_DIARIOS!$A$4:$A$505,"&lt;="&amp;EOMONTH($B$2,0)),0))</f>
        <v>1184</v>
      </c>
      <c r="E92" s="78">
        <f>IF(OR(E$73="",$A92=""),"",IFERROR(SUMIFS(COBROS_DIARIOS!$K$4:$K$505,COBROS_DIARIOS!$E$4:$E$505,E$73,COBROS_DIARIOS!$F$4:$F$505,$A92,COBROS_DIARIOS!$A$4:$A$505,"&gt;="&amp;$B$2,COBROS_DIARIOS!$A$4:$A$505,"&lt;="&amp;EOMONTH($B$2,0)),0))</f>
        <v>251</v>
      </c>
      <c r="F92" s="78">
        <f>IF(OR(F$73="",$A92=""),"",IFERROR(SUMIFS(COBROS_DIARIOS!$K$4:$K$505,COBROS_DIARIOS!$E$4:$E$505,F$73,COBROS_DIARIOS!$F$4:$F$505,$A92,COBROS_DIARIOS!$A$4:$A$505,"&gt;="&amp;$B$2,COBROS_DIARIOS!$A$4:$A$505,"&lt;="&amp;EOMONTH($B$2,0)),0))</f>
        <v>11</v>
      </c>
      <c r="G92" s="78">
        <f>IF(OR(G$73="",$A92=""),"",IFERROR(SUMIFS(COBROS_DIARIOS!$K$4:$K$505,COBROS_DIARIOS!$E$4:$E$505,G$73,COBROS_DIARIOS!$F$4:$F$505,$A92,COBROS_DIARIOS!$A$4:$A$505,"&gt;="&amp;$B$2,COBROS_DIARIOS!$A$4:$A$505,"&lt;="&amp;EOMONTH($B$2,0)),0))</f>
        <v>799</v>
      </c>
      <c r="H92" s="78">
        <f>IF(OR(H$73="",$A92=""),"",IFERROR(SUMIFS(COBROS_DIARIOS!$K$4:$K$505,COBROS_DIARIOS!$E$4:$E$505,H$73,COBROS_DIARIOS!$F$4:$F$505,$A92,COBROS_DIARIOS!$A$4:$A$505,"&gt;="&amp;$B$2,COBROS_DIARIOS!$A$4:$A$505,"&lt;="&amp;EOMONTH($B$2,0)),0))</f>
        <v>56</v>
      </c>
      <c r="I92" s="78">
        <f>IF(OR(I$73="",$A92=""),"",IFERROR(SUMIFS(COBROS_DIARIOS!$K$4:$K$505,COBROS_DIARIOS!$E$4:$E$505,I$73,COBROS_DIARIOS!$F$4:$F$505,$A92,COBROS_DIARIOS!$A$4:$A$505,"&gt;="&amp;$B$2,COBROS_DIARIOS!$A$4:$A$505,"&lt;="&amp;EOMONTH($B$2,0)),0))</f>
        <v>118</v>
      </c>
      <c r="J92" s="78">
        <f>IF(OR(J$73="",$A92=""),"",IFERROR(SUMIFS(COBROS_DIARIOS!$K$4:$K$505,COBROS_DIARIOS!$E$4:$E$505,J$73,COBROS_DIARIOS!$F$4:$F$505,$A92,COBROS_DIARIOS!$A$4:$A$505,"&gt;="&amp;$B$2,COBROS_DIARIOS!$A$4:$A$505,"&lt;="&amp;EOMONTH($B$2,0)),0))</f>
        <v>90</v>
      </c>
      <c r="K92" s="78">
        <f>IF(OR(K$73="",$A92=""),"",IFERROR(SUMIFS(COBROS_DIARIOS!$K$4:$K$505,COBROS_DIARIOS!$E$4:$E$505,K$73,COBROS_DIARIOS!$F$4:$F$505,$A92,COBROS_DIARIOS!$A$4:$A$505,"&gt;="&amp;$B$2,COBROS_DIARIOS!$A$4:$A$505,"&lt;="&amp;EOMONTH($B$2,0)),0))</f>
        <v>189</v>
      </c>
      <c r="L92" s="78">
        <f>IF(OR(L$73="",$A92=""),"",IFERROR(SUMIFS(COBROS_DIARIOS!$K$4:$K$505,COBROS_DIARIOS!$E$4:$E$505,L$73,COBROS_DIARIOS!$F$4:$F$505,$A92,COBROS_DIARIOS!$A$4:$A$505,"&gt;="&amp;$B$2,COBROS_DIARIOS!$A$4:$A$505,"&lt;="&amp;EOMONTH($B$2,0)),0))</f>
        <v>96</v>
      </c>
      <c r="M92" s="78">
        <f>IF(OR(M$73="",$A92=""),"",IFERROR(SUMIFS(COBROS_DIARIOS!$K$4:$K$505,COBROS_DIARIOS!$E$4:$E$505,M$73,COBROS_DIARIOS!$F$4:$F$505,$A92,COBROS_DIARIOS!$A$4:$A$505,"&gt;="&amp;$B$2,COBROS_DIARIOS!$A$4:$A$505,"&lt;="&amp;EOMONTH($B$2,0)),0))</f>
        <v>204</v>
      </c>
      <c r="N92" s="78">
        <f>IF(OR(N$73="",$A92=""),"",IFERROR(SUMIFS(COBROS_DIARIOS!$K$4:$K$505,COBROS_DIARIOS!$E$4:$E$505,N$73,COBROS_DIARIOS!$F$4:$F$505,$A92,COBROS_DIARIOS!$A$4:$A$505,"&gt;="&amp;$B$2,COBROS_DIARIOS!$A$4:$A$505,"&lt;="&amp;EOMONTH($B$2,0)),0))</f>
        <v>208</v>
      </c>
      <c r="O92" s="78">
        <f>IF(OR(O$73="",$A92=""),"",IFERROR(SUMIFS(COBROS_DIARIOS!$K$4:$K$505,COBROS_DIARIOS!$E$4:$E$505,O$73,COBROS_DIARIOS!$F$4:$F$505,$A92,COBROS_DIARIOS!$A$4:$A$505,"&gt;="&amp;$B$2,COBROS_DIARIOS!$A$4:$A$505,"&lt;="&amp;EOMONTH($B$2,0)),0))</f>
        <v>573</v>
      </c>
      <c r="P92" s="78">
        <f>IF(OR(P$73="",$A92=""),"",IFERROR(SUMIFS(COBROS_DIARIOS!$K$4:$K$505,COBROS_DIARIOS!$E$4:$E$505,P$73,COBROS_DIARIOS!$F$4:$F$505,$A92,COBROS_DIARIOS!$A$4:$A$505,"&gt;="&amp;$B$2,COBROS_DIARIOS!$A$4:$A$505,"&lt;="&amp;EOMONTH($B$2,0)),0))</f>
        <v>0</v>
      </c>
      <c r="Q92" s="78">
        <f>IF(OR(Q$73="",$A92=""),"",IFERROR(SUMIFS(COBROS_DIARIOS!$K$4:$K$505,COBROS_DIARIOS!$E$4:$E$505,Q$73,COBROS_DIARIOS!$F$4:$F$505,$A92,COBROS_DIARIOS!$A$4:$A$505,"&gt;="&amp;$B$2,COBROS_DIARIOS!$A$4:$A$505,"&lt;="&amp;EOMONTH($B$2,0)),0))</f>
        <v>0</v>
      </c>
      <c r="R92" s="78">
        <f>IF(OR(R$73="",$A92=""),"",IFERROR(SUMIFS(COBROS_DIARIOS!$K$4:$K$505,COBROS_DIARIOS!$E$4:$E$505,R$73,COBROS_DIARIOS!$F$4:$F$505,$A92,COBROS_DIARIOS!$A$4:$A$505,"&gt;="&amp;$B$2,COBROS_DIARIOS!$A$4:$A$505,"&lt;="&amp;EOMONTH($B$2,0)),0))</f>
        <v>71</v>
      </c>
      <c r="S92" s="78" t="str">
        <f>IF(OR(S$73="",$A92=""),"",IFERROR(SUMIFS(COBROS_DIARIOS!$K$4:$K$505,COBROS_DIARIOS!$E$4:$E$505,S$73,COBROS_DIARIOS!$F$4:$F$505,$A92,COBROS_DIARIOS!$A$4:$A$505,"&gt;="&amp;$B$2,COBROS_DIARIOS!$A$4:$A$505,"&lt;="&amp;EOMONTH($B$2,0)),0))</f>
        <v/>
      </c>
      <c r="T92" s="78" t="str">
        <f>IF(OR(T$73="",$A92=""),"",IFERROR(SUMIFS(COBROS_DIARIOS!$K$4:$K$505,COBROS_DIARIOS!$E$4:$E$505,T$73,COBROS_DIARIOS!$F$4:$F$505,$A92,COBROS_DIARIOS!$A$4:$A$505,"&gt;="&amp;$B$2,COBROS_DIARIOS!$A$4:$A$505,"&lt;="&amp;EOMONTH($B$2,0)),0))</f>
        <v/>
      </c>
      <c r="U92" s="78" t="str">
        <f>IF(OR(U$73="",$A92=""),"",IFERROR(SUMIFS(COBROS_DIARIOS!$K$4:$K$505,COBROS_DIARIOS!$E$4:$E$505,U$73,COBROS_DIARIOS!$F$4:$F$505,$A92,COBROS_DIARIOS!$A$4:$A$505,"&gt;="&amp;$B$2,COBROS_DIARIOS!$A$4:$A$505,"&lt;="&amp;EOMONTH($B$2,0)),0))</f>
        <v/>
      </c>
      <c r="V92" s="78" t="str">
        <f>IF(OR(V$73="",$A92=""),"",IFERROR(SUMIFS(COBROS_DIARIOS!$K$4:$K$505,COBROS_DIARIOS!$E$4:$E$505,V$73,COBROS_DIARIOS!$F$4:$F$505,$A92,COBROS_DIARIOS!$A$4:$A$505,"&gt;="&amp;$B$2,COBROS_DIARIOS!$A$4:$A$505,"&lt;="&amp;EOMONTH($B$2,0)),0))</f>
        <v/>
      </c>
      <c r="W92" s="78" t="str">
        <f>IF(OR(W$73="",$A92=""),"",IFERROR(SUMIFS(COBROS_DIARIOS!$K$4:$K$505,COBROS_DIARIOS!$E$4:$E$505,W$73,COBROS_DIARIOS!$F$4:$F$505,$A92,COBROS_DIARIOS!$A$4:$A$505,"&gt;="&amp;$B$2,COBROS_DIARIOS!$A$4:$A$505,"&lt;="&amp;EOMONTH($B$2,0)),0))</f>
        <v/>
      </c>
      <c r="X92" s="78" t="str">
        <f>IF(OR(X$73="",$A92=""),"",IFERROR(SUMIFS(COBROS_DIARIOS!$K$4:$K$505,COBROS_DIARIOS!$E$4:$E$505,X$73,COBROS_DIARIOS!$F$4:$F$505,$A92,COBROS_DIARIOS!$A$4:$A$505,"&gt;="&amp;$B$2,COBROS_DIARIOS!$A$4:$A$505,"&lt;="&amp;EOMONTH($B$2,0)),0))</f>
        <v/>
      </c>
      <c r="Y92" s="78" t="str">
        <f>IF(OR(Y$73="",$A92=""),"",IFERROR(SUMIFS(COBROS_DIARIOS!$K$4:$K$505,COBROS_DIARIOS!$E$4:$E$505,Y$73,COBROS_DIARIOS!$F$4:$F$505,$A92,COBROS_DIARIOS!$A$4:$A$505,"&gt;="&amp;$B$2,COBROS_DIARIOS!$A$4:$A$505,"&lt;="&amp;EOMONTH($B$2,0)),0))</f>
        <v/>
      </c>
      <c r="Z92" s="78" t="str">
        <f>IF(OR(Z$73="",$A92=""),"",IFERROR(SUMIFS(COBROS_DIARIOS!$K$4:$K$505,COBROS_DIARIOS!$E$4:$E$505,Z$73,COBROS_DIARIOS!$F$4:$F$505,$A92,COBROS_DIARIOS!$A$4:$A$505,"&gt;="&amp;$B$2,COBROS_DIARIOS!$A$4:$A$505,"&lt;="&amp;EOMONTH($B$2,0)),0))</f>
        <v/>
      </c>
      <c r="AA92" s="79">
        <f t="shared" si="3"/>
        <v>4228</v>
      </c>
    </row>
    <row r="93" ht="15.0" customHeight="1">
      <c r="A93" s="65" t="str">
        <f>IFERROR(IF(COLORES!A23="","",COLORES!A23),"")</f>
        <v>Verde Hoja</v>
      </c>
      <c r="B93" s="78">
        <f>IF(OR(B$73="",$A93=""),"",IFERROR(SUMIFS(COBROS_DIARIOS!$K$4:$K$505,COBROS_DIARIOS!$E$4:$E$505,B$73,COBROS_DIARIOS!$F$4:$F$505,$A93,COBROS_DIARIOS!$A$4:$A$505,"&gt;="&amp;$B$2,COBROS_DIARIOS!$A$4:$A$505,"&lt;="&amp;EOMONTH($B$2,0)),0))</f>
        <v>0</v>
      </c>
      <c r="C93" s="78">
        <f>IF(OR(C$73="",$A93=""),"",IFERROR(SUMIFS(COBROS_DIARIOS!$K$4:$K$505,COBROS_DIARIOS!$E$4:$E$505,C$73,COBROS_DIARIOS!$F$4:$F$505,$A93,COBROS_DIARIOS!$A$4:$A$505,"&gt;="&amp;$B$2,COBROS_DIARIOS!$A$4:$A$505,"&lt;="&amp;EOMONTH($B$2,0)),0))</f>
        <v>0</v>
      </c>
      <c r="D93" s="78">
        <f>IF(OR(D$73="",$A93=""),"",IFERROR(SUMIFS(COBROS_DIARIOS!$K$4:$K$505,COBROS_DIARIOS!$E$4:$E$505,D$73,COBROS_DIARIOS!$F$4:$F$505,$A93,COBROS_DIARIOS!$A$4:$A$505,"&gt;="&amp;$B$2,COBROS_DIARIOS!$A$4:$A$505,"&lt;="&amp;EOMONTH($B$2,0)),0))</f>
        <v>0</v>
      </c>
      <c r="E93" s="78">
        <f>IF(OR(E$73="",$A93=""),"",IFERROR(SUMIFS(COBROS_DIARIOS!$K$4:$K$505,COBROS_DIARIOS!$E$4:$E$505,E$73,COBROS_DIARIOS!$F$4:$F$505,$A93,COBROS_DIARIOS!$A$4:$A$505,"&gt;="&amp;$B$2,COBROS_DIARIOS!$A$4:$A$505,"&lt;="&amp;EOMONTH($B$2,0)),0))</f>
        <v>0</v>
      </c>
      <c r="F93" s="78">
        <f>IF(OR(F$73="",$A93=""),"",IFERROR(SUMIFS(COBROS_DIARIOS!$K$4:$K$505,COBROS_DIARIOS!$E$4:$E$505,F$73,COBROS_DIARIOS!$F$4:$F$505,$A93,COBROS_DIARIOS!$A$4:$A$505,"&gt;="&amp;$B$2,COBROS_DIARIOS!$A$4:$A$505,"&lt;="&amp;EOMONTH($B$2,0)),0))</f>
        <v>0</v>
      </c>
      <c r="G93" s="78">
        <f>IF(OR(G$73="",$A93=""),"",IFERROR(SUMIFS(COBROS_DIARIOS!$K$4:$K$505,COBROS_DIARIOS!$E$4:$E$505,G$73,COBROS_DIARIOS!$F$4:$F$505,$A93,COBROS_DIARIOS!$A$4:$A$505,"&gt;="&amp;$B$2,COBROS_DIARIOS!$A$4:$A$505,"&lt;="&amp;EOMONTH($B$2,0)),0))</f>
        <v>0</v>
      </c>
      <c r="H93" s="78">
        <f>IF(OR(H$73="",$A93=""),"",IFERROR(SUMIFS(COBROS_DIARIOS!$K$4:$K$505,COBROS_DIARIOS!$E$4:$E$505,H$73,COBROS_DIARIOS!$F$4:$F$505,$A93,COBROS_DIARIOS!$A$4:$A$505,"&gt;="&amp;$B$2,COBROS_DIARIOS!$A$4:$A$505,"&lt;="&amp;EOMONTH($B$2,0)),0))</f>
        <v>0</v>
      </c>
      <c r="I93" s="78">
        <f>IF(OR(I$73="",$A93=""),"",IFERROR(SUMIFS(COBROS_DIARIOS!$K$4:$K$505,COBROS_DIARIOS!$E$4:$E$505,I$73,COBROS_DIARIOS!$F$4:$F$505,$A93,COBROS_DIARIOS!$A$4:$A$505,"&gt;="&amp;$B$2,COBROS_DIARIOS!$A$4:$A$505,"&lt;="&amp;EOMONTH($B$2,0)),0))</f>
        <v>0</v>
      </c>
      <c r="J93" s="78">
        <f>IF(OR(J$73="",$A93=""),"",IFERROR(SUMIFS(COBROS_DIARIOS!$K$4:$K$505,COBROS_DIARIOS!$E$4:$E$505,J$73,COBROS_DIARIOS!$F$4:$F$505,$A93,COBROS_DIARIOS!$A$4:$A$505,"&gt;="&amp;$B$2,COBROS_DIARIOS!$A$4:$A$505,"&lt;="&amp;EOMONTH($B$2,0)),0))</f>
        <v>0</v>
      </c>
      <c r="K93" s="78">
        <f>IF(OR(K$73="",$A93=""),"",IFERROR(SUMIFS(COBROS_DIARIOS!$K$4:$K$505,COBROS_DIARIOS!$E$4:$E$505,K$73,COBROS_DIARIOS!$F$4:$F$505,$A93,COBROS_DIARIOS!$A$4:$A$505,"&gt;="&amp;$B$2,COBROS_DIARIOS!$A$4:$A$505,"&lt;="&amp;EOMONTH($B$2,0)),0))</f>
        <v>0</v>
      </c>
      <c r="L93" s="78">
        <f>IF(OR(L$73="",$A93=""),"",IFERROR(SUMIFS(COBROS_DIARIOS!$K$4:$K$505,COBROS_DIARIOS!$E$4:$E$505,L$73,COBROS_DIARIOS!$F$4:$F$505,$A93,COBROS_DIARIOS!$A$4:$A$505,"&gt;="&amp;$B$2,COBROS_DIARIOS!$A$4:$A$505,"&lt;="&amp;EOMONTH($B$2,0)),0))</f>
        <v>0</v>
      </c>
      <c r="M93" s="78">
        <f>IF(OR(M$73="",$A93=""),"",IFERROR(SUMIFS(COBROS_DIARIOS!$K$4:$K$505,COBROS_DIARIOS!$E$4:$E$505,M$73,COBROS_DIARIOS!$F$4:$F$505,$A93,COBROS_DIARIOS!$A$4:$A$505,"&gt;="&amp;$B$2,COBROS_DIARIOS!$A$4:$A$505,"&lt;="&amp;EOMONTH($B$2,0)),0))</f>
        <v>0</v>
      </c>
      <c r="N93" s="78">
        <f>IF(OR(N$73="",$A93=""),"",IFERROR(SUMIFS(COBROS_DIARIOS!$K$4:$K$505,COBROS_DIARIOS!$E$4:$E$505,N$73,COBROS_DIARIOS!$F$4:$F$505,$A93,COBROS_DIARIOS!$A$4:$A$505,"&gt;="&amp;$B$2,COBROS_DIARIOS!$A$4:$A$505,"&lt;="&amp;EOMONTH($B$2,0)),0))</f>
        <v>0</v>
      </c>
      <c r="O93" s="78">
        <f>IF(OR(O$73="",$A93=""),"",IFERROR(SUMIFS(COBROS_DIARIOS!$K$4:$K$505,COBROS_DIARIOS!$E$4:$E$505,O$73,COBROS_DIARIOS!$F$4:$F$505,$A93,COBROS_DIARIOS!$A$4:$A$505,"&gt;="&amp;$B$2,COBROS_DIARIOS!$A$4:$A$505,"&lt;="&amp;EOMONTH($B$2,0)),0))</f>
        <v>0</v>
      </c>
      <c r="P93" s="78">
        <f>IF(OR(P$73="",$A93=""),"",IFERROR(SUMIFS(COBROS_DIARIOS!$K$4:$K$505,COBROS_DIARIOS!$E$4:$E$505,P$73,COBROS_DIARIOS!$F$4:$F$505,$A93,COBROS_DIARIOS!$A$4:$A$505,"&gt;="&amp;$B$2,COBROS_DIARIOS!$A$4:$A$505,"&lt;="&amp;EOMONTH($B$2,0)),0))</f>
        <v>0</v>
      </c>
      <c r="Q93" s="78">
        <f>IF(OR(Q$73="",$A93=""),"",IFERROR(SUMIFS(COBROS_DIARIOS!$K$4:$K$505,COBROS_DIARIOS!$E$4:$E$505,Q$73,COBROS_DIARIOS!$F$4:$F$505,$A93,COBROS_DIARIOS!$A$4:$A$505,"&gt;="&amp;$B$2,COBROS_DIARIOS!$A$4:$A$505,"&lt;="&amp;EOMONTH($B$2,0)),0))</f>
        <v>0</v>
      </c>
      <c r="R93" s="78">
        <f>IF(OR(R$73="",$A93=""),"",IFERROR(SUMIFS(COBROS_DIARIOS!$K$4:$K$505,COBROS_DIARIOS!$E$4:$E$505,R$73,COBROS_DIARIOS!$F$4:$F$505,$A93,COBROS_DIARIOS!$A$4:$A$505,"&gt;="&amp;$B$2,COBROS_DIARIOS!$A$4:$A$505,"&lt;="&amp;EOMONTH($B$2,0)),0))</f>
        <v>0</v>
      </c>
      <c r="S93" s="78" t="str">
        <f>IF(OR(S$73="",$A93=""),"",IFERROR(SUMIFS(COBROS_DIARIOS!$K$4:$K$505,COBROS_DIARIOS!$E$4:$E$505,S$73,COBROS_DIARIOS!$F$4:$F$505,$A93,COBROS_DIARIOS!$A$4:$A$505,"&gt;="&amp;$B$2,COBROS_DIARIOS!$A$4:$A$505,"&lt;="&amp;EOMONTH($B$2,0)),0))</f>
        <v/>
      </c>
      <c r="T93" s="78" t="str">
        <f>IF(OR(T$73="",$A93=""),"",IFERROR(SUMIFS(COBROS_DIARIOS!$K$4:$K$505,COBROS_DIARIOS!$E$4:$E$505,T$73,COBROS_DIARIOS!$F$4:$F$505,$A93,COBROS_DIARIOS!$A$4:$A$505,"&gt;="&amp;$B$2,COBROS_DIARIOS!$A$4:$A$505,"&lt;="&amp;EOMONTH($B$2,0)),0))</f>
        <v/>
      </c>
      <c r="U93" s="78" t="str">
        <f>IF(OR(U$73="",$A93=""),"",IFERROR(SUMIFS(COBROS_DIARIOS!$K$4:$K$505,COBROS_DIARIOS!$E$4:$E$505,U$73,COBROS_DIARIOS!$F$4:$F$505,$A93,COBROS_DIARIOS!$A$4:$A$505,"&gt;="&amp;$B$2,COBROS_DIARIOS!$A$4:$A$505,"&lt;="&amp;EOMONTH($B$2,0)),0))</f>
        <v/>
      </c>
      <c r="V93" s="78" t="str">
        <f>IF(OR(V$73="",$A93=""),"",IFERROR(SUMIFS(COBROS_DIARIOS!$K$4:$K$505,COBROS_DIARIOS!$E$4:$E$505,V$73,COBROS_DIARIOS!$F$4:$F$505,$A93,COBROS_DIARIOS!$A$4:$A$505,"&gt;="&amp;$B$2,COBROS_DIARIOS!$A$4:$A$505,"&lt;="&amp;EOMONTH($B$2,0)),0))</f>
        <v/>
      </c>
      <c r="W93" s="78" t="str">
        <f>IF(OR(W$73="",$A93=""),"",IFERROR(SUMIFS(COBROS_DIARIOS!$K$4:$K$505,COBROS_DIARIOS!$E$4:$E$505,W$73,COBROS_DIARIOS!$F$4:$F$505,$A93,COBROS_DIARIOS!$A$4:$A$505,"&gt;="&amp;$B$2,COBROS_DIARIOS!$A$4:$A$505,"&lt;="&amp;EOMONTH($B$2,0)),0))</f>
        <v/>
      </c>
      <c r="X93" s="78" t="str">
        <f>IF(OR(X$73="",$A93=""),"",IFERROR(SUMIFS(COBROS_DIARIOS!$K$4:$K$505,COBROS_DIARIOS!$E$4:$E$505,X$73,COBROS_DIARIOS!$F$4:$F$505,$A93,COBROS_DIARIOS!$A$4:$A$505,"&gt;="&amp;$B$2,COBROS_DIARIOS!$A$4:$A$505,"&lt;="&amp;EOMONTH($B$2,0)),0))</f>
        <v/>
      </c>
      <c r="Y93" s="78" t="str">
        <f>IF(OR(Y$73="",$A93=""),"",IFERROR(SUMIFS(COBROS_DIARIOS!$K$4:$K$505,COBROS_DIARIOS!$E$4:$E$505,Y$73,COBROS_DIARIOS!$F$4:$F$505,$A93,COBROS_DIARIOS!$A$4:$A$505,"&gt;="&amp;$B$2,COBROS_DIARIOS!$A$4:$A$505,"&lt;="&amp;EOMONTH($B$2,0)),0))</f>
        <v/>
      </c>
      <c r="Z93" s="78" t="str">
        <f>IF(OR(Z$73="",$A93=""),"",IFERROR(SUMIFS(COBROS_DIARIOS!$K$4:$K$505,COBROS_DIARIOS!$E$4:$E$505,Z$73,COBROS_DIARIOS!$F$4:$F$505,$A93,COBROS_DIARIOS!$A$4:$A$505,"&gt;="&amp;$B$2,COBROS_DIARIOS!$A$4:$A$505,"&lt;="&amp;EOMONTH($B$2,0)),0))</f>
        <v/>
      </c>
      <c r="AA93" s="79">
        <f t="shared" si="3"/>
        <v>0</v>
      </c>
    </row>
    <row r="94" ht="15.0" customHeight="1">
      <c r="A94" s="65" t="str">
        <f>IFERROR(IF(COLORES!A24="","",COLORES!A24),"")</f>
        <v>Rosado</v>
      </c>
      <c r="B94" s="78">
        <f>IF(OR(B$73="",$A94=""),"",IFERROR(SUMIFS(COBROS_DIARIOS!$K$4:$K$505,COBROS_DIARIOS!$E$4:$E$505,B$73,COBROS_DIARIOS!$F$4:$F$505,$A94,COBROS_DIARIOS!$A$4:$A$505,"&gt;="&amp;$B$2,COBROS_DIARIOS!$A$4:$A$505,"&lt;="&amp;EOMONTH($B$2,0)),0))</f>
        <v>0</v>
      </c>
      <c r="C94" s="78">
        <f>IF(OR(C$73="",$A94=""),"",IFERROR(SUMIFS(COBROS_DIARIOS!$K$4:$K$505,COBROS_DIARIOS!$E$4:$E$505,C$73,COBROS_DIARIOS!$F$4:$F$505,$A94,COBROS_DIARIOS!$A$4:$A$505,"&gt;="&amp;$B$2,COBROS_DIARIOS!$A$4:$A$505,"&lt;="&amp;EOMONTH($B$2,0)),0))</f>
        <v>0</v>
      </c>
      <c r="D94" s="78">
        <f>IF(OR(D$73="",$A94=""),"",IFERROR(SUMIFS(COBROS_DIARIOS!$K$4:$K$505,COBROS_DIARIOS!$E$4:$E$505,D$73,COBROS_DIARIOS!$F$4:$F$505,$A94,COBROS_DIARIOS!$A$4:$A$505,"&gt;="&amp;$B$2,COBROS_DIARIOS!$A$4:$A$505,"&lt;="&amp;EOMONTH($B$2,0)),0))</f>
        <v>0</v>
      </c>
      <c r="E94" s="78">
        <f>IF(OR(E$73="",$A94=""),"",IFERROR(SUMIFS(COBROS_DIARIOS!$K$4:$K$505,COBROS_DIARIOS!$E$4:$E$505,E$73,COBROS_DIARIOS!$F$4:$F$505,$A94,COBROS_DIARIOS!$A$4:$A$505,"&gt;="&amp;$B$2,COBROS_DIARIOS!$A$4:$A$505,"&lt;="&amp;EOMONTH($B$2,0)),0))</f>
        <v>0</v>
      </c>
      <c r="F94" s="78">
        <f>IF(OR(F$73="",$A94=""),"",IFERROR(SUMIFS(COBROS_DIARIOS!$K$4:$K$505,COBROS_DIARIOS!$E$4:$E$505,F$73,COBROS_DIARIOS!$F$4:$F$505,$A94,COBROS_DIARIOS!$A$4:$A$505,"&gt;="&amp;$B$2,COBROS_DIARIOS!$A$4:$A$505,"&lt;="&amp;EOMONTH($B$2,0)),0))</f>
        <v>0</v>
      </c>
      <c r="G94" s="78">
        <f>IF(OR(G$73="",$A94=""),"",IFERROR(SUMIFS(COBROS_DIARIOS!$K$4:$K$505,COBROS_DIARIOS!$E$4:$E$505,G$73,COBROS_DIARIOS!$F$4:$F$505,$A94,COBROS_DIARIOS!$A$4:$A$505,"&gt;="&amp;$B$2,COBROS_DIARIOS!$A$4:$A$505,"&lt;="&amp;EOMONTH($B$2,0)),0))</f>
        <v>0</v>
      </c>
      <c r="H94" s="78">
        <f>IF(OR(H$73="",$A94=""),"",IFERROR(SUMIFS(COBROS_DIARIOS!$K$4:$K$505,COBROS_DIARIOS!$E$4:$E$505,H$73,COBROS_DIARIOS!$F$4:$F$505,$A94,COBROS_DIARIOS!$A$4:$A$505,"&gt;="&amp;$B$2,COBROS_DIARIOS!$A$4:$A$505,"&lt;="&amp;EOMONTH($B$2,0)),0))</f>
        <v>0</v>
      </c>
      <c r="I94" s="78">
        <f>IF(OR(I$73="",$A94=""),"",IFERROR(SUMIFS(COBROS_DIARIOS!$K$4:$K$505,COBROS_DIARIOS!$E$4:$E$505,I$73,COBROS_DIARIOS!$F$4:$F$505,$A94,COBROS_DIARIOS!$A$4:$A$505,"&gt;="&amp;$B$2,COBROS_DIARIOS!$A$4:$A$505,"&lt;="&amp;EOMONTH($B$2,0)),0))</f>
        <v>0</v>
      </c>
      <c r="J94" s="78">
        <f>IF(OR(J$73="",$A94=""),"",IFERROR(SUMIFS(COBROS_DIARIOS!$K$4:$K$505,COBROS_DIARIOS!$E$4:$E$505,J$73,COBROS_DIARIOS!$F$4:$F$505,$A94,COBROS_DIARIOS!$A$4:$A$505,"&gt;="&amp;$B$2,COBROS_DIARIOS!$A$4:$A$505,"&lt;="&amp;EOMONTH($B$2,0)),0))</f>
        <v>0</v>
      </c>
      <c r="K94" s="78">
        <f>IF(OR(K$73="",$A94=""),"",IFERROR(SUMIFS(COBROS_DIARIOS!$K$4:$K$505,COBROS_DIARIOS!$E$4:$E$505,K$73,COBROS_DIARIOS!$F$4:$F$505,$A94,COBROS_DIARIOS!$A$4:$A$505,"&gt;="&amp;$B$2,COBROS_DIARIOS!$A$4:$A$505,"&lt;="&amp;EOMONTH($B$2,0)),0))</f>
        <v>0</v>
      </c>
      <c r="L94" s="78">
        <f>IF(OR(L$73="",$A94=""),"",IFERROR(SUMIFS(COBROS_DIARIOS!$K$4:$K$505,COBROS_DIARIOS!$E$4:$E$505,L$73,COBROS_DIARIOS!$F$4:$F$505,$A94,COBROS_DIARIOS!$A$4:$A$505,"&gt;="&amp;$B$2,COBROS_DIARIOS!$A$4:$A$505,"&lt;="&amp;EOMONTH($B$2,0)),0))</f>
        <v>0</v>
      </c>
      <c r="M94" s="78">
        <f>IF(OR(M$73="",$A94=""),"",IFERROR(SUMIFS(COBROS_DIARIOS!$K$4:$K$505,COBROS_DIARIOS!$E$4:$E$505,M$73,COBROS_DIARIOS!$F$4:$F$505,$A94,COBROS_DIARIOS!$A$4:$A$505,"&gt;="&amp;$B$2,COBROS_DIARIOS!$A$4:$A$505,"&lt;="&amp;EOMONTH($B$2,0)),0))</f>
        <v>0</v>
      </c>
      <c r="N94" s="78">
        <f>IF(OR(N$73="",$A94=""),"",IFERROR(SUMIFS(COBROS_DIARIOS!$K$4:$K$505,COBROS_DIARIOS!$E$4:$E$505,N$73,COBROS_DIARIOS!$F$4:$F$505,$A94,COBROS_DIARIOS!$A$4:$A$505,"&gt;="&amp;$B$2,COBROS_DIARIOS!$A$4:$A$505,"&lt;="&amp;EOMONTH($B$2,0)),0))</f>
        <v>0</v>
      </c>
      <c r="O94" s="78">
        <f>IF(OR(O$73="",$A94=""),"",IFERROR(SUMIFS(COBROS_DIARIOS!$K$4:$K$505,COBROS_DIARIOS!$E$4:$E$505,O$73,COBROS_DIARIOS!$F$4:$F$505,$A94,COBROS_DIARIOS!$A$4:$A$505,"&gt;="&amp;$B$2,COBROS_DIARIOS!$A$4:$A$505,"&lt;="&amp;EOMONTH($B$2,0)),0))</f>
        <v>0</v>
      </c>
      <c r="P94" s="78">
        <f>IF(OR(P$73="",$A94=""),"",IFERROR(SUMIFS(COBROS_DIARIOS!$K$4:$K$505,COBROS_DIARIOS!$E$4:$E$505,P$73,COBROS_DIARIOS!$F$4:$F$505,$A94,COBROS_DIARIOS!$A$4:$A$505,"&gt;="&amp;$B$2,COBROS_DIARIOS!$A$4:$A$505,"&lt;="&amp;EOMONTH($B$2,0)),0))</f>
        <v>0</v>
      </c>
      <c r="Q94" s="78">
        <f>IF(OR(Q$73="",$A94=""),"",IFERROR(SUMIFS(COBROS_DIARIOS!$K$4:$K$505,COBROS_DIARIOS!$E$4:$E$505,Q$73,COBROS_DIARIOS!$F$4:$F$505,$A94,COBROS_DIARIOS!$A$4:$A$505,"&gt;="&amp;$B$2,COBROS_DIARIOS!$A$4:$A$505,"&lt;="&amp;EOMONTH($B$2,0)),0))</f>
        <v>0</v>
      </c>
      <c r="R94" s="78">
        <f>IF(OR(R$73="",$A94=""),"",IFERROR(SUMIFS(COBROS_DIARIOS!$K$4:$K$505,COBROS_DIARIOS!$E$4:$E$505,R$73,COBROS_DIARIOS!$F$4:$F$505,$A94,COBROS_DIARIOS!$A$4:$A$505,"&gt;="&amp;$B$2,COBROS_DIARIOS!$A$4:$A$505,"&lt;="&amp;EOMONTH($B$2,0)),0))</f>
        <v>0</v>
      </c>
      <c r="S94" s="78" t="str">
        <f>IF(OR(S$73="",$A94=""),"",IFERROR(SUMIFS(COBROS_DIARIOS!$K$4:$K$505,COBROS_DIARIOS!$E$4:$E$505,S$73,COBROS_DIARIOS!$F$4:$F$505,$A94,COBROS_DIARIOS!$A$4:$A$505,"&gt;="&amp;$B$2,COBROS_DIARIOS!$A$4:$A$505,"&lt;="&amp;EOMONTH($B$2,0)),0))</f>
        <v/>
      </c>
      <c r="T94" s="78" t="str">
        <f>IF(OR(T$73="",$A94=""),"",IFERROR(SUMIFS(COBROS_DIARIOS!$K$4:$K$505,COBROS_DIARIOS!$E$4:$E$505,T$73,COBROS_DIARIOS!$F$4:$F$505,$A94,COBROS_DIARIOS!$A$4:$A$505,"&gt;="&amp;$B$2,COBROS_DIARIOS!$A$4:$A$505,"&lt;="&amp;EOMONTH($B$2,0)),0))</f>
        <v/>
      </c>
      <c r="U94" s="78" t="str">
        <f>IF(OR(U$73="",$A94=""),"",IFERROR(SUMIFS(COBROS_DIARIOS!$K$4:$K$505,COBROS_DIARIOS!$E$4:$E$505,U$73,COBROS_DIARIOS!$F$4:$F$505,$A94,COBROS_DIARIOS!$A$4:$A$505,"&gt;="&amp;$B$2,COBROS_DIARIOS!$A$4:$A$505,"&lt;="&amp;EOMONTH($B$2,0)),0))</f>
        <v/>
      </c>
      <c r="V94" s="78" t="str">
        <f>IF(OR(V$73="",$A94=""),"",IFERROR(SUMIFS(COBROS_DIARIOS!$K$4:$K$505,COBROS_DIARIOS!$E$4:$E$505,V$73,COBROS_DIARIOS!$F$4:$F$505,$A94,COBROS_DIARIOS!$A$4:$A$505,"&gt;="&amp;$B$2,COBROS_DIARIOS!$A$4:$A$505,"&lt;="&amp;EOMONTH($B$2,0)),0))</f>
        <v/>
      </c>
      <c r="W94" s="78" t="str">
        <f>IF(OR(W$73="",$A94=""),"",IFERROR(SUMIFS(COBROS_DIARIOS!$K$4:$K$505,COBROS_DIARIOS!$E$4:$E$505,W$73,COBROS_DIARIOS!$F$4:$F$505,$A94,COBROS_DIARIOS!$A$4:$A$505,"&gt;="&amp;$B$2,COBROS_DIARIOS!$A$4:$A$505,"&lt;="&amp;EOMONTH($B$2,0)),0))</f>
        <v/>
      </c>
      <c r="X94" s="78" t="str">
        <f>IF(OR(X$73="",$A94=""),"",IFERROR(SUMIFS(COBROS_DIARIOS!$K$4:$K$505,COBROS_DIARIOS!$E$4:$E$505,X$73,COBROS_DIARIOS!$F$4:$F$505,$A94,COBROS_DIARIOS!$A$4:$A$505,"&gt;="&amp;$B$2,COBROS_DIARIOS!$A$4:$A$505,"&lt;="&amp;EOMONTH($B$2,0)),0))</f>
        <v/>
      </c>
      <c r="Y94" s="78" t="str">
        <f>IF(OR(Y$73="",$A94=""),"",IFERROR(SUMIFS(COBROS_DIARIOS!$K$4:$K$505,COBROS_DIARIOS!$E$4:$E$505,Y$73,COBROS_DIARIOS!$F$4:$F$505,$A94,COBROS_DIARIOS!$A$4:$A$505,"&gt;="&amp;$B$2,COBROS_DIARIOS!$A$4:$A$505,"&lt;="&amp;EOMONTH($B$2,0)),0))</f>
        <v/>
      </c>
      <c r="Z94" s="78" t="str">
        <f>IF(OR(Z$73="",$A94=""),"",IFERROR(SUMIFS(COBROS_DIARIOS!$K$4:$K$505,COBROS_DIARIOS!$E$4:$E$505,Z$73,COBROS_DIARIOS!$F$4:$F$505,$A94,COBROS_DIARIOS!$A$4:$A$505,"&gt;="&amp;$B$2,COBROS_DIARIOS!$A$4:$A$505,"&lt;="&amp;EOMONTH($B$2,0)),0))</f>
        <v/>
      </c>
      <c r="AA94" s="79">
        <f t="shared" si="3"/>
        <v>0</v>
      </c>
    </row>
    <row r="95" ht="15.0" customHeight="1">
      <c r="A95" s="65" t="str">
        <f>IFERROR(IF(COLORES!A25="","",COLORES!A25),"")</f>
        <v>Cemento/Hoja</v>
      </c>
      <c r="B95" s="78">
        <f>IF(OR(B$73="",$A95=""),"",IFERROR(SUMIFS(COBROS_DIARIOS!$K$4:$K$505,COBROS_DIARIOS!$E$4:$E$505,B$73,COBROS_DIARIOS!$F$4:$F$505,$A95,COBROS_DIARIOS!$A$4:$A$505,"&gt;="&amp;$B$2,COBROS_DIARIOS!$A$4:$A$505,"&lt;="&amp;EOMONTH($B$2,0)),0))</f>
        <v>0</v>
      </c>
      <c r="C95" s="78">
        <f>IF(OR(C$73="",$A95=""),"",IFERROR(SUMIFS(COBROS_DIARIOS!$K$4:$K$505,COBROS_DIARIOS!$E$4:$E$505,C$73,COBROS_DIARIOS!$F$4:$F$505,$A95,COBROS_DIARIOS!$A$4:$A$505,"&gt;="&amp;$B$2,COBROS_DIARIOS!$A$4:$A$505,"&lt;="&amp;EOMONTH($B$2,0)),0))</f>
        <v>0</v>
      </c>
      <c r="D95" s="78">
        <f>IF(OR(D$73="",$A95=""),"",IFERROR(SUMIFS(COBROS_DIARIOS!$K$4:$K$505,COBROS_DIARIOS!$E$4:$E$505,D$73,COBROS_DIARIOS!$F$4:$F$505,$A95,COBROS_DIARIOS!$A$4:$A$505,"&gt;="&amp;$B$2,COBROS_DIARIOS!$A$4:$A$505,"&lt;="&amp;EOMONTH($B$2,0)),0))</f>
        <v>0</v>
      </c>
      <c r="E95" s="78">
        <f>IF(OR(E$73="",$A95=""),"",IFERROR(SUMIFS(COBROS_DIARIOS!$K$4:$K$505,COBROS_DIARIOS!$E$4:$E$505,E$73,COBROS_DIARIOS!$F$4:$F$505,$A95,COBROS_DIARIOS!$A$4:$A$505,"&gt;="&amp;$B$2,COBROS_DIARIOS!$A$4:$A$505,"&lt;="&amp;EOMONTH($B$2,0)),0))</f>
        <v>0</v>
      </c>
      <c r="F95" s="78">
        <f>IF(OR(F$73="",$A95=""),"",IFERROR(SUMIFS(COBROS_DIARIOS!$K$4:$K$505,COBROS_DIARIOS!$E$4:$E$505,F$73,COBROS_DIARIOS!$F$4:$F$505,$A95,COBROS_DIARIOS!$A$4:$A$505,"&gt;="&amp;$B$2,COBROS_DIARIOS!$A$4:$A$505,"&lt;="&amp;EOMONTH($B$2,0)),0))</f>
        <v>0</v>
      </c>
      <c r="G95" s="78">
        <f>IF(OR(G$73="",$A95=""),"",IFERROR(SUMIFS(COBROS_DIARIOS!$K$4:$K$505,COBROS_DIARIOS!$E$4:$E$505,G$73,COBROS_DIARIOS!$F$4:$F$505,$A95,COBROS_DIARIOS!$A$4:$A$505,"&gt;="&amp;$B$2,COBROS_DIARIOS!$A$4:$A$505,"&lt;="&amp;EOMONTH($B$2,0)),0))</f>
        <v>0</v>
      </c>
      <c r="H95" s="78">
        <f>IF(OR(H$73="",$A95=""),"",IFERROR(SUMIFS(COBROS_DIARIOS!$K$4:$K$505,COBROS_DIARIOS!$E$4:$E$505,H$73,COBROS_DIARIOS!$F$4:$F$505,$A95,COBROS_DIARIOS!$A$4:$A$505,"&gt;="&amp;$B$2,COBROS_DIARIOS!$A$4:$A$505,"&lt;="&amp;EOMONTH($B$2,0)),0))</f>
        <v>0</v>
      </c>
      <c r="I95" s="78">
        <f>IF(OR(I$73="",$A95=""),"",IFERROR(SUMIFS(COBROS_DIARIOS!$K$4:$K$505,COBROS_DIARIOS!$E$4:$E$505,I$73,COBROS_DIARIOS!$F$4:$F$505,$A95,COBROS_DIARIOS!$A$4:$A$505,"&gt;="&amp;$B$2,COBROS_DIARIOS!$A$4:$A$505,"&lt;="&amp;EOMONTH($B$2,0)),0))</f>
        <v>0</v>
      </c>
      <c r="J95" s="78">
        <f>IF(OR(J$73="",$A95=""),"",IFERROR(SUMIFS(COBROS_DIARIOS!$K$4:$K$505,COBROS_DIARIOS!$E$4:$E$505,J$73,COBROS_DIARIOS!$F$4:$F$505,$A95,COBROS_DIARIOS!$A$4:$A$505,"&gt;="&amp;$B$2,COBROS_DIARIOS!$A$4:$A$505,"&lt;="&amp;EOMONTH($B$2,0)),0))</f>
        <v>0</v>
      </c>
      <c r="K95" s="78">
        <f>IF(OR(K$73="",$A95=""),"",IFERROR(SUMIFS(COBROS_DIARIOS!$K$4:$K$505,COBROS_DIARIOS!$E$4:$E$505,K$73,COBROS_DIARIOS!$F$4:$F$505,$A95,COBROS_DIARIOS!$A$4:$A$505,"&gt;="&amp;$B$2,COBROS_DIARIOS!$A$4:$A$505,"&lt;="&amp;EOMONTH($B$2,0)),0))</f>
        <v>0</v>
      </c>
      <c r="L95" s="78">
        <f>IF(OR(L$73="",$A95=""),"",IFERROR(SUMIFS(COBROS_DIARIOS!$K$4:$K$505,COBROS_DIARIOS!$E$4:$E$505,L$73,COBROS_DIARIOS!$F$4:$F$505,$A95,COBROS_DIARIOS!$A$4:$A$505,"&gt;="&amp;$B$2,COBROS_DIARIOS!$A$4:$A$505,"&lt;="&amp;EOMONTH($B$2,0)),0))</f>
        <v>0</v>
      </c>
      <c r="M95" s="78">
        <f>IF(OR(M$73="",$A95=""),"",IFERROR(SUMIFS(COBROS_DIARIOS!$K$4:$K$505,COBROS_DIARIOS!$E$4:$E$505,M$73,COBROS_DIARIOS!$F$4:$F$505,$A95,COBROS_DIARIOS!$A$4:$A$505,"&gt;="&amp;$B$2,COBROS_DIARIOS!$A$4:$A$505,"&lt;="&amp;EOMONTH($B$2,0)),0))</f>
        <v>0</v>
      </c>
      <c r="N95" s="78">
        <f>IF(OR(N$73="",$A95=""),"",IFERROR(SUMIFS(COBROS_DIARIOS!$K$4:$K$505,COBROS_DIARIOS!$E$4:$E$505,N$73,COBROS_DIARIOS!$F$4:$F$505,$A95,COBROS_DIARIOS!$A$4:$A$505,"&gt;="&amp;$B$2,COBROS_DIARIOS!$A$4:$A$505,"&lt;="&amp;EOMONTH($B$2,0)),0))</f>
        <v>0</v>
      </c>
      <c r="O95" s="78">
        <f>IF(OR(O$73="",$A95=""),"",IFERROR(SUMIFS(COBROS_DIARIOS!$K$4:$K$505,COBROS_DIARIOS!$E$4:$E$505,O$73,COBROS_DIARIOS!$F$4:$F$505,$A95,COBROS_DIARIOS!$A$4:$A$505,"&gt;="&amp;$B$2,COBROS_DIARIOS!$A$4:$A$505,"&lt;="&amp;EOMONTH($B$2,0)),0))</f>
        <v>0</v>
      </c>
      <c r="P95" s="78">
        <f>IF(OR(P$73="",$A95=""),"",IFERROR(SUMIFS(COBROS_DIARIOS!$K$4:$K$505,COBROS_DIARIOS!$E$4:$E$505,P$73,COBROS_DIARIOS!$F$4:$F$505,$A95,COBROS_DIARIOS!$A$4:$A$505,"&gt;="&amp;$B$2,COBROS_DIARIOS!$A$4:$A$505,"&lt;="&amp;EOMONTH($B$2,0)),0))</f>
        <v>0</v>
      </c>
      <c r="Q95" s="78">
        <f>IF(OR(Q$73="",$A95=""),"",IFERROR(SUMIFS(COBROS_DIARIOS!$K$4:$K$505,COBROS_DIARIOS!$E$4:$E$505,Q$73,COBROS_DIARIOS!$F$4:$F$505,$A95,COBROS_DIARIOS!$A$4:$A$505,"&gt;="&amp;$B$2,COBROS_DIARIOS!$A$4:$A$505,"&lt;="&amp;EOMONTH($B$2,0)),0))</f>
        <v>0</v>
      </c>
      <c r="R95" s="78">
        <f>IF(OR(R$73="",$A95=""),"",IFERROR(SUMIFS(COBROS_DIARIOS!$K$4:$K$505,COBROS_DIARIOS!$E$4:$E$505,R$73,COBROS_DIARIOS!$F$4:$F$505,$A95,COBROS_DIARIOS!$A$4:$A$505,"&gt;="&amp;$B$2,COBROS_DIARIOS!$A$4:$A$505,"&lt;="&amp;EOMONTH($B$2,0)),0))</f>
        <v>0</v>
      </c>
      <c r="S95" s="78" t="str">
        <f>IF(OR(S$73="",$A95=""),"",IFERROR(SUMIFS(COBROS_DIARIOS!$K$4:$K$505,COBROS_DIARIOS!$E$4:$E$505,S$73,COBROS_DIARIOS!$F$4:$F$505,$A95,COBROS_DIARIOS!$A$4:$A$505,"&gt;="&amp;$B$2,COBROS_DIARIOS!$A$4:$A$505,"&lt;="&amp;EOMONTH($B$2,0)),0))</f>
        <v/>
      </c>
      <c r="T95" s="78" t="str">
        <f>IF(OR(T$73="",$A95=""),"",IFERROR(SUMIFS(COBROS_DIARIOS!$K$4:$K$505,COBROS_DIARIOS!$E$4:$E$505,T$73,COBROS_DIARIOS!$F$4:$F$505,$A95,COBROS_DIARIOS!$A$4:$A$505,"&gt;="&amp;$B$2,COBROS_DIARIOS!$A$4:$A$505,"&lt;="&amp;EOMONTH($B$2,0)),0))</f>
        <v/>
      </c>
      <c r="U95" s="78" t="str">
        <f>IF(OR(U$73="",$A95=""),"",IFERROR(SUMIFS(COBROS_DIARIOS!$K$4:$K$505,COBROS_DIARIOS!$E$4:$E$505,U$73,COBROS_DIARIOS!$F$4:$F$505,$A95,COBROS_DIARIOS!$A$4:$A$505,"&gt;="&amp;$B$2,COBROS_DIARIOS!$A$4:$A$505,"&lt;="&amp;EOMONTH($B$2,0)),0))</f>
        <v/>
      </c>
      <c r="V95" s="78" t="str">
        <f>IF(OR(V$73="",$A95=""),"",IFERROR(SUMIFS(COBROS_DIARIOS!$K$4:$K$505,COBROS_DIARIOS!$E$4:$E$505,V$73,COBROS_DIARIOS!$F$4:$F$505,$A95,COBROS_DIARIOS!$A$4:$A$505,"&gt;="&amp;$B$2,COBROS_DIARIOS!$A$4:$A$505,"&lt;="&amp;EOMONTH($B$2,0)),0))</f>
        <v/>
      </c>
      <c r="W95" s="78" t="str">
        <f>IF(OR(W$73="",$A95=""),"",IFERROR(SUMIFS(COBROS_DIARIOS!$K$4:$K$505,COBROS_DIARIOS!$E$4:$E$505,W$73,COBROS_DIARIOS!$F$4:$F$505,$A95,COBROS_DIARIOS!$A$4:$A$505,"&gt;="&amp;$B$2,COBROS_DIARIOS!$A$4:$A$505,"&lt;="&amp;EOMONTH($B$2,0)),0))</f>
        <v/>
      </c>
      <c r="X95" s="78" t="str">
        <f>IF(OR(X$73="",$A95=""),"",IFERROR(SUMIFS(COBROS_DIARIOS!$K$4:$K$505,COBROS_DIARIOS!$E$4:$E$505,X$73,COBROS_DIARIOS!$F$4:$F$505,$A95,COBROS_DIARIOS!$A$4:$A$505,"&gt;="&amp;$B$2,COBROS_DIARIOS!$A$4:$A$505,"&lt;="&amp;EOMONTH($B$2,0)),0))</f>
        <v/>
      </c>
      <c r="Y95" s="78" t="str">
        <f>IF(OR(Y$73="",$A95=""),"",IFERROR(SUMIFS(COBROS_DIARIOS!$K$4:$K$505,COBROS_DIARIOS!$E$4:$E$505,Y$73,COBROS_DIARIOS!$F$4:$F$505,$A95,COBROS_DIARIOS!$A$4:$A$505,"&gt;="&amp;$B$2,COBROS_DIARIOS!$A$4:$A$505,"&lt;="&amp;EOMONTH($B$2,0)),0))</f>
        <v/>
      </c>
      <c r="Z95" s="78" t="str">
        <f>IF(OR(Z$73="",$A95=""),"",IFERROR(SUMIFS(COBROS_DIARIOS!$K$4:$K$505,COBROS_DIARIOS!$E$4:$E$505,Z$73,COBROS_DIARIOS!$F$4:$F$505,$A95,COBROS_DIARIOS!$A$4:$A$505,"&gt;="&amp;$B$2,COBROS_DIARIOS!$A$4:$A$505,"&lt;="&amp;EOMONTH($B$2,0)),0))</f>
        <v/>
      </c>
      <c r="AA95" s="79">
        <f t="shared" si="3"/>
        <v>0</v>
      </c>
    </row>
    <row r="96" ht="15.0" customHeight="1">
      <c r="A96" s="65" t="str">
        <f>IFERROR(IF(COLORES!A26="","",COLORES!A26),"")</f>
        <v>Colegial</v>
      </c>
      <c r="B96" s="78">
        <f>IF(OR(B$73="",$A96=""),"",IFERROR(SUMIFS(COBROS_DIARIOS!$K$4:$K$505,COBROS_DIARIOS!$E$4:$E$505,B$73,COBROS_DIARIOS!$F$4:$F$505,$A96,COBROS_DIARIOS!$A$4:$A$505,"&gt;="&amp;$B$2,COBROS_DIARIOS!$A$4:$A$505,"&lt;="&amp;EOMONTH($B$2,0)),0))</f>
        <v>990</v>
      </c>
      <c r="C96" s="78">
        <f>IF(OR(C$73="",$A96=""),"",IFERROR(SUMIFS(COBROS_DIARIOS!$K$4:$K$505,COBROS_DIARIOS!$E$4:$E$505,C$73,COBROS_DIARIOS!$F$4:$F$505,$A96,COBROS_DIARIOS!$A$4:$A$505,"&gt;="&amp;$B$2,COBROS_DIARIOS!$A$4:$A$505,"&lt;="&amp;EOMONTH($B$2,0)),0))</f>
        <v>357</v>
      </c>
      <c r="D96" s="78">
        <f>IF(OR(D$73="",$A96=""),"",IFERROR(SUMIFS(COBROS_DIARIOS!$K$4:$K$505,COBROS_DIARIOS!$E$4:$E$505,D$73,COBROS_DIARIOS!$F$4:$F$505,$A96,COBROS_DIARIOS!$A$4:$A$505,"&gt;="&amp;$B$2,COBROS_DIARIOS!$A$4:$A$505,"&lt;="&amp;EOMONTH($B$2,0)),0))</f>
        <v>191</v>
      </c>
      <c r="E96" s="78">
        <f>IF(OR(E$73="",$A96=""),"",IFERROR(SUMIFS(COBROS_DIARIOS!$K$4:$K$505,COBROS_DIARIOS!$E$4:$E$505,E$73,COBROS_DIARIOS!$F$4:$F$505,$A96,COBROS_DIARIOS!$A$4:$A$505,"&gt;="&amp;$B$2,COBROS_DIARIOS!$A$4:$A$505,"&lt;="&amp;EOMONTH($B$2,0)),0))</f>
        <v>119</v>
      </c>
      <c r="F96" s="78">
        <f>IF(OR(F$73="",$A96=""),"",IFERROR(SUMIFS(COBROS_DIARIOS!$K$4:$K$505,COBROS_DIARIOS!$E$4:$E$505,F$73,COBROS_DIARIOS!$F$4:$F$505,$A96,COBROS_DIARIOS!$A$4:$A$505,"&gt;="&amp;$B$2,COBROS_DIARIOS!$A$4:$A$505,"&lt;="&amp;EOMONTH($B$2,0)),0))</f>
        <v>0</v>
      </c>
      <c r="G96" s="78">
        <f>IF(OR(G$73="",$A96=""),"",IFERROR(SUMIFS(COBROS_DIARIOS!$K$4:$K$505,COBROS_DIARIOS!$E$4:$E$505,G$73,COBROS_DIARIOS!$F$4:$F$505,$A96,COBROS_DIARIOS!$A$4:$A$505,"&gt;="&amp;$B$2,COBROS_DIARIOS!$A$4:$A$505,"&lt;="&amp;EOMONTH($B$2,0)),0))</f>
        <v>0</v>
      </c>
      <c r="H96" s="78">
        <f>IF(OR(H$73="",$A96=""),"",IFERROR(SUMIFS(COBROS_DIARIOS!$K$4:$K$505,COBROS_DIARIOS!$E$4:$E$505,H$73,COBROS_DIARIOS!$F$4:$F$505,$A96,COBROS_DIARIOS!$A$4:$A$505,"&gt;="&amp;$B$2,COBROS_DIARIOS!$A$4:$A$505,"&lt;="&amp;EOMONTH($B$2,0)),0))</f>
        <v>0</v>
      </c>
      <c r="I96" s="78">
        <f>IF(OR(I$73="",$A96=""),"",IFERROR(SUMIFS(COBROS_DIARIOS!$K$4:$K$505,COBROS_DIARIOS!$E$4:$E$505,I$73,COBROS_DIARIOS!$F$4:$F$505,$A96,COBROS_DIARIOS!$A$4:$A$505,"&gt;="&amp;$B$2,COBROS_DIARIOS!$A$4:$A$505,"&lt;="&amp;EOMONTH($B$2,0)),0))</f>
        <v>0</v>
      </c>
      <c r="J96" s="78">
        <f>IF(OR(J$73="",$A96=""),"",IFERROR(SUMIFS(COBROS_DIARIOS!$K$4:$K$505,COBROS_DIARIOS!$E$4:$E$505,J$73,COBROS_DIARIOS!$F$4:$F$505,$A96,COBROS_DIARIOS!$A$4:$A$505,"&gt;="&amp;$B$2,COBROS_DIARIOS!$A$4:$A$505,"&lt;="&amp;EOMONTH($B$2,0)),0))</f>
        <v>0</v>
      </c>
      <c r="K96" s="78">
        <f>IF(OR(K$73="",$A96=""),"",IFERROR(SUMIFS(COBROS_DIARIOS!$K$4:$K$505,COBROS_DIARIOS!$E$4:$E$505,K$73,COBROS_DIARIOS!$F$4:$F$505,$A96,COBROS_DIARIOS!$A$4:$A$505,"&gt;="&amp;$B$2,COBROS_DIARIOS!$A$4:$A$505,"&lt;="&amp;EOMONTH($B$2,0)),0))</f>
        <v>190</v>
      </c>
      <c r="L96" s="78">
        <f>IF(OR(L$73="",$A96=""),"",IFERROR(SUMIFS(COBROS_DIARIOS!$K$4:$K$505,COBROS_DIARIOS!$E$4:$E$505,L$73,COBROS_DIARIOS!$F$4:$F$505,$A96,COBROS_DIARIOS!$A$4:$A$505,"&gt;="&amp;$B$2,COBROS_DIARIOS!$A$4:$A$505,"&lt;="&amp;EOMONTH($B$2,0)),0))</f>
        <v>100</v>
      </c>
      <c r="M96" s="78">
        <f>IF(OR(M$73="",$A96=""),"",IFERROR(SUMIFS(COBROS_DIARIOS!$K$4:$K$505,COBROS_DIARIOS!$E$4:$E$505,M$73,COBROS_DIARIOS!$F$4:$F$505,$A96,COBROS_DIARIOS!$A$4:$A$505,"&gt;="&amp;$B$2,COBROS_DIARIOS!$A$4:$A$505,"&lt;="&amp;EOMONTH($B$2,0)),0))</f>
        <v>167</v>
      </c>
      <c r="N96" s="78">
        <f>IF(OR(N$73="",$A96=""),"",IFERROR(SUMIFS(COBROS_DIARIOS!$K$4:$K$505,COBROS_DIARIOS!$E$4:$E$505,N$73,COBROS_DIARIOS!$F$4:$F$505,$A96,COBROS_DIARIOS!$A$4:$A$505,"&gt;="&amp;$B$2,COBROS_DIARIOS!$A$4:$A$505,"&lt;="&amp;EOMONTH($B$2,0)),0))</f>
        <v>172</v>
      </c>
      <c r="O96" s="78">
        <f>IF(OR(O$73="",$A96=""),"",IFERROR(SUMIFS(COBROS_DIARIOS!$K$4:$K$505,COBROS_DIARIOS!$E$4:$E$505,O$73,COBROS_DIARIOS!$F$4:$F$505,$A96,COBROS_DIARIOS!$A$4:$A$505,"&gt;="&amp;$B$2,COBROS_DIARIOS!$A$4:$A$505,"&lt;="&amp;EOMONTH($B$2,0)),0))</f>
        <v>479</v>
      </c>
      <c r="P96" s="78">
        <f>IF(OR(P$73="",$A96=""),"",IFERROR(SUMIFS(COBROS_DIARIOS!$K$4:$K$505,COBROS_DIARIOS!$E$4:$E$505,P$73,COBROS_DIARIOS!$F$4:$F$505,$A96,COBROS_DIARIOS!$A$4:$A$505,"&gt;="&amp;$B$2,COBROS_DIARIOS!$A$4:$A$505,"&lt;="&amp;EOMONTH($B$2,0)),0))</f>
        <v>116</v>
      </c>
      <c r="Q96" s="78">
        <f>IF(OR(Q$73="",$A96=""),"",IFERROR(SUMIFS(COBROS_DIARIOS!$K$4:$K$505,COBROS_DIARIOS!$E$4:$E$505,Q$73,COBROS_DIARIOS!$F$4:$F$505,$A96,COBROS_DIARIOS!$A$4:$A$505,"&gt;="&amp;$B$2,COBROS_DIARIOS!$A$4:$A$505,"&lt;="&amp;EOMONTH($B$2,0)),0))</f>
        <v>0</v>
      </c>
      <c r="R96" s="78">
        <f>IF(OR(R$73="",$A96=""),"",IFERROR(SUMIFS(COBROS_DIARIOS!$K$4:$K$505,COBROS_DIARIOS!$E$4:$E$505,R$73,COBROS_DIARIOS!$F$4:$F$505,$A96,COBROS_DIARIOS!$A$4:$A$505,"&gt;="&amp;$B$2,COBROS_DIARIOS!$A$4:$A$505,"&lt;="&amp;EOMONTH($B$2,0)),0))</f>
        <v>0</v>
      </c>
      <c r="S96" s="78" t="str">
        <f>IF(OR(S$73="",$A96=""),"",IFERROR(SUMIFS(COBROS_DIARIOS!$K$4:$K$505,COBROS_DIARIOS!$E$4:$E$505,S$73,COBROS_DIARIOS!$F$4:$F$505,$A96,COBROS_DIARIOS!$A$4:$A$505,"&gt;="&amp;$B$2,COBROS_DIARIOS!$A$4:$A$505,"&lt;="&amp;EOMONTH($B$2,0)),0))</f>
        <v/>
      </c>
      <c r="T96" s="78" t="str">
        <f>IF(OR(T$73="",$A96=""),"",IFERROR(SUMIFS(COBROS_DIARIOS!$K$4:$K$505,COBROS_DIARIOS!$E$4:$E$505,T$73,COBROS_DIARIOS!$F$4:$F$505,$A96,COBROS_DIARIOS!$A$4:$A$505,"&gt;="&amp;$B$2,COBROS_DIARIOS!$A$4:$A$505,"&lt;="&amp;EOMONTH($B$2,0)),0))</f>
        <v/>
      </c>
      <c r="U96" s="78" t="str">
        <f>IF(OR(U$73="",$A96=""),"",IFERROR(SUMIFS(COBROS_DIARIOS!$K$4:$K$505,COBROS_DIARIOS!$E$4:$E$505,U$73,COBROS_DIARIOS!$F$4:$F$505,$A96,COBROS_DIARIOS!$A$4:$A$505,"&gt;="&amp;$B$2,COBROS_DIARIOS!$A$4:$A$505,"&lt;="&amp;EOMONTH($B$2,0)),0))</f>
        <v/>
      </c>
      <c r="V96" s="78" t="str">
        <f>IF(OR(V$73="",$A96=""),"",IFERROR(SUMIFS(COBROS_DIARIOS!$K$4:$K$505,COBROS_DIARIOS!$E$4:$E$505,V$73,COBROS_DIARIOS!$F$4:$F$505,$A96,COBROS_DIARIOS!$A$4:$A$505,"&gt;="&amp;$B$2,COBROS_DIARIOS!$A$4:$A$505,"&lt;="&amp;EOMONTH($B$2,0)),0))</f>
        <v/>
      </c>
      <c r="W96" s="78" t="str">
        <f>IF(OR(W$73="",$A96=""),"",IFERROR(SUMIFS(COBROS_DIARIOS!$K$4:$K$505,COBROS_DIARIOS!$E$4:$E$505,W$73,COBROS_DIARIOS!$F$4:$F$505,$A96,COBROS_DIARIOS!$A$4:$A$505,"&gt;="&amp;$B$2,COBROS_DIARIOS!$A$4:$A$505,"&lt;="&amp;EOMONTH($B$2,0)),0))</f>
        <v/>
      </c>
      <c r="X96" s="78" t="str">
        <f>IF(OR(X$73="",$A96=""),"",IFERROR(SUMIFS(COBROS_DIARIOS!$K$4:$K$505,COBROS_DIARIOS!$E$4:$E$505,X$73,COBROS_DIARIOS!$F$4:$F$505,$A96,COBROS_DIARIOS!$A$4:$A$505,"&gt;="&amp;$B$2,COBROS_DIARIOS!$A$4:$A$505,"&lt;="&amp;EOMONTH($B$2,0)),0))</f>
        <v/>
      </c>
      <c r="Y96" s="78" t="str">
        <f>IF(OR(Y$73="",$A96=""),"",IFERROR(SUMIFS(COBROS_DIARIOS!$K$4:$K$505,COBROS_DIARIOS!$E$4:$E$505,Y$73,COBROS_DIARIOS!$F$4:$F$505,$A96,COBROS_DIARIOS!$A$4:$A$505,"&gt;="&amp;$B$2,COBROS_DIARIOS!$A$4:$A$505,"&lt;="&amp;EOMONTH($B$2,0)),0))</f>
        <v/>
      </c>
      <c r="Z96" s="78" t="str">
        <f>IF(OR(Z$73="",$A96=""),"",IFERROR(SUMIFS(COBROS_DIARIOS!$K$4:$K$505,COBROS_DIARIOS!$E$4:$E$505,Z$73,COBROS_DIARIOS!$F$4:$F$505,$A96,COBROS_DIARIOS!$A$4:$A$505,"&gt;="&amp;$B$2,COBROS_DIARIOS!$A$4:$A$505,"&lt;="&amp;EOMONTH($B$2,0)),0))</f>
        <v/>
      </c>
      <c r="AA96" s="79">
        <f t="shared" si="3"/>
        <v>2881</v>
      </c>
    </row>
    <row r="97" ht="15.0" customHeight="1">
      <c r="A97" s="65" t="str">
        <f>IFERROR(IF(COLORES!A27="","",COLORES!A27),"")</f>
        <v>Negro 1</v>
      </c>
      <c r="B97" s="78">
        <f>IF(OR(B$73="",$A97=""),"",IFERROR(SUMIFS(COBROS_DIARIOS!$K$4:$K$505,COBROS_DIARIOS!$E$4:$E$505,B$73,COBROS_DIARIOS!$F$4:$F$505,$A97,COBROS_DIARIOS!$A$4:$A$505,"&gt;="&amp;$B$2,COBROS_DIARIOS!$A$4:$A$505,"&lt;="&amp;EOMONTH($B$2,0)),0))</f>
        <v>0</v>
      </c>
      <c r="C97" s="78">
        <f>IF(OR(C$73="",$A97=""),"",IFERROR(SUMIFS(COBROS_DIARIOS!$K$4:$K$505,COBROS_DIARIOS!$E$4:$E$505,C$73,COBROS_DIARIOS!$F$4:$F$505,$A97,COBROS_DIARIOS!$A$4:$A$505,"&gt;="&amp;$B$2,COBROS_DIARIOS!$A$4:$A$505,"&lt;="&amp;EOMONTH($B$2,0)),0))</f>
        <v>0</v>
      </c>
      <c r="D97" s="78">
        <f>IF(OR(D$73="",$A97=""),"",IFERROR(SUMIFS(COBROS_DIARIOS!$K$4:$K$505,COBROS_DIARIOS!$E$4:$E$505,D$73,COBROS_DIARIOS!$F$4:$F$505,$A97,COBROS_DIARIOS!$A$4:$A$505,"&gt;="&amp;$B$2,COBROS_DIARIOS!$A$4:$A$505,"&lt;="&amp;EOMONTH($B$2,0)),0))</f>
        <v>0</v>
      </c>
      <c r="E97" s="78">
        <f>IF(OR(E$73="",$A97=""),"",IFERROR(SUMIFS(COBROS_DIARIOS!$K$4:$K$505,COBROS_DIARIOS!$E$4:$E$505,E$73,COBROS_DIARIOS!$F$4:$F$505,$A97,COBROS_DIARIOS!$A$4:$A$505,"&gt;="&amp;$B$2,COBROS_DIARIOS!$A$4:$A$505,"&lt;="&amp;EOMONTH($B$2,0)),0))</f>
        <v>0</v>
      </c>
      <c r="F97" s="78">
        <f>IF(OR(F$73="",$A97=""),"",IFERROR(SUMIFS(COBROS_DIARIOS!$K$4:$K$505,COBROS_DIARIOS!$E$4:$E$505,F$73,COBROS_DIARIOS!$F$4:$F$505,$A97,COBROS_DIARIOS!$A$4:$A$505,"&gt;="&amp;$B$2,COBROS_DIARIOS!$A$4:$A$505,"&lt;="&amp;EOMONTH($B$2,0)),0))</f>
        <v>0</v>
      </c>
      <c r="G97" s="78">
        <f>IF(OR(G$73="",$A97=""),"",IFERROR(SUMIFS(COBROS_DIARIOS!$K$4:$K$505,COBROS_DIARIOS!$E$4:$E$505,G$73,COBROS_DIARIOS!$F$4:$F$505,$A97,COBROS_DIARIOS!$A$4:$A$505,"&gt;="&amp;$B$2,COBROS_DIARIOS!$A$4:$A$505,"&lt;="&amp;EOMONTH($B$2,0)),0))</f>
        <v>0</v>
      </c>
      <c r="H97" s="78">
        <f>IF(OR(H$73="",$A97=""),"",IFERROR(SUMIFS(COBROS_DIARIOS!$K$4:$K$505,COBROS_DIARIOS!$E$4:$E$505,H$73,COBROS_DIARIOS!$F$4:$F$505,$A97,COBROS_DIARIOS!$A$4:$A$505,"&gt;="&amp;$B$2,COBROS_DIARIOS!$A$4:$A$505,"&lt;="&amp;EOMONTH($B$2,0)),0))</f>
        <v>0</v>
      </c>
      <c r="I97" s="78">
        <f>IF(OR(I$73="",$A97=""),"",IFERROR(SUMIFS(COBROS_DIARIOS!$K$4:$K$505,COBROS_DIARIOS!$E$4:$E$505,I$73,COBROS_DIARIOS!$F$4:$F$505,$A97,COBROS_DIARIOS!$A$4:$A$505,"&gt;="&amp;$B$2,COBROS_DIARIOS!$A$4:$A$505,"&lt;="&amp;EOMONTH($B$2,0)),0))</f>
        <v>0</v>
      </c>
      <c r="J97" s="78">
        <f>IF(OR(J$73="",$A97=""),"",IFERROR(SUMIFS(COBROS_DIARIOS!$K$4:$K$505,COBROS_DIARIOS!$E$4:$E$505,J$73,COBROS_DIARIOS!$F$4:$F$505,$A97,COBROS_DIARIOS!$A$4:$A$505,"&gt;="&amp;$B$2,COBROS_DIARIOS!$A$4:$A$505,"&lt;="&amp;EOMONTH($B$2,0)),0))</f>
        <v>0</v>
      </c>
      <c r="K97" s="78">
        <f>IF(OR(K$73="",$A97=""),"",IFERROR(SUMIFS(COBROS_DIARIOS!$K$4:$K$505,COBROS_DIARIOS!$E$4:$E$505,K$73,COBROS_DIARIOS!$F$4:$F$505,$A97,COBROS_DIARIOS!$A$4:$A$505,"&gt;="&amp;$B$2,COBROS_DIARIOS!$A$4:$A$505,"&lt;="&amp;EOMONTH($B$2,0)),0))</f>
        <v>0</v>
      </c>
      <c r="L97" s="78">
        <f>IF(OR(L$73="",$A97=""),"",IFERROR(SUMIFS(COBROS_DIARIOS!$K$4:$K$505,COBROS_DIARIOS!$E$4:$E$505,L$73,COBROS_DIARIOS!$F$4:$F$505,$A97,COBROS_DIARIOS!$A$4:$A$505,"&gt;="&amp;$B$2,COBROS_DIARIOS!$A$4:$A$505,"&lt;="&amp;EOMONTH($B$2,0)),0))</f>
        <v>0</v>
      </c>
      <c r="M97" s="78">
        <f>IF(OR(M$73="",$A97=""),"",IFERROR(SUMIFS(COBROS_DIARIOS!$K$4:$K$505,COBROS_DIARIOS!$E$4:$E$505,M$73,COBROS_DIARIOS!$F$4:$F$505,$A97,COBROS_DIARIOS!$A$4:$A$505,"&gt;="&amp;$B$2,COBROS_DIARIOS!$A$4:$A$505,"&lt;="&amp;EOMONTH($B$2,0)),0))</f>
        <v>0</v>
      </c>
      <c r="N97" s="78">
        <f>IF(OR(N$73="",$A97=""),"",IFERROR(SUMIFS(COBROS_DIARIOS!$K$4:$K$505,COBROS_DIARIOS!$E$4:$E$505,N$73,COBROS_DIARIOS!$F$4:$F$505,$A97,COBROS_DIARIOS!$A$4:$A$505,"&gt;="&amp;$B$2,COBROS_DIARIOS!$A$4:$A$505,"&lt;="&amp;EOMONTH($B$2,0)),0))</f>
        <v>0</v>
      </c>
      <c r="O97" s="78">
        <f>IF(OR(O$73="",$A97=""),"",IFERROR(SUMIFS(COBROS_DIARIOS!$K$4:$K$505,COBROS_DIARIOS!$E$4:$E$505,O$73,COBROS_DIARIOS!$F$4:$F$505,$A97,COBROS_DIARIOS!$A$4:$A$505,"&gt;="&amp;$B$2,COBROS_DIARIOS!$A$4:$A$505,"&lt;="&amp;EOMONTH($B$2,0)),0))</f>
        <v>0</v>
      </c>
      <c r="P97" s="78">
        <f>IF(OR(P$73="",$A97=""),"",IFERROR(SUMIFS(COBROS_DIARIOS!$K$4:$K$505,COBROS_DIARIOS!$E$4:$E$505,P$73,COBROS_DIARIOS!$F$4:$F$505,$A97,COBROS_DIARIOS!$A$4:$A$505,"&gt;="&amp;$B$2,COBROS_DIARIOS!$A$4:$A$505,"&lt;="&amp;EOMONTH($B$2,0)),0))</f>
        <v>0</v>
      </c>
      <c r="Q97" s="78">
        <f>IF(OR(Q$73="",$A97=""),"",IFERROR(SUMIFS(COBROS_DIARIOS!$K$4:$K$505,COBROS_DIARIOS!$E$4:$E$505,Q$73,COBROS_DIARIOS!$F$4:$F$505,$A97,COBROS_DIARIOS!$A$4:$A$505,"&gt;="&amp;$B$2,COBROS_DIARIOS!$A$4:$A$505,"&lt;="&amp;EOMONTH($B$2,0)),0))</f>
        <v>0</v>
      </c>
      <c r="R97" s="78">
        <f>IF(OR(R$73="",$A97=""),"",IFERROR(SUMIFS(COBROS_DIARIOS!$K$4:$K$505,COBROS_DIARIOS!$E$4:$E$505,R$73,COBROS_DIARIOS!$F$4:$F$505,$A97,COBROS_DIARIOS!$A$4:$A$505,"&gt;="&amp;$B$2,COBROS_DIARIOS!$A$4:$A$505,"&lt;="&amp;EOMONTH($B$2,0)),0))</f>
        <v>0</v>
      </c>
      <c r="S97" s="78" t="str">
        <f>IF(OR(S$73="",$A97=""),"",IFERROR(SUMIFS(COBROS_DIARIOS!$K$4:$K$505,COBROS_DIARIOS!$E$4:$E$505,S$73,COBROS_DIARIOS!$F$4:$F$505,$A97,COBROS_DIARIOS!$A$4:$A$505,"&gt;="&amp;$B$2,COBROS_DIARIOS!$A$4:$A$505,"&lt;="&amp;EOMONTH($B$2,0)),0))</f>
        <v/>
      </c>
      <c r="T97" s="78" t="str">
        <f>IF(OR(T$73="",$A97=""),"",IFERROR(SUMIFS(COBROS_DIARIOS!$K$4:$K$505,COBROS_DIARIOS!$E$4:$E$505,T$73,COBROS_DIARIOS!$F$4:$F$505,$A97,COBROS_DIARIOS!$A$4:$A$505,"&gt;="&amp;$B$2,COBROS_DIARIOS!$A$4:$A$505,"&lt;="&amp;EOMONTH($B$2,0)),0))</f>
        <v/>
      </c>
      <c r="U97" s="78" t="str">
        <f>IF(OR(U$73="",$A97=""),"",IFERROR(SUMIFS(COBROS_DIARIOS!$K$4:$K$505,COBROS_DIARIOS!$E$4:$E$505,U$73,COBROS_DIARIOS!$F$4:$F$505,$A97,COBROS_DIARIOS!$A$4:$A$505,"&gt;="&amp;$B$2,COBROS_DIARIOS!$A$4:$A$505,"&lt;="&amp;EOMONTH($B$2,0)),0))</f>
        <v/>
      </c>
      <c r="V97" s="78" t="str">
        <f>IF(OR(V$73="",$A97=""),"",IFERROR(SUMIFS(COBROS_DIARIOS!$K$4:$K$505,COBROS_DIARIOS!$E$4:$E$505,V$73,COBROS_DIARIOS!$F$4:$F$505,$A97,COBROS_DIARIOS!$A$4:$A$505,"&gt;="&amp;$B$2,COBROS_DIARIOS!$A$4:$A$505,"&lt;="&amp;EOMONTH($B$2,0)),0))</f>
        <v/>
      </c>
      <c r="W97" s="78" t="str">
        <f>IF(OR(W$73="",$A97=""),"",IFERROR(SUMIFS(COBROS_DIARIOS!$K$4:$K$505,COBROS_DIARIOS!$E$4:$E$505,W$73,COBROS_DIARIOS!$F$4:$F$505,$A97,COBROS_DIARIOS!$A$4:$A$505,"&gt;="&amp;$B$2,COBROS_DIARIOS!$A$4:$A$505,"&lt;="&amp;EOMONTH($B$2,0)),0))</f>
        <v/>
      </c>
      <c r="X97" s="78" t="str">
        <f>IF(OR(X$73="",$A97=""),"",IFERROR(SUMIFS(COBROS_DIARIOS!$K$4:$K$505,COBROS_DIARIOS!$E$4:$E$505,X$73,COBROS_DIARIOS!$F$4:$F$505,$A97,COBROS_DIARIOS!$A$4:$A$505,"&gt;="&amp;$B$2,COBROS_DIARIOS!$A$4:$A$505,"&lt;="&amp;EOMONTH($B$2,0)),0))</f>
        <v/>
      </c>
      <c r="Y97" s="78" t="str">
        <f>IF(OR(Y$73="",$A97=""),"",IFERROR(SUMIFS(COBROS_DIARIOS!$K$4:$K$505,COBROS_DIARIOS!$E$4:$E$505,Y$73,COBROS_DIARIOS!$F$4:$F$505,$A97,COBROS_DIARIOS!$A$4:$A$505,"&gt;="&amp;$B$2,COBROS_DIARIOS!$A$4:$A$505,"&lt;="&amp;EOMONTH($B$2,0)),0))</f>
        <v/>
      </c>
      <c r="Z97" s="78" t="str">
        <f>IF(OR(Z$73="",$A97=""),"",IFERROR(SUMIFS(COBROS_DIARIOS!$K$4:$K$505,COBROS_DIARIOS!$E$4:$E$505,Z$73,COBROS_DIARIOS!$F$4:$F$505,$A97,COBROS_DIARIOS!$A$4:$A$505,"&gt;="&amp;$B$2,COBROS_DIARIOS!$A$4:$A$505,"&lt;="&amp;EOMONTH($B$2,0)),0))</f>
        <v/>
      </c>
      <c r="AA97" s="79">
        <f t="shared" si="3"/>
        <v>0</v>
      </c>
    </row>
    <row r="98" ht="15.0" customHeight="1">
      <c r="A98" s="65" t="str">
        <f>IFERROR(IF(COLORES!A28="","",COLORES!A28),"")</f>
        <v>Negro 2</v>
      </c>
      <c r="B98" s="78">
        <f>IF(OR(B$73="",$A98=""),"",IFERROR(SUMIFS(COBROS_DIARIOS!$K$4:$K$505,COBROS_DIARIOS!$E$4:$E$505,B$73,COBROS_DIARIOS!$F$4:$F$505,$A98,COBROS_DIARIOS!$A$4:$A$505,"&gt;="&amp;$B$2,COBROS_DIARIOS!$A$4:$A$505,"&lt;="&amp;EOMONTH($B$2,0)),0))</f>
        <v>0</v>
      </c>
      <c r="C98" s="78">
        <f>IF(OR(C$73="",$A98=""),"",IFERROR(SUMIFS(COBROS_DIARIOS!$K$4:$K$505,COBROS_DIARIOS!$E$4:$E$505,C$73,COBROS_DIARIOS!$F$4:$F$505,$A98,COBROS_DIARIOS!$A$4:$A$505,"&gt;="&amp;$B$2,COBROS_DIARIOS!$A$4:$A$505,"&lt;="&amp;EOMONTH($B$2,0)),0))</f>
        <v>0</v>
      </c>
      <c r="D98" s="78">
        <f>IF(OR(D$73="",$A98=""),"",IFERROR(SUMIFS(COBROS_DIARIOS!$K$4:$K$505,COBROS_DIARIOS!$E$4:$E$505,D$73,COBROS_DIARIOS!$F$4:$F$505,$A98,COBROS_DIARIOS!$A$4:$A$505,"&gt;="&amp;$B$2,COBROS_DIARIOS!$A$4:$A$505,"&lt;="&amp;EOMONTH($B$2,0)),0))</f>
        <v>0</v>
      </c>
      <c r="E98" s="78">
        <f>IF(OR(E$73="",$A98=""),"",IFERROR(SUMIFS(COBROS_DIARIOS!$K$4:$K$505,COBROS_DIARIOS!$E$4:$E$505,E$73,COBROS_DIARIOS!$F$4:$F$505,$A98,COBROS_DIARIOS!$A$4:$A$505,"&gt;="&amp;$B$2,COBROS_DIARIOS!$A$4:$A$505,"&lt;="&amp;EOMONTH($B$2,0)),0))</f>
        <v>0</v>
      </c>
      <c r="F98" s="78">
        <f>IF(OR(F$73="",$A98=""),"",IFERROR(SUMIFS(COBROS_DIARIOS!$K$4:$K$505,COBROS_DIARIOS!$E$4:$E$505,F$73,COBROS_DIARIOS!$F$4:$F$505,$A98,COBROS_DIARIOS!$A$4:$A$505,"&gt;="&amp;$B$2,COBROS_DIARIOS!$A$4:$A$505,"&lt;="&amp;EOMONTH($B$2,0)),0))</f>
        <v>0</v>
      </c>
      <c r="G98" s="78">
        <f>IF(OR(G$73="",$A98=""),"",IFERROR(SUMIFS(COBROS_DIARIOS!$K$4:$K$505,COBROS_DIARIOS!$E$4:$E$505,G$73,COBROS_DIARIOS!$F$4:$F$505,$A98,COBROS_DIARIOS!$A$4:$A$505,"&gt;="&amp;$B$2,COBROS_DIARIOS!$A$4:$A$505,"&lt;="&amp;EOMONTH($B$2,0)),0))</f>
        <v>0</v>
      </c>
      <c r="H98" s="78">
        <f>IF(OR(H$73="",$A98=""),"",IFERROR(SUMIFS(COBROS_DIARIOS!$K$4:$K$505,COBROS_DIARIOS!$E$4:$E$505,H$73,COBROS_DIARIOS!$F$4:$F$505,$A98,COBROS_DIARIOS!$A$4:$A$505,"&gt;="&amp;$B$2,COBROS_DIARIOS!$A$4:$A$505,"&lt;="&amp;EOMONTH($B$2,0)),0))</f>
        <v>0</v>
      </c>
      <c r="I98" s="78">
        <f>IF(OR(I$73="",$A98=""),"",IFERROR(SUMIFS(COBROS_DIARIOS!$K$4:$K$505,COBROS_DIARIOS!$E$4:$E$505,I$73,COBROS_DIARIOS!$F$4:$F$505,$A98,COBROS_DIARIOS!$A$4:$A$505,"&gt;="&amp;$B$2,COBROS_DIARIOS!$A$4:$A$505,"&lt;="&amp;EOMONTH($B$2,0)),0))</f>
        <v>0</v>
      </c>
      <c r="J98" s="78">
        <f>IF(OR(J$73="",$A98=""),"",IFERROR(SUMIFS(COBROS_DIARIOS!$K$4:$K$505,COBROS_DIARIOS!$E$4:$E$505,J$73,COBROS_DIARIOS!$F$4:$F$505,$A98,COBROS_DIARIOS!$A$4:$A$505,"&gt;="&amp;$B$2,COBROS_DIARIOS!$A$4:$A$505,"&lt;="&amp;EOMONTH($B$2,0)),0))</f>
        <v>0</v>
      </c>
      <c r="K98" s="78">
        <f>IF(OR(K$73="",$A98=""),"",IFERROR(SUMIFS(COBROS_DIARIOS!$K$4:$K$505,COBROS_DIARIOS!$E$4:$E$505,K$73,COBROS_DIARIOS!$F$4:$F$505,$A98,COBROS_DIARIOS!$A$4:$A$505,"&gt;="&amp;$B$2,COBROS_DIARIOS!$A$4:$A$505,"&lt;="&amp;EOMONTH($B$2,0)),0))</f>
        <v>0</v>
      </c>
      <c r="L98" s="78">
        <f>IF(OR(L$73="",$A98=""),"",IFERROR(SUMIFS(COBROS_DIARIOS!$K$4:$K$505,COBROS_DIARIOS!$E$4:$E$505,L$73,COBROS_DIARIOS!$F$4:$F$505,$A98,COBROS_DIARIOS!$A$4:$A$505,"&gt;="&amp;$B$2,COBROS_DIARIOS!$A$4:$A$505,"&lt;="&amp;EOMONTH($B$2,0)),0))</f>
        <v>0</v>
      </c>
      <c r="M98" s="78">
        <f>IF(OR(M$73="",$A98=""),"",IFERROR(SUMIFS(COBROS_DIARIOS!$K$4:$K$505,COBROS_DIARIOS!$E$4:$E$505,M$73,COBROS_DIARIOS!$F$4:$F$505,$A98,COBROS_DIARIOS!$A$4:$A$505,"&gt;="&amp;$B$2,COBROS_DIARIOS!$A$4:$A$505,"&lt;="&amp;EOMONTH($B$2,0)),0))</f>
        <v>0</v>
      </c>
      <c r="N98" s="78">
        <f>IF(OR(N$73="",$A98=""),"",IFERROR(SUMIFS(COBROS_DIARIOS!$K$4:$K$505,COBROS_DIARIOS!$E$4:$E$505,N$73,COBROS_DIARIOS!$F$4:$F$505,$A98,COBROS_DIARIOS!$A$4:$A$505,"&gt;="&amp;$B$2,COBROS_DIARIOS!$A$4:$A$505,"&lt;="&amp;EOMONTH($B$2,0)),0))</f>
        <v>0</v>
      </c>
      <c r="O98" s="78">
        <f>IF(OR(O$73="",$A98=""),"",IFERROR(SUMIFS(COBROS_DIARIOS!$K$4:$K$505,COBROS_DIARIOS!$E$4:$E$505,O$73,COBROS_DIARIOS!$F$4:$F$505,$A98,COBROS_DIARIOS!$A$4:$A$505,"&gt;="&amp;$B$2,COBROS_DIARIOS!$A$4:$A$505,"&lt;="&amp;EOMONTH($B$2,0)),0))</f>
        <v>0</v>
      </c>
      <c r="P98" s="78">
        <f>IF(OR(P$73="",$A98=""),"",IFERROR(SUMIFS(COBROS_DIARIOS!$K$4:$K$505,COBROS_DIARIOS!$E$4:$E$505,P$73,COBROS_DIARIOS!$F$4:$F$505,$A98,COBROS_DIARIOS!$A$4:$A$505,"&gt;="&amp;$B$2,COBROS_DIARIOS!$A$4:$A$505,"&lt;="&amp;EOMONTH($B$2,0)),0))</f>
        <v>0</v>
      </c>
      <c r="Q98" s="78">
        <f>IF(OR(Q$73="",$A98=""),"",IFERROR(SUMIFS(COBROS_DIARIOS!$K$4:$K$505,COBROS_DIARIOS!$E$4:$E$505,Q$73,COBROS_DIARIOS!$F$4:$F$505,$A98,COBROS_DIARIOS!$A$4:$A$505,"&gt;="&amp;$B$2,COBROS_DIARIOS!$A$4:$A$505,"&lt;="&amp;EOMONTH($B$2,0)),0))</f>
        <v>0</v>
      </c>
      <c r="R98" s="78">
        <f>IF(OR(R$73="",$A98=""),"",IFERROR(SUMIFS(COBROS_DIARIOS!$K$4:$K$505,COBROS_DIARIOS!$E$4:$E$505,R$73,COBROS_DIARIOS!$F$4:$F$505,$A98,COBROS_DIARIOS!$A$4:$A$505,"&gt;="&amp;$B$2,COBROS_DIARIOS!$A$4:$A$505,"&lt;="&amp;EOMONTH($B$2,0)),0))</f>
        <v>0</v>
      </c>
      <c r="S98" s="78" t="str">
        <f>IF(OR(S$73="",$A98=""),"",IFERROR(SUMIFS(COBROS_DIARIOS!$K$4:$K$505,COBROS_DIARIOS!$E$4:$E$505,S$73,COBROS_DIARIOS!$F$4:$F$505,$A98,COBROS_DIARIOS!$A$4:$A$505,"&gt;="&amp;$B$2,COBROS_DIARIOS!$A$4:$A$505,"&lt;="&amp;EOMONTH($B$2,0)),0))</f>
        <v/>
      </c>
      <c r="T98" s="78" t="str">
        <f>IF(OR(T$73="",$A98=""),"",IFERROR(SUMIFS(COBROS_DIARIOS!$K$4:$K$505,COBROS_DIARIOS!$E$4:$E$505,T$73,COBROS_DIARIOS!$F$4:$F$505,$A98,COBROS_DIARIOS!$A$4:$A$505,"&gt;="&amp;$B$2,COBROS_DIARIOS!$A$4:$A$505,"&lt;="&amp;EOMONTH($B$2,0)),0))</f>
        <v/>
      </c>
      <c r="U98" s="78" t="str">
        <f>IF(OR(U$73="",$A98=""),"",IFERROR(SUMIFS(COBROS_DIARIOS!$K$4:$K$505,COBROS_DIARIOS!$E$4:$E$505,U$73,COBROS_DIARIOS!$F$4:$F$505,$A98,COBROS_DIARIOS!$A$4:$A$505,"&gt;="&amp;$B$2,COBROS_DIARIOS!$A$4:$A$505,"&lt;="&amp;EOMONTH($B$2,0)),0))</f>
        <v/>
      </c>
      <c r="V98" s="78" t="str">
        <f>IF(OR(V$73="",$A98=""),"",IFERROR(SUMIFS(COBROS_DIARIOS!$K$4:$K$505,COBROS_DIARIOS!$E$4:$E$505,V$73,COBROS_DIARIOS!$F$4:$F$505,$A98,COBROS_DIARIOS!$A$4:$A$505,"&gt;="&amp;$B$2,COBROS_DIARIOS!$A$4:$A$505,"&lt;="&amp;EOMONTH($B$2,0)),0))</f>
        <v/>
      </c>
      <c r="W98" s="78" t="str">
        <f>IF(OR(W$73="",$A98=""),"",IFERROR(SUMIFS(COBROS_DIARIOS!$K$4:$K$505,COBROS_DIARIOS!$E$4:$E$505,W$73,COBROS_DIARIOS!$F$4:$F$505,$A98,COBROS_DIARIOS!$A$4:$A$505,"&gt;="&amp;$B$2,COBROS_DIARIOS!$A$4:$A$505,"&lt;="&amp;EOMONTH($B$2,0)),0))</f>
        <v/>
      </c>
      <c r="X98" s="78" t="str">
        <f>IF(OR(X$73="",$A98=""),"",IFERROR(SUMIFS(COBROS_DIARIOS!$K$4:$K$505,COBROS_DIARIOS!$E$4:$E$505,X$73,COBROS_DIARIOS!$F$4:$F$505,$A98,COBROS_DIARIOS!$A$4:$A$505,"&gt;="&amp;$B$2,COBROS_DIARIOS!$A$4:$A$505,"&lt;="&amp;EOMONTH($B$2,0)),0))</f>
        <v/>
      </c>
      <c r="Y98" s="78" t="str">
        <f>IF(OR(Y$73="",$A98=""),"",IFERROR(SUMIFS(COBROS_DIARIOS!$K$4:$K$505,COBROS_DIARIOS!$E$4:$E$505,Y$73,COBROS_DIARIOS!$F$4:$F$505,$A98,COBROS_DIARIOS!$A$4:$A$505,"&gt;="&amp;$B$2,COBROS_DIARIOS!$A$4:$A$505,"&lt;="&amp;EOMONTH($B$2,0)),0))</f>
        <v/>
      </c>
      <c r="Z98" s="78" t="str">
        <f>IF(OR(Z$73="",$A98=""),"",IFERROR(SUMIFS(COBROS_DIARIOS!$K$4:$K$505,COBROS_DIARIOS!$E$4:$E$505,Z$73,COBROS_DIARIOS!$F$4:$F$505,$A98,COBROS_DIARIOS!$A$4:$A$505,"&gt;="&amp;$B$2,COBROS_DIARIOS!$A$4:$A$505,"&lt;="&amp;EOMONTH($B$2,0)),0))</f>
        <v/>
      </c>
      <c r="AA98" s="79">
        <f t="shared" si="3"/>
        <v>0</v>
      </c>
    </row>
    <row r="99" ht="15.75" customHeight="1"/>
    <row r="100" ht="15.75" customHeight="1"/>
    <row r="101" ht="21.75" customHeight="1">
      <c r="A101" s="80" t="s">
        <v>149</v>
      </c>
      <c r="B101" s="2"/>
      <c r="C101" s="2"/>
      <c r="D101" s="2"/>
      <c r="E101" s="2"/>
      <c r="F101" s="3"/>
    </row>
    <row r="102" ht="24.0" customHeight="1">
      <c r="A102" s="75" t="s">
        <v>5</v>
      </c>
      <c r="B102" s="75" t="s">
        <v>150</v>
      </c>
      <c r="C102" s="75" t="s">
        <v>151</v>
      </c>
      <c r="D102" s="75" t="s">
        <v>152</v>
      </c>
      <c r="E102" s="75" t="s">
        <v>153</v>
      </c>
      <c r="F102" s="75" t="s">
        <v>154</v>
      </c>
    </row>
    <row r="103" ht="15.75" customHeight="1">
      <c r="A103" s="65" t="str">
        <f>IFERROR(IF(CLIENTES!A4="","",CLIENTES!A4),"")</f>
        <v>OverShark</v>
      </c>
      <c r="B103" s="66">
        <f>IF(A103="","",SUMIFS(COBROS_DIARIOS!$K$4:$K$505,COBROS_DIARIOS!$D$4:$D$505,A103,COBROS_DIARIOS!$A$4:$A$505,"&gt;="&amp;$B$2,COBROS_DIARIOS!$A$4:$A$505,"&lt;="&amp;EOMONTH($B$2,0)))</f>
        <v>30362</v>
      </c>
      <c r="C103" s="81">
        <f>IF(A103="","",SUMIFS(COBROS_DIARIOS!$M$4:$M$505,COBROS_DIARIOS!$D$4:$D$505,A103,COBROS_DIARIOS!$A$4:$A$505,"&gt;="&amp;$B$2,COBROS_DIARIOS!$A$4:$A$505,"&lt;="&amp;EOMONTH($B$2,0)))</f>
        <v>65691.2</v>
      </c>
      <c r="D103" s="82">
        <f>IF(A103="","",SUMIFS(COBROS_DIARIOS!$M$4:$M$505,COBROS_DIARIOS!$D$4:$D$505,A103,COBROS_DIARIOS!$A$4:$A$505,"&gt;="&amp;$B$2,COBROS_DIARIOS!$A$4:$A$505,"&lt;="&amp;EOMONTH($B$2,0),COBROS_DIARIOS!$P$4:$P$505,"PAGADO"))</f>
        <v>0</v>
      </c>
      <c r="E103" s="83">
        <f>IF(A103="","",SUMIFS(COBROS_DIARIOS!$M$4:$M$505,COBROS_DIARIOS!$D$4:$D$505,A103,COBROS_DIARIOS!$A$4:$A$505,"&gt;="&amp;$B$2,COBROS_DIARIOS!$A$4:$A$505,"&lt;="&amp;EOMONTH($B$2,0),COBROS_DIARIOS!$P$4:$P$505,"PENDIENTE")+SUMIFS(COBROS_DIARIOS!$M$4:$M$505,COBROS_DIARIOS!$D$4:$D$505,A103,COBROS_DIARIOS!$A$4:$A$505,"&gt;="&amp;$B$2,COBROS_DIARIOS!$A$4:$A$505,"&lt;="&amp;EOMONTH($B$2,0),COBROS_DIARIOS!$P$4:$P$505,"PARCIAL")+SUMIFS(COBROS_DIARIOS!$M$4:$M$505,COBROS_DIARIOS!$D$4:$D$505,A103,COBROS_DIARIOS!$A$4:$A$505,"&gt;="&amp;$B$2,COBROS_DIARIOS!$A$4:$A$505,"&lt;="&amp;EOMONTH($B$2,0),COBROS_DIARIOS!$P$4:$P$505,"ENTREGADO SIN FACTURAR"))</f>
        <v>63901.1</v>
      </c>
      <c r="F103" s="73">
        <f t="shared" ref="F103:F112" si="4">IFERROR(IF(C103=0,"",D103/C103),"")</f>
        <v>0</v>
      </c>
    </row>
    <row r="104" ht="15.75" customHeight="1">
      <c r="A104" s="65" t="str">
        <f>IFERROR(IF(CLIENTES!A5="","",CLIENTES!A5),"")</f>
        <v>Bravos</v>
      </c>
      <c r="B104" s="66">
        <f>IF(A104="","",SUMIFS(COBROS_DIARIOS!$K$4:$K$505,COBROS_DIARIOS!$D$4:$D$505,A104,COBROS_DIARIOS!$A$4:$A$505,"&gt;="&amp;$B$2,COBROS_DIARIOS!$A$4:$A$505,"&lt;="&amp;EOMONTH($B$2,0)))</f>
        <v>3720</v>
      </c>
      <c r="C104" s="81">
        <f>IF(A104="","",SUMIFS(COBROS_DIARIOS!$M$4:$M$505,COBROS_DIARIOS!$D$4:$D$505,A104,COBROS_DIARIOS!$A$4:$A$505,"&gt;="&amp;$B$2,COBROS_DIARIOS!$A$4:$A$505,"&lt;="&amp;EOMONTH($B$2,0)))</f>
        <v>16892</v>
      </c>
      <c r="D104" s="82">
        <f>IF(A104="","",SUMIFS(COBROS_DIARIOS!$M$4:$M$505,COBROS_DIARIOS!$D$4:$D$505,A104,COBROS_DIARIOS!$A$4:$A$505,"&gt;="&amp;$B$2,COBROS_DIARIOS!$A$4:$A$505,"&lt;="&amp;EOMONTH($B$2,0),COBROS_DIARIOS!$P$4:$P$505,"PAGADO"))</f>
        <v>0</v>
      </c>
      <c r="E104" s="83">
        <f>IF(A104="","",SUMIFS(COBROS_DIARIOS!$M$4:$M$505,COBROS_DIARIOS!$D$4:$D$505,A104,COBROS_DIARIOS!$A$4:$A$505,"&gt;="&amp;$B$2,COBROS_DIARIOS!$A$4:$A$505,"&lt;="&amp;EOMONTH($B$2,0),COBROS_DIARIOS!$P$4:$P$505,"PENDIENTE")+SUMIFS(COBROS_DIARIOS!$M$4:$M$505,COBROS_DIARIOS!$D$4:$D$505,A104,COBROS_DIARIOS!$A$4:$A$505,"&gt;="&amp;$B$2,COBROS_DIARIOS!$A$4:$A$505,"&lt;="&amp;EOMONTH($B$2,0),COBROS_DIARIOS!$P$4:$P$505,"PARCIAL")+SUMIFS(COBROS_DIARIOS!$M$4:$M$505,COBROS_DIARIOS!$D$4:$D$505,A104,COBROS_DIARIOS!$A$4:$A$505,"&gt;="&amp;$B$2,COBROS_DIARIOS!$A$4:$A$505,"&lt;="&amp;EOMONTH($B$2,0),COBROS_DIARIOS!$P$4:$P$505,"ENTREGADO SIN FACTURAR"))</f>
        <v>16892</v>
      </c>
      <c r="F104" s="73">
        <f t="shared" si="4"/>
        <v>0</v>
      </c>
    </row>
    <row r="105" ht="15.75" customHeight="1">
      <c r="A105" s="65" t="str">
        <f>IFERROR(IF(CLIENTES!A6="","",CLIENTES!A6),"")</f>
        <v/>
      </c>
      <c r="B105" s="66" t="str">
        <f>IF(A105="","",SUMIFS(COBROS_DIARIOS!$K$4:$K$505,COBROS_DIARIOS!$D$4:$D$505,A105,COBROS_DIARIOS!$A$4:$A$505,"&gt;="&amp;$B$2,COBROS_DIARIOS!$A$4:$A$505,"&lt;="&amp;EOMONTH($B$2,0)))</f>
        <v/>
      </c>
      <c r="C105" s="81" t="str">
        <f>IF(A105="","",SUMIFS(COBROS_DIARIOS!$M$4:$M$505,COBROS_DIARIOS!$D$4:$D$505,A105,COBROS_DIARIOS!$A$4:$A$505,"&gt;="&amp;$B$2,COBROS_DIARIOS!$A$4:$A$505,"&lt;="&amp;EOMONTH($B$2,0)))</f>
        <v/>
      </c>
      <c r="D105" s="82" t="str">
        <f>IF(A105="","",SUMIFS(COBROS_DIARIOS!$M$4:$M$505,COBROS_DIARIOS!$D$4:$D$505,A105,COBROS_DIARIOS!$A$4:$A$505,"&gt;="&amp;$B$2,COBROS_DIARIOS!$A$4:$A$505,"&lt;="&amp;EOMONTH($B$2,0),COBROS_DIARIOS!$P$4:$P$505,"PAGADO"))</f>
        <v/>
      </c>
      <c r="E105" s="83" t="str">
        <f>IF(A105="","",SUMIFS(COBROS_DIARIOS!$M$4:$M$505,COBROS_DIARIOS!$D$4:$D$505,A105,COBROS_DIARIOS!$A$4:$A$505,"&gt;="&amp;$B$2,COBROS_DIARIOS!$A$4:$A$505,"&lt;="&amp;EOMONTH($B$2,0),COBROS_DIARIOS!$P$4:$P$505,"PENDIENTE")+SUMIFS(COBROS_DIARIOS!$M$4:$M$505,COBROS_DIARIOS!$D$4:$D$505,A105,COBROS_DIARIOS!$A$4:$A$505,"&gt;="&amp;$B$2,COBROS_DIARIOS!$A$4:$A$505,"&lt;="&amp;EOMONTH($B$2,0),COBROS_DIARIOS!$P$4:$P$505,"PARCIAL")+SUMIFS(COBROS_DIARIOS!$M$4:$M$505,COBROS_DIARIOS!$D$4:$D$505,A105,COBROS_DIARIOS!$A$4:$A$505,"&gt;="&amp;$B$2,COBROS_DIARIOS!$A$4:$A$505,"&lt;="&amp;EOMONTH($B$2,0),COBROS_DIARIOS!$P$4:$P$505,"ENTREGADO SIN FACTURAR"))</f>
        <v/>
      </c>
      <c r="F105" s="73" t="str">
        <f t="shared" si="4"/>
        <v/>
      </c>
    </row>
    <row r="106" ht="15.75" customHeight="1">
      <c r="A106" s="65" t="str">
        <f>IFERROR(IF(CLIENTES!A7="","",CLIENTES!A7),"")</f>
        <v/>
      </c>
      <c r="B106" s="66" t="str">
        <f>IF(A106="","",SUMIFS(COBROS_DIARIOS!$K$4:$K$505,COBROS_DIARIOS!$D$4:$D$505,A106,COBROS_DIARIOS!$A$4:$A$505,"&gt;="&amp;$B$2,COBROS_DIARIOS!$A$4:$A$505,"&lt;="&amp;EOMONTH($B$2,0)))</f>
        <v/>
      </c>
      <c r="C106" s="81" t="str">
        <f>IF(A106="","",SUMIFS(COBROS_DIARIOS!$M$4:$M$505,COBROS_DIARIOS!$D$4:$D$505,A106,COBROS_DIARIOS!$A$4:$A$505,"&gt;="&amp;$B$2,COBROS_DIARIOS!$A$4:$A$505,"&lt;="&amp;EOMONTH($B$2,0)))</f>
        <v/>
      </c>
      <c r="D106" s="82" t="str">
        <f>IF(A106="","",SUMIFS(COBROS_DIARIOS!$M$4:$M$505,COBROS_DIARIOS!$D$4:$D$505,A106,COBROS_DIARIOS!$A$4:$A$505,"&gt;="&amp;$B$2,COBROS_DIARIOS!$A$4:$A$505,"&lt;="&amp;EOMONTH($B$2,0),COBROS_DIARIOS!$P$4:$P$505,"PAGADO"))</f>
        <v/>
      </c>
      <c r="E106" s="83" t="str">
        <f>IF(A106="","",SUMIFS(COBROS_DIARIOS!$M$4:$M$505,COBROS_DIARIOS!$D$4:$D$505,A106,COBROS_DIARIOS!$A$4:$A$505,"&gt;="&amp;$B$2,COBROS_DIARIOS!$A$4:$A$505,"&lt;="&amp;EOMONTH($B$2,0),COBROS_DIARIOS!$P$4:$P$505,"PENDIENTE")+SUMIFS(COBROS_DIARIOS!$M$4:$M$505,COBROS_DIARIOS!$D$4:$D$505,A106,COBROS_DIARIOS!$A$4:$A$505,"&gt;="&amp;$B$2,COBROS_DIARIOS!$A$4:$A$505,"&lt;="&amp;EOMONTH($B$2,0),COBROS_DIARIOS!$P$4:$P$505,"PARCIAL")+SUMIFS(COBROS_DIARIOS!$M$4:$M$505,COBROS_DIARIOS!$D$4:$D$505,A106,COBROS_DIARIOS!$A$4:$A$505,"&gt;="&amp;$B$2,COBROS_DIARIOS!$A$4:$A$505,"&lt;="&amp;EOMONTH($B$2,0),COBROS_DIARIOS!$P$4:$P$505,"ENTREGADO SIN FACTURAR"))</f>
        <v/>
      </c>
      <c r="F106" s="73" t="str">
        <f t="shared" si="4"/>
        <v/>
      </c>
    </row>
    <row r="107" ht="15.75" customHeight="1">
      <c r="A107" s="65" t="str">
        <f>IFERROR(IF(CLIENTES!A8="","",CLIENTES!A8),"")</f>
        <v/>
      </c>
      <c r="B107" s="66" t="str">
        <f>IF(A107="","",SUMIFS(COBROS_DIARIOS!$K$4:$K$505,COBROS_DIARIOS!$D$4:$D$505,A107,COBROS_DIARIOS!$A$4:$A$505,"&gt;="&amp;$B$2,COBROS_DIARIOS!$A$4:$A$505,"&lt;="&amp;EOMONTH($B$2,0)))</f>
        <v/>
      </c>
      <c r="C107" s="81" t="str">
        <f>IF(A107="","",SUMIFS(COBROS_DIARIOS!$M$4:$M$505,COBROS_DIARIOS!$D$4:$D$505,A107,COBROS_DIARIOS!$A$4:$A$505,"&gt;="&amp;$B$2,COBROS_DIARIOS!$A$4:$A$505,"&lt;="&amp;EOMONTH($B$2,0)))</f>
        <v/>
      </c>
      <c r="D107" s="82" t="str">
        <f>IF(A107="","",SUMIFS(COBROS_DIARIOS!$M$4:$M$505,COBROS_DIARIOS!$D$4:$D$505,A107,COBROS_DIARIOS!$A$4:$A$505,"&gt;="&amp;$B$2,COBROS_DIARIOS!$A$4:$A$505,"&lt;="&amp;EOMONTH($B$2,0),COBROS_DIARIOS!$P$4:$P$505,"PAGADO"))</f>
        <v/>
      </c>
      <c r="E107" s="83" t="str">
        <f>IF(A107="","",SUMIFS(COBROS_DIARIOS!$M$4:$M$505,COBROS_DIARIOS!$D$4:$D$505,A107,COBROS_DIARIOS!$A$4:$A$505,"&gt;="&amp;$B$2,COBROS_DIARIOS!$A$4:$A$505,"&lt;="&amp;EOMONTH($B$2,0),COBROS_DIARIOS!$P$4:$P$505,"PENDIENTE")+SUMIFS(COBROS_DIARIOS!$M$4:$M$505,COBROS_DIARIOS!$D$4:$D$505,A107,COBROS_DIARIOS!$A$4:$A$505,"&gt;="&amp;$B$2,COBROS_DIARIOS!$A$4:$A$505,"&lt;="&amp;EOMONTH($B$2,0),COBROS_DIARIOS!$P$4:$P$505,"PARCIAL")+SUMIFS(COBROS_DIARIOS!$M$4:$M$505,COBROS_DIARIOS!$D$4:$D$505,A107,COBROS_DIARIOS!$A$4:$A$505,"&gt;="&amp;$B$2,COBROS_DIARIOS!$A$4:$A$505,"&lt;="&amp;EOMONTH($B$2,0),COBROS_DIARIOS!$P$4:$P$505,"ENTREGADO SIN FACTURAR"))</f>
        <v/>
      </c>
      <c r="F107" s="73" t="str">
        <f t="shared" si="4"/>
        <v/>
      </c>
    </row>
    <row r="108" ht="15.75" customHeight="1">
      <c r="A108" s="65" t="str">
        <f>IFERROR(IF(CLIENTES!A9="","",CLIENTES!A9),"")</f>
        <v/>
      </c>
      <c r="B108" s="66" t="str">
        <f>IF(A108="","",SUMIFS(COBROS_DIARIOS!$K$4:$K$505,COBROS_DIARIOS!$D$4:$D$505,A108,COBROS_DIARIOS!$A$4:$A$505,"&gt;="&amp;$B$2,COBROS_DIARIOS!$A$4:$A$505,"&lt;="&amp;EOMONTH($B$2,0)))</f>
        <v/>
      </c>
      <c r="C108" s="81" t="str">
        <f>IF(A108="","",SUMIFS(COBROS_DIARIOS!$M$4:$M$505,COBROS_DIARIOS!$D$4:$D$505,A108,COBROS_DIARIOS!$A$4:$A$505,"&gt;="&amp;$B$2,COBROS_DIARIOS!$A$4:$A$505,"&lt;="&amp;EOMONTH($B$2,0)))</f>
        <v/>
      </c>
      <c r="D108" s="82" t="str">
        <f>IF(A108="","",SUMIFS(COBROS_DIARIOS!$M$4:$M$505,COBROS_DIARIOS!$D$4:$D$505,A108,COBROS_DIARIOS!$A$4:$A$505,"&gt;="&amp;$B$2,COBROS_DIARIOS!$A$4:$A$505,"&lt;="&amp;EOMONTH($B$2,0),COBROS_DIARIOS!$P$4:$P$505,"PAGADO"))</f>
        <v/>
      </c>
      <c r="E108" s="83" t="str">
        <f>IF(A108="","",SUMIFS(COBROS_DIARIOS!$M$4:$M$505,COBROS_DIARIOS!$D$4:$D$505,A108,COBROS_DIARIOS!$A$4:$A$505,"&gt;="&amp;$B$2,COBROS_DIARIOS!$A$4:$A$505,"&lt;="&amp;EOMONTH($B$2,0),COBROS_DIARIOS!$P$4:$P$505,"PENDIENTE")+SUMIFS(COBROS_DIARIOS!$M$4:$M$505,COBROS_DIARIOS!$D$4:$D$505,A108,COBROS_DIARIOS!$A$4:$A$505,"&gt;="&amp;$B$2,COBROS_DIARIOS!$A$4:$A$505,"&lt;="&amp;EOMONTH($B$2,0),COBROS_DIARIOS!$P$4:$P$505,"PARCIAL")+SUMIFS(COBROS_DIARIOS!$M$4:$M$505,COBROS_DIARIOS!$D$4:$D$505,A108,COBROS_DIARIOS!$A$4:$A$505,"&gt;="&amp;$B$2,COBROS_DIARIOS!$A$4:$A$505,"&lt;="&amp;EOMONTH($B$2,0),COBROS_DIARIOS!$P$4:$P$505,"ENTREGADO SIN FACTURAR"))</f>
        <v/>
      </c>
      <c r="F108" s="73" t="str">
        <f t="shared" si="4"/>
        <v/>
      </c>
    </row>
    <row r="109" ht="15.75" customHeight="1">
      <c r="A109" s="65" t="str">
        <f>IFERROR(IF(CLIENTES!A10="","",CLIENTES!A10),"")</f>
        <v/>
      </c>
      <c r="B109" s="66" t="str">
        <f>IF(A109="","",SUMIFS(COBROS_DIARIOS!$K$4:$K$505,COBROS_DIARIOS!$D$4:$D$505,A109,COBROS_DIARIOS!$A$4:$A$505,"&gt;="&amp;$B$2,COBROS_DIARIOS!$A$4:$A$505,"&lt;="&amp;EOMONTH($B$2,0)))</f>
        <v/>
      </c>
      <c r="C109" s="81" t="str">
        <f>IF(A109="","",SUMIFS(COBROS_DIARIOS!$M$4:$M$505,COBROS_DIARIOS!$D$4:$D$505,A109,COBROS_DIARIOS!$A$4:$A$505,"&gt;="&amp;$B$2,COBROS_DIARIOS!$A$4:$A$505,"&lt;="&amp;EOMONTH($B$2,0)))</f>
        <v/>
      </c>
      <c r="D109" s="82" t="str">
        <f>IF(A109="","",SUMIFS(COBROS_DIARIOS!$M$4:$M$505,COBROS_DIARIOS!$D$4:$D$505,A109,COBROS_DIARIOS!$A$4:$A$505,"&gt;="&amp;$B$2,COBROS_DIARIOS!$A$4:$A$505,"&lt;="&amp;EOMONTH($B$2,0),COBROS_DIARIOS!$P$4:$P$505,"PAGADO"))</f>
        <v/>
      </c>
      <c r="E109" s="83" t="str">
        <f>IF(A109="","",SUMIFS(COBROS_DIARIOS!$M$4:$M$505,COBROS_DIARIOS!$D$4:$D$505,A109,COBROS_DIARIOS!$A$4:$A$505,"&gt;="&amp;$B$2,COBROS_DIARIOS!$A$4:$A$505,"&lt;="&amp;EOMONTH($B$2,0),COBROS_DIARIOS!$P$4:$P$505,"PENDIENTE")+SUMIFS(COBROS_DIARIOS!$M$4:$M$505,COBROS_DIARIOS!$D$4:$D$505,A109,COBROS_DIARIOS!$A$4:$A$505,"&gt;="&amp;$B$2,COBROS_DIARIOS!$A$4:$A$505,"&lt;="&amp;EOMONTH($B$2,0),COBROS_DIARIOS!$P$4:$P$505,"PARCIAL")+SUMIFS(COBROS_DIARIOS!$M$4:$M$505,COBROS_DIARIOS!$D$4:$D$505,A109,COBROS_DIARIOS!$A$4:$A$505,"&gt;="&amp;$B$2,COBROS_DIARIOS!$A$4:$A$505,"&lt;="&amp;EOMONTH($B$2,0),COBROS_DIARIOS!$P$4:$P$505,"ENTREGADO SIN FACTURAR"))</f>
        <v/>
      </c>
      <c r="F109" s="73" t="str">
        <f t="shared" si="4"/>
        <v/>
      </c>
    </row>
    <row r="110" ht="15.75" customHeight="1">
      <c r="A110" s="65" t="str">
        <f>IFERROR(IF(CLIENTES!A11="","",CLIENTES!A11),"")</f>
        <v/>
      </c>
      <c r="B110" s="66" t="str">
        <f>IF(A110="","",SUMIFS(COBROS_DIARIOS!$K$4:$K$505,COBROS_DIARIOS!$D$4:$D$505,A110,COBROS_DIARIOS!$A$4:$A$505,"&gt;="&amp;$B$2,COBROS_DIARIOS!$A$4:$A$505,"&lt;="&amp;EOMONTH($B$2,0)))</f>
        <v/>
      </c>
      <c r="C110" s="81" t="str">
        <f>IF(A110="","",SUMIFS(COBROS_DIARIOS!$M$4:$M$505,COBROS_DIARIOS!$D$4:$D$505,A110,COBROS_DIARIOS!$A$4:$A$505,"&gt;="&amp;$B$2,COBROS_DIARIOS!$A$4:$A$505,"&lt;="&amp;EOMONTH($B$2,0)))</f>
        <v/>
      </c>
      <c r="D110" s="82" t="str">
        <f>IF(A110="","",SUMIFS(COBROS_DIARIOS!$M$4:$M$505,COBROS_DIARIOS!$D$4:$D$505,A110,COBROS_DIARIOS!$A$4:$A$505,"&gt;="&amp;$B$2,COBROS_DIARIOS!$A$4:$A$505,"&lt;="&amp;EOMONTH($B$2,0),COBROS_DIARIOS!$P$4:$P$505,"PAGADO"))</f>
        <v/>
      </c>
      <c r="E110" s="83" t="str">
        <f>IF(A110="","",SUMIFS(COBROS_DIARIOS!$M$4:$M$505,COBROS_DIARIOS!$D$4:$D$505,A110,COBROS_DIARIOS!$A$4:$A$505,"&gt;="&amp;$B$2,COBROS_DIARIOS!$A$4:$A$505,"&lt;="&amp;EOMONTH($B$2,0),COBROS_DIARIOS!$P$4:$P$505,"PENDIENTE")+SUMIFS(COBROS_DIARIOS!$M$4:$M$505,COBROS_DIARIOS!$D$4:$D$505,A110,COBROS_DIARIOS!$A$4:$A$505,"&gt;="&amp;$B$2,COBROS_DIARIOS!$A$4:$A$505,"&lt;="&amp;EOMONTH($B$2,0),COBROS_DIARIOS!$P$4:$P$505,"PARCIAL")+SUMIFS(COBROS_DIARIOS!$M$4:$M$505,COBROS_DIARIOS!$D$4:$D$505,A110,COBROS_DIARIOS!$A$4:$A$505,"&gt;="&amp;$B$2,COBROS_DIARIOS!$A$4:$A$505,"&lt;="&amp;EOMONTH($B$2,0),COBROS_DIARIOS!$P$4:$P$505,"ENTREGADO SIN FACTURAR"))</f>
        <v/>
      </c>
      <c r="F110" s="73" t="str">
        <f t="shared" si="4"/>
        <v/>
      </c>
    </row>
    <row r="111" ht="15.75" customHeight="1">
      <c r="A111" s="65" t="str">
        <f>IFERROR(IF(CLIENTES!A12="","",CLIENTES!A12),"")</f>
        <v/>
      </c>
      <c r="B111" s="66" t="str">
        <f>IF(A111="","",SUMIFS(COBROS_DIARIOS!$K$4:$K$505,COBROS_DIARIOS!$D$4:$D$505,A111,COBROS_DIARIOS!$A$4:$A$505,"&gt;="&amp;$B$2,COBROS_DIARIOS!$A$4:$A$505,"&lt;="&amp;EOMONTH($B$2,0)))</f>
        <v/>
      </c>
      <c r="C111" s="81" t="str">
        <f>IF(A111="","",SUMIFS(COBROS_DIARIOS!$M$4:$M$505,COBROS_DIARIOS!$D$4:$D$505,A111,COBROS_DIARIOS!$A$4:$A$505,"&gt;="&amp;$B$2,COBROS_DIARIOS!$A$4:$A$505,"&lt;="&amp;EOMONTH($B$2,0)))</f>
        <v/>
      </c>
      <c r="D111" s="82" t="str">
        <f>IF(A111="","",SUMIFS(COBROS_DIARIOS!$M$4:$M$505,COBROS_DIARIOS!$D$4:$D$505,A111,COBROS_DIARIOS!$A$4:$A$505,"&gt;="&amp;$B$2,COBROS_DIARIOS!$A$4:$A$505,"&lt;="&amp;EOMONTH($B$2,0),COBROS_DIARIOS!$P$4:$P$505,"PAGADO"))</f>
        <v/>
      </c>
      <c r="E111" s="83" t="str">
        <f>IF(A111="","",SUMIFS(COBROS_DIARIOS!$M$4:$M$505,COBROS_DIARIOS!$D$4:$D$505,A111,COBROS_DIARIOS!$A$4:$A$505,"&gt;="&amp;$B$2,COBROS_DIARIOS!$A$4:$A$505,"&lt;="&amp;EOMONTH($B$2,0),COBROS_DIARIOS!$P$4:$P$505,"PENDIENTE")+SUMIFS(COBROS_DIARIOS!$M$4:$M$505,COBROS_DIARIOS!$D$4:$D$505,A111,COBROS_DIARIOS!$A$4:$A$505,"&gt;="&amp;$B$2,COBROS_DIARIOS!$A$4:$A$505,"&lt;="&amp;EOMONTH($B$2,0),COBROS_DIARIOS!$P$4:$P$505,"PARCIAL")+SUMIFS(COBROS_DIARIOS!$M$4:$M$505,COBROS_DIARIOS!$D$4:$D$505,A111,COBROS_DIARIOS!$A$4:$A$505,"&gt;="&amp;$B$2,COBROS_DIARIOS!$A$4:$A$505,"&lt;="&amp;EOMONTH($B$2,0),COBROS_DIARIOS!$P$4:$P$505,"ENTREGADO SIN FACTURAR"))</f>
        <v/>
      </c>
      <c r="F111" s="73" t="str">
        <f t="shared" si="4"/>
        <v/>
      </c>
    </row>
    <row r="112" ht="15.75" customHeight="1">
      <c r="A112" s="65" t="str">
        <f>IFERROR(IF(CLIENTES!A13="","",CLIENTES!A13),"")</f>
        <v/>
      </c>
      <c r="B112" s="66" t="str">
        <f>IF(A112="","",SUMIFS(COBROS_DIARIOS!$K$4:$K$505,COBROS_DIARIOS!$D$4:$D$505,A112,COBROS_DIARIOS!$A$4:$A$505,"&gt;="&amp;$B$2,COBROS_DIARIOS!$A$4:$A$505,"&lt;="&amp;EOMONTH($B$2,0)))</f>
        <v/>
      </c>
      <c r="C112" s="81" t="str">
        <f>IF(A112="","",SUMIFS(COBROS_DIARIOS!$M$4:$M$505,COBROS_DIARIOS!$D$4:$D$505,A112,COBROS_DIARIOS!$A$4:$A$505,"&gt;="&amp;$B$2,COBROS_DIARIOS!$A$4:$A$505,"&lt;="&amp;EOMONTH($B$2,0)))</f>
        <v/>
      </c>
      <c r="D112" s="82" t="str">
        <f>IF(A112="","",SUMIFS(COBROS_DIARIOS!$M$4:$M$505,COBROS_DIARIOS!$D$4:$D$505,A112,COBROS_DIARIOS!$A$4:$A$505,"&gt;="&amp;$B$2,COBROS_DIARIOS!$A$4:$A$505,"&lt;="&amp;EOMONTH($B$2,0),COBROS_DIARIOS!$P$4:$P$505,"PAGADO"))</f>
        <v/>
      </c>
      <c r="E112" s="83" t="str">
        <f>IF(A112="","",SUMIFS(COBROS_DIARIOS!$M$4:$M$505,COBROS_DIARIOS!$D$4:$D$505,A112,COBROS_DIARIOS!$A$4:$A$505,"&gt;="&amp;$B$2,COBROS_DIARIOS!$A$4:$A$505,"&lt;="&amp;EOMONTH($B$2,0),COBROS_DIARIOS!$P$4:$P$505,"PENDIENTE")+SUMIFS(COBROS_DIARIOS!$M$4:$M$505,COBROS_DIARIOS!$D$4:$D$505,A112,COBROS_DIARIOS!$A$4:$A$505,"&gt;="&amp;$B$2,COBROS_DIARIOS!$A$4:$A$505,"&lt;="&amp;EOMONTH($B$2,0),COBROS_DIARIOS!$P$4:$P$505,"PARCIAL")+SUMIFS(COBROS_DIARIOS!$M$4:$M$505,COBROS_DIARIOS!$D$4:$D$505,A112,COBROS_DIARIOS!$A$4:$A$505,"&gt;="&amp;$B$2,COBROS_DIARIOS!$A$4:$A$505,"&lt;="&amp;EOMONTH($B$2,0),COBROS_DIARIOS!$P$4:$P$505,"ENTREGADO SIN FACTURAR"))</f>
        <v/>
      </c>
      <c r="F112" s="73" t="str">
        <f t="shared" si="4"/>
        <v/>
      </c>
    </row>
    <row r="113" ht="15.75" customHeight="1">
      <c r="A113" s="35" t="s">
        <v>142</v>
      </c>
      <c r="B113" s="69">
        <f t="shared" ref="B113:E113" si="5">SUM(B103:B112)</f>
        <v>34082</v>
      </c>
      <c r="C113" s="70">
        <f t="shared" si="5"/>
        <v>82583.2</v>
      </c>
      <c r="D113" s="70">
        <f t="shared" si="5"/>
        <v>0</v>
      </c>
      <c r="E113" s="70">
        <f t="shared" si="5"/>
        <v>80793.1</v>
      </c>
      <c r="F113" s="84">
        <f>IFERROR(D113/C113,0)</f>
        <v>0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0" hidden="1" customHeight="1">
      <c r="A200" s="85" t="str">
        <f>IFERROR(IF(COLORES!A4="","",COLORES!A4),"")</f>
        <v>Negro</v>
      </c>
      <c r="B200" s="85">
        <f>IF(A200="","",SUMIFS(COBROS_DIARIOS!$K$4:$K$505,COBROS_DIARIOS!$F$4:$F$505,A200,COBROS_DIARIOS!$A$4:$A$505,"&gt;="&amp;$B$2,COBROS_DIARIOS!$A$4:$A$505,"&lt;="&amp;EOMONTH($B$2,0)))</f>
        <v>6201</v>
      </c>
      <c r="C200" s="85">
        <f>IF(A200="","",SUMIFS(COBROS_DIARIOS!$M$4:$M$505,COBROS_DIARIOS!$F$4:$F$505,A200,COBROS_DIARIOS!$A$4:$A$505,"&gt;="&amp;$B$2,COBROS_DIARIOS!$A$4:$A$505,"&lt;="&amp;EOMONTH($B$2,0)))</f>
        <v>16120.7</v>
      </c>
      <c r="D200" s="85">
        <f t="shared" ref="D200:D249" si="6">IF(A200="","",B200-ROW()/100000)</f>
        <v>6200.998</v>
      </c>
    </row>
    <row r="201" ht="15.0" hidden="1" customHeight="1">
      <c r="A201" s="85" t="str">
        <f>IFERROR(IF(COLORES!A5="","",COLORES!A5),"")</f>
        <v>Perla</v>
      </c>
      <c r="B201" s="85">
        <f>IF(A201="","",SUMIFS(COBROS_DIARIOS!$K$4:$K$505,COBROS_DIARIOS!$F$4:$F$505,A201,COBROS_DIARIOS!$A$4:$A$505,"&gt;="&amp;$B$2,COBROS_DIARIOS!$A$4:$A$505,"&lt;="&amp;EOMONTH($B$2,0)))</f>
        <v>3124</v>
      </c>
      <c r="C201" s="85">
        <f>IF(A201="","",SUMIFS(COBROS_DIARIOS!$M$4:$M$505,COBROS_DIARIOS!$F$4:$F$505,A201,COBROS_DIARIOS!$A$4:$A$505,"&gt;="&amp;$B$2,COBROS_DIARIOS!$A$4:$A$505,"&lt;="&amp;EOMONTH($B$2,0)))</f>
        <v>6951.7</v>
      </c>
      <c r="D201" s="85">
        <f t="shared" si="6"/>
        <v>3123.99799</v>
      </c>
    </row>
    <row r="202" ht="15.0" hidden="1" customHeight="1">
      <c r="A202" s="85" t="str">
        <f>IFERROR(IF(COLORES!A6="","",COLORES!A6),"")</f>
        <v>Blanco</v>
      </c>
      <c r="B202" s="85">
        <f>IF(A202="","",SUMIFS(COBROS_DIARIOS!$K$4:$K$505,COBROS_DIARIOS!$F$4:$F$505,A202,COBROS_DIARIOS!$A$4:$A$505,"&gt;="&amp;$B$2,COBROS_DIARIOS!$A$4:$A$505,"&lt;="&amp;EOMONTH($B$2,0)))</f>
        <v>0</v>
      </c>
      <c r="C202" s="85">
        <f>IF(A202="","",SUMIFS(COBROS_DIARIOS!$M$4:$M$505,COBROS_DIARIOS!$F$4:$F$505,A202,COBROS_DIARIOS!$A$4:$A$505,"&gt;="&amp;$B$2,COBROS_DIARIOS!$A$4:$A$505,"&lt;="&amp;EOMONTH($B$2,0)))</f>
        <v>0</v>
      </c>
      <c r="D202" s="85">
        <f t="shared" si="6"/>
        <v>-0.00202</v>
      </c>
    </row>
    <row r="203" ht="15.0" hidden="1" customHeight="1">
      <c r="A203" s="85" t="str">
        <f>IFERROR(IF(COLORES!A7="","",COLORES!A7),"")</f>
        <v>Azul</v>
      </c>
      <c r="B203" s="85">
        <f>IF(A203="","",SUMIFS(COBROS_DIARIOS!$K$4:$K$505,COBROS_DIARIOS!$F$4:$F$505,A203,COBROS_DIARIOS!$A$4:$A$505,"&gt;="&amp;$B$2,COBROS_DIARIOS!$A$4:$A$505,"&lt;="&amp;EOMONTH($B$2,0)))</f>
        <v>0</v>
      </c>
      <c r="C203" s="85">
        <f>IF(A203="","",SUMIFS(COBROS_DIARIOS!$M$4:$M$505,COBROS_DIARIOS!$F$4:$F$505,A203,COBROS_DIARIOS!$A$4:$A$505,"&gt;="&amp;$B$2,COBROS_DIARIOS!$A$4:$A$505,"&lt;="&amp;EOMONTH($B$2,0)))</f>
        <v>0</v>
      </c>
      <c r="D203" s="85">
        <f t="shared" si="6"/>
        <v>-0.00203</v>
      </c>
    </row>
    <row r="204" ht="15.0" hidden="1" customHeight="1">
      <c r="A204" s="85" t="str">
        <f>IFERROR(IF(COLORES!A8="","",COLORES!A8),"")</f>
        <v>Beige</v>
      </c>
      <c r="B204" s="85">
        <f>IF(A204="","",SUMIFS(COBROS_DIARIOS!$K$4:$K$505,COBROS_DIARIOS!$F$4:$F$505,A204,COBROS_DIARIOS!$A$4:$A$505,"&gt;="&amp;$B$2,COBROS_DIARIOS!$A$4:$A$505,"&lt;="&amp;EOMONTH($B$2,0)))</f>
        <v>1871</v>
      </c>
      <c r="C204" s="85">
        <f>IF(A204="","",SUMIFS(COBROS_DIARIOS!$M$4:$M$505,COBROS_DIARIOS!$F$4:$F$505,A204,COBROS_DIARIOS!$A$4:$A$505,"&gt;="&amp;$B$2,COBROS_DIARIOS!$A$4:$A$505,"&lt;="&amp;EOMONTH($B$2,0)))</f>
        <v>4322.9</v>
      </c>
      <c r="D204" s="85">
        <f t="shared" si="6"/>
        <v>1870.99796</v>
      </c>
    </row>
    <row r="205" ht="15.0" hidden="1" customHeight="1">
      <c r="A205" s="85" t="str">
        <f>IFERROR(IF(COLORES!A9="","",COLORES!A9),"")</f>
        <v>Melange</v>
      </c>
      <c r="B205" s="85">
        <f>IF(A205="","",SUMIFS(COBROS_DIARIOS!$K$4:$K$505,COBROS_DIARIOS!$F$4:$F$505,A205,COBROS_DIARIOS!$A$4:$A$505,"&gt;="&amp;$B$2,COBROS_DIARIOS!$A$4:$A$505,"&lt;="&amp;EOMONTH($B$2,0)))</f>
        <v>692</v>
      </c>
      <c r="C205" s="85">
        <f>IF(A205="","",SUMIFS(COBROS_DIARIOS!$M$4:$M$505,COBROS_DIARIOS!$F$4:$F$505,A205,COBROS_DIARIOS!$A$4:$A$505,"&gt;="&amp;$B$2,COBROS_DIARIOS!$A$4:$A$505,"&lt;="&amp;EOMONTH($B$2,0)))</f>
        <v>2536</v>
      </c>
      <c r="D205" s="85">
        <f t="shared" si="6"/>
        <v>691.99795</v>
      </c>
    </row>
    <row r="206" ht="15.0" hidden="1" customHeight="1">
      <c r="A206" s="85" t="str">
        <f>IFERROR(IF(COLORES!A10="","",COLORES!A10),"")</f>
        <v>Botella</v>
      </c>
      <c r="B206" s="85">
        <f>IF(A206="","",SUMIFS(COBROS_DIARIOS!$K$4:$K$505,COBROS_DIARIOS!$F$4:$F$505,A206,COBROS_DIARIOS!$A$4:$A$505,"&gt;="&amp;$B$2,COBROS_DIARIOS!$A$4:$A$505,"&lt;="&amp;EOMONTH($B$2,0)))</f>
        <v>2100</v>
      </c>
      <c r="C206" s="85">
        <f>IF(A206="","",SUMIFS(COBROS_DIARIOS!$M$4:$M$505,COBROS_DIARIOS!$F$4:$F$505,A206,COBROS_DIARIOS!$A$4:$A$505,"&gt;="&amp;$B$2,COBROS_DIARIOS!$A$4:$A$505,"&lt;="&amp;EOMONTH($B$2,0)))</f>
        <v>6356.1</v>
      </c>
      <c r="D206" s="85">
        <f t="shared" si="6"/>
        <v>2099.99794</v>
      </c>
    </row>
    <row r="207" ht="15.0" hidden="1" customHeight="1">
      <c r="A207" s="85" t="str">
        <f>IFERROR(IF(COLORES!A11="","",COLORES!A11),"")</f>
        <v>Pacay</v>
      </c>
      <c r="B207" s="85">
        <f>IF(A207="","",SUMIFS(COBROS_DIARIOS!$K$4:$K$505,COBROS_DIARIOS!$F$4:$F$505,A207,COBROS_DIARIOS!$A$4:$A$505,"&gt;="&amp;$B$2,COBROS_DIARIOS!$A$4:$A$505,"&lt;="&amp;EOMONTH($B$2,0)))</f>
        <v>0</v>
      </c>
      <c r="C207" s="85">
        <f>IF(A207="","",SUMIFS(COBROS_DIARIOS!$M$4:$M$505,COBROS_DIARIOS!$F$4:$F$505,A207,COBROS_DIARIOS!$A$4:$A$505,"&gt;="&amp;$B$2,COBROS_DIARIOS!$A$4:$A$505,"&lt;="&amp;EOMONTH($B$2,0)))</f>
        <v>0</v>
      </c>
      <c r="D207" s="85">
        <f t="shared" si="6"/>
        <v>-0.00207</v>
      </c>
    </row>
    <row r="208" ht="15.0" hidden="1" customHeight="1">
      <c r="A208" s="85" t="str">
        <f>IFERROR(IF(COLORES!A12="","",COLORES!A12),"")</f>
        <v>V. Pacay</v>
      </c>
      <c r="B208" s="85">
        <f>IF(A208="","",SUMIFS(COBROS_DIARIOS!$K$4:$K$505,COBROS_DIARIOS!$F$4:$F$505,A208,COBROS_DIARIOS!$A$4:$A$505,"&gt;="&amp;$B$2,COBROS_DIARIOS!$A$4:$A$505,"&lt;="&amp;EOMONTH($B$2,0)))</f>
        <v>1337</v>
      </c>
      <c r="C208" s="85">
        <f>IF(A208="","",SUMIFS(COBROS_DIARIOS!$M$4:$M$505,COBROS_DIARIOS!$F$4:$F$505,A208,COBROS_DIARIOS!$A$4:$A$505,"&gt;="&amp;$B$2,COBROS_DIARIOS!$A$4:$A$505,"&lt;="&amp;EOMONTH($B$2,0)))</f>
        <v>3456.3</v>
      </c>
      <c r="D208" s="85">
        <f t="shared" si="6"/>
        <v>1336.99792</v>
      </c>
    </row>
    <row r="209" ht="15.0" hidden="1" customHeight="1">
      <c r="A209" s="85" t="str">
        <f>IFERROR(IF(COLORES!A13="","",COLORES!A13),"")</f>
        <v>Cemento</v>
      </c>
      <c r="B209" s="85">
        <f>IF(A209="","",SUMIFS(COBROS_DIARIOS!$K$4:$K$505,COBROS_DIARIOS!$F$4:$F$505,A209,COBROS_DIARIOS!$A$4:$A$505,"&gt;="&amp;$B$2,COBROS_DIARIOS!$A$4:$A$505,"&lt;="&amp;EOMONTH($B$2,0)))</f>
        <v>1257</v>
      </c>
      <c r="C209" s="85">
        <f>IF(A209="","",SUMIFS(COBROS_DIARIOS!$M$4:$M$505,COBROS_DIARIOS!$F$4:$F$505,A209,COBROS_DIARIOS!$A$4:$A$505,"&gt;="&amp;$B$2,COBROS_DIARIOS!$A$4:$A$505,"&lt;="&amp;EOMONTH($B$2,0)))</f>
        <v>2260.2</v>
      </c>
      <c r="D209" s="85">
        <f t="shared" si="6"/>
        <v>1256.99791</v>
      </c>
    </row>
    <row r="210" ht="15.0" hidden="1" customHeight="1">
      <c r="A210" s="85" t="str">
        <f>IFERROR(IF(COLORES!A14="","",COLORES!A14),"")</f>
        <v>Camote</v>
      </c>
      <c r="B210" s="85">
        <f>IF(A210="","",SUMIFS(COBROS_DIARIOS!$K$4:$K$505,COBROS_DIARIOS!$F$4:$F$505,A210,COBROS_DIARIOS!$A$4:$A$505,"&gt;="&amp;$B$2,COBROS_DIARIOS!$A$4:$A$505,"&lt;="&amp;EOMONTH($B$2,0)))</f>
        <v>0</v>
      </c>
      <c r="C210" s="85">
        <f>IF(A210="","",SUMIFS(COBROS_DIARIOS!$M$4:$M$505,COBROS_DIARIOS!$F$4:$F$505,A210,COBROS_DIARIOS!$A$4:$A$505,"&gt;="&amp;$B$2,COBROS_DIARIOS!$A$4:$A$505,"&lt;="&amp;EOMONTH($B$2,0)))</f>
        <v>0</v>
      </c>
      <c r="D210" s="85">
        <f t="shared" si="6"/>
        <v>-0.0021</v>
      </c>
    </row>
    <row r="211" ht="15.0" hidden="1" customHeight="1">
      <c r="A211" s="85" t="str">
        <f>IFERROR(IF(COLORES!A15="","",COLORES!A15),"")</f>
        <v>Denim</v>
      </c>
      <c r="B211" s="85">
        <f>IF(A211="","",SUMIFS(COBROS_DIARIOS!$K$4:$K$505,COBROS_DIARIOS!$F$4:$F$505,A211,COBROS_DIARIOS!$A$4:$A$505,"&gt;="&amp;$B$2,COBROS_DIARIOS!$A$4:$A$505,"&lt;="&amp;EOMONTH($B$2,0)))</f>
        <v>2363</v>
      </c>
      <c r="C211" s="85">
        <f>IF(A211="","",SUMIFS(COBROS_DIARIOS!$M$4:$M$505,COBROS_DIARIOS!$F$4:$F$505,A211,COBROS_DIARIOS!$A$4:$A$505,"&gt;="&amp;$B$2,COBROS_DIARIOS!$A$4:$A$505,"&lt;="&amp;EOMONTH($B$2,0)))</f>
        <v>4836.2</v>
      </c>
      <c r="D211" s="85">
        <f t="shared" si="6"/>
        <v>2362.99789</v>
      </c>
    </row>
    <row r="212" ht="15.0" hidden="1" customHeight="1">
      <c r="A212" s="85" t="str">
        <f>IFERROR(IF(COLORES!A16="","",COLORES!A16),"")</f>
        <v>Marrón</v>
      </c>
      <c r="B212" s="85">
        <f>IF(A212="","",SUMIFS(COBROS_DIARIOS!$K$4:$K$505,COBROS_DIARIOS!$F$4:$F$505,A212,COBROS_DIARIOS!$A$4:$A$505,"&gt;="&amp;$B$2,COBROS_DIARIOS!$A$4:$A$505,"&lt;="&amp;EOMONTH($B$2,0)))</f>
        <v>0</v>
      </c>
      <c r="C212" s="85">
        <f>IF(A212="","",SUMIFS(COBROS_DIARIOS!$M$4:$M$505,COBROS_DIARIOS!$F$4:$F$505,A212,COBROS_DIARIOS!$A$4:$A$505,"&gt;="&amp;$B$2,COBROS_DIARIOS!$A$4:$A$505,"&lt;="&amp;EOMONTH($B$2,0)))</f>
        <v>0</v>
      </c>
      <c r="D212" s="85">
        <f t="shared" si="6"/>
        <v>-0.00212</v>
      </c>
    </row>
    <row r="213" ht="15.0" hidden="1" customHeight="1">
      <c r="A213" s="85" t="str">
        <f>IFERROR(IF(COLORES!A17="","",COLORES!A17),"")</f>
        <v>Topo</v>
      </c>
      <c r="B213" s="85">
        <f>IF(A213="","",SUMIFS(COBROS_DIARIOS!$K$4:$K$505,COBROS_DIARIOS!$F$4:$F$505,A213,COBROS_DIARIOS!$A$4:$A$505,"&gt;="&amp;$B$2,COBROS_DIARIOS!$A$4:$A$505,"&lt;="&amp;EOMONTH($B$2,0)))</f>
        <v>1543</v>
      </c>
      <c r="C213" s="85">
        <f>IF(A213="","",SUMIFS(COBROS_DIARIOS!$M$4:$M$505,COBROS_DIARIOS!$F$4:$F$505,A213,COBROS_DIARIOS!$A$4:$A$505,"&gt;="&amp;$B$2,COBROS_DIARIOS!$A$4:$A$505,"&lt;="&amp;EOMONTH($B$2,0)))</f>
        <v>3547.7</v>
      </c>
      <c r="D213" s="85">
        <f t="shared" si="6"/>
        <v>1542.99787</v>
      </c>
    </row>
    <row r="214" ht="15.0" hidden="1" customHeight="1">
      <c r="A214" s="85" t="str">
        <f>IFERROR(IF(COLORES!A18="","",COLORES!A18),"")</f>
        <v>Vino</v>
      </c>
      <c r="B214" s="85">
        <f>IF(A214="","",SUMIFS(COBROS_DIARIOS!$K$4:$K$505,COBROS_DIARIOS!$F$4:$F$505,A214,COBROS_DIARIOS!$A$4:$A$505,"&gt;="&amp;$B$2,COBROS_DIARIOS!$A$4:$A$505,"&lt;="&amp;EOMONTH($B$2,0)))</f>
        <v>4566</v>
      </c>
      <c r="C214" s="85">
        <f>IF(A214="","",SUMIFS(COBROS_DIARIOS!$M$4:$M$505,COBROS_DIARIOS!$F$4:$F$505,A214,COBROS_DIARIOS!$A$4:$A$505,"&gt;="&amp;$B$2,COBROS_DIARIOS!$A$4:$A$505,"&lt;="&amp;EOMONTH($B$2,0)))</f>
        <v>9329.4</v>
      </c>
      <c r="D214" s="85">
        <f t="shared" si="6"/>
        <v>4565.99786</v>
      </c>
    </row>
    <row r="215" ht="15.0" hidden="1" customHeight="1">
      <c r="A215" s="85" t="str">
        <f>IFERROR(IF(COLORES!A19="","",COLORES!A19),"")</f>
        <v>Palo Rosa</v>
      </c>
      <c r="B215" s="85">
        <f>IF(A215="","",SUMIFS(COBROS_DIARIOS!$K$4:$K$505,COBROS_DIARIOS!$F$4:$F$505,A215,COBROS_DIARIOS!$A$4:$A$505,"&gt;="&amp;$B$2,COBROS_DIARIOS!$A$4:$A$505,"&lt;="&amp;EOMONTH($B$2,0)))</f>
        <v>198</v>
      </c>
      <c r="C215" s="85">
        <f>IF(A215="","",SUMIFS(COBROS_DIARIOS!$M$4:$M$505,COBROS_DIARIOS!$F$4:$F$505,A215,COBROS_DIARIOS!$A$4:$A$505,"&gt;="&amp;$B$2,COBROS_DIARIOS!$A$4:$A$505,"&lt;="&amp;EOMONTH($B$2,0)))</f>
        <v>336.6</v>
      </c>
      <c r="D215" s="85">
        <f t="shared" si="6"/>
        <v>197.99785</v>
      </c>
    </row>
    <row r="216" ht="15.0" hidden="1" customHeight="1">
      <c r="A216" s="85" t="str">
        <f>IFERROR(IF(COLORES!A20="","",COLORES!A20),"")</f>
        <v>P. Rosa</v>
      </c>
      <c r="B216" s="85">
        <f>IF(A216="","",SUMIFS(COBROS_DIARIOS!$K$4:$K$505,COBROS_DIARIOS!$F$4:$F$505,A216,COBROS_DIARIOS!$A$4:$A$505,"&gt;="&amp;$B$2,COBROS_DIARIOS!$A$4:$A$505,"&lt;="&amp;EOMONTH($B$2,0)))</f>
        <v>1492</v>
      </c>
      <c r="C216" s="85">
        <f>IF(A216="","",SUMIFS(COBROS_DIARIOS!$M$4:$M$505,COBROS_DIARIOS!$F$4:$F$505,A216,COBROS_DIARIOS!$A$4:$A$505,"&gt;="&amp;$B$2,COBROS_DIARIOS!$A$4:$A$505,"&lt;="&amp;EOMONTH($B$2,0)))</f>
        <v>3677.1</v>
      </c>
      <c r="D216" s="85">
        <f t="shared" si="6"/>
        <v>1491.99784</v>
      </c>
    </row>
    <row r="217" ht="15.0" hidden="1" customHeight="1">
      <c r="A217" s="85" t="str">
        <f>IFERROR(IF(COLORES!A21="","",COLORES!A21),"")</f>
        <v>Plomo</v>
      </c>
      <c r="B217" s="85">
        <f>IF(A217="","",SUMIFS(COBROS_DIARIOS!$K$4:$K$505,COBROS_DIARIOS!$F$4:$F$505,A217,COBROS_DIARIOS!$A$4:$A$505,"&gt;="&amp;$B$2,COBROS_DIARIOS!$A$4:$A$505,"&lt;="&amp;EOMONTH($B$2,0)))</f>
        <v>0</v>
      </c>
      <c r="C217" s="85">
        <f>IF(A217="","",SUMIFS(COBROS_DIARIOS!$M$4:$M$505,COBROS_DIARIOS!$F$4:$F$505,A217,COBROS_DIARIOS!$A$4:$A$505,"&gt;="&amp;$B$2,COBROS_DIARIOS!$A$4:$A$505,"&lt;="&amp;EOMONTH($B$2,0)))</f>
        <v>0</v>
      </c>
      <c r="D217" s="85">
        <f t="shared" si="6"/>
        <v>-0.00217</v>
      </c>
    </row>
    <row r="218" ht="15.0" hidden="1" customHeight="1">
      <c r="A218" s="85" t="str">
        <f>IFERROR(IF(COLORES!A22="","",COLORES!A22),"")</f>
        <v>Azul Marino</v>
      </c>
      <c r="B218" s="85">
        <f>IF(A218="","",SUMIFS(COBROS_DIARIOS!$K$4:$K$505,COBROS_DIARIOS!$F$4:$F$505,A218,COBROS_DIARIOS!$A$4:$A$505,"&gt;="&amp;$B$2,COBROS_DIARIOS!$A$4:$A$505,"&lt;="&amp;EOMONTH($B$2,0)))</f>
        <v>4340</v>
      </c>
      <c r="C218" s="85">
        <f>IF(A218="","",SUMIFS(COBROS_DIARIOS!$M$4:$M$505,COBROS_DIARIOS!$F$4:$F$505,A218,COBROS_DIARIOS!$A$4:$A$505,"&gt;="&amp;$B$2,COBROS_DIARIOS!$A$4:$A$505,"&lt;="&amp;EOMONTH($B$2,0)))</f>
        <v>11485.3</v>
      </c>
      <c r="D218" s="85">
        <f t="shared" si="6"/>
        <v>4339.99782</v>
      </c>
    </row>
    <row r="219" ht="15.0" hidden="1" customHeight="1">
      <c r="A219" s="85" t="str">
        <f>IFERROR(IF(COLORES!A23="","",COLORES!A23),"")</f>
        <v>Verde Hoja</v>
      </c>
      <c r="B219" s="85">
        <f>IF(A219="","",SUMIFS(COBROS_DIARIOS!$K$4:$K$505,COBROS_DIARIOS!$F$4:$F$505,A219,COBROS_DIARIOS!$A$4:$A$505,"&gt;="&amp;$B$2,COBROS_DIARIOS!$A$4:$A$505,"&lt;="&amp;EOMONTH($B$2,0)))</f>
        <v>0</v>
      </c>
      <c r="C219" s="85">
        <f>IF(A219="","",SUMIFS(COBROS_DIARIOS!$M$4:$M$505,COBROS_DIARIOS!$F$4:$F$505,A219,COBROS_DIARIOS!$A$4:$A$505,"&gt;="&amp;$B$2,COBROS_DIARIOS!$A$4:$A$505,"&lt;="&amp;EOMONTH($B$2,0)))</f>
        <v>0</v>
      </c>
      <c r="D219" s="85">
        <f t="shared" si="6"/>
        <v>-0.00219</v>
      </c>
    </row>
    <row r="220" ht="15.0" hidden="1" customHeight="1">
      <c r="A220" s="85" t="str">
        <f>IFERROR(IF(COLORES!A24="","",COLORES!A24),"")</f>
        <v>Rosado</v>
      </c>
      <c r="B220" s="85">
        <f>IF(A220="","",SUMIFS(COBROS_DIARIOS!$K$4:$K$505,COBROS_DIARIOS!$F$4:$F$505,A220,COBROS_DIARIOS!$A$4:$A$505,"&gt;="&amp;$B$2,COBROS_DIARIOS!$A$4:$A$505,"&lt;="&amp;EOMONTH($B$2,0)))</f>
        <v>0</v>
      </c>
      <c r="C220" s="85">
        <f>IF(A220="","",SUMIFS(COBROS_DIARIOS!$M$4:$M$505,COBROS_DIARIOS!$F$4:$F$505,A220,COBROS_DIARIOS!$A$4:$A$505,"&gt;="&amp;$B$2,COBROS_DIARIOS!$A$4:$A$505,"&lt;="&amp;EOMONTH($B$2,0)))</f>
        <v>0</v>
      </c>
      <c r="D220" s="85">
        <f t="shared" si="6"/>
        <v>-0.0022</v>
      </c>
    </row>
    <row r="221" ht="15.0" hidden="1" customHeight="1">
      <c r="A221" s="85" t="str">
        <f>IFERROR(IF(COLORES!A25="","",COLORES!A25),"")</f>
        <v>Cemento/Hoja</v>
      </c>
      <c r="B221" s="85">
        <f>IF(A221="","",SUMIFS(COBROS_DIARIOS!$K$4:$K$505,COBROS_DIARIOS!$F$4:$F$505,A221,COBROS_DIARIOS!$A$4:$A$505,"&gt;="&amp;$B$2,COBROS_DIARIOS!$A$4:$A$505,"&lt;="&amp;EOMONTH($B$2,0)))</f>
        <v>0</v>
      </c>
      <c r="C221" s="85">
        <f>IF(A221="","",SUMIFS(COBROS_DIARIOS!$M$4:$M$505,COBROS_DIARIOS!$F$4:$F$505,A221,COBROS_DIARIOS!$A$4:$A$505,"&gt;="&amp;$B$2,COBROS_DIARIOS!$A$4:$A$505,"&lt;="&amp;EOMONTH($B$2,0)))</f>
        <v>0</v>
      </c>
      <c r="D221" s="85">
        <f t="shared" si="6"/>
        <v>-0.00221</v>
      </c>
    </row>
    <row r="222" ht="15.0" hidden="1" customHeight="1">
      <c r="A222" s="85" t="str">
        <f>IFERROR(IF(COLORES!A26="","",COLORES!A26),"")</f>
        <v>Colegial</v>
      </c>
      <c r="B222" s="85">
        <f>IF(A222="","",SUMIFS(COBROS_DIARIOS!$K$4:$K$505,COBROS_DIARIOS!$F$4:$F$505,A222,COBROS_DIARIOS!$A$4:$A$505,"&gt;="&amp;$B$2,COBROS_DIARIOS!$A$4:$A$505,"&lt;="&amp;EOMONTH($B$2,0)))</f>
        <v>2998</v>
      </c>
      <c r="C222" s="85">
        <f>IF(A222="","",SUMIFS(COBROS_DIARIOS!$M$4:$M$505,COBROS_DIARIOS!$F$4:$F$505,A222,COBROS_DIARIOS!$A$4:$A$505,"&gt;="&amp;$B$2,COBROS_DIARIOS!$A$4:$A$505,"&lt;="&amp;EOMONTH($B$2,0)))</f>
        <v>7367</v>
      </c>
      <c r="D222" s="85">
        <f t="shared" si="6"/>
        <v>2997.99778</v>
      </c>
    </row>
    <row r="223" ht="15.0" hidden="1" customHeight="1">
      <c r="A223" s="85" t="str">
        <f>IFERROR(IF(COLORES!A27="","",COLORES!A27),"")</f>
        <v>Negro 1</v>
      </c>
      <c r="B223" s="85">
        <f>IF(A223="","",SUMIFS(COBROS_DIARIOS!$K$4:$K$505,COBROS_DIARIOS!$F$4:$F$505,A223,COBROS_DIARIOS!$A$4:$A$505,"&gt;="&amp;$B$2,COBROS_DIARIOS!$A$4:$A$505,"&lt;="&amp;EOMONTH($B$2,0)))</f>
        <v>0</v>
      </c>
      <c r="C223" s="85">
        <f>IF(A223="","",SUMIFS(COBROS_DIARIOS!$M$4:$M$505,COBROS_DIARIOS!$F$4:$F$505,A223,COBROS_DIARIOS!$A$4:$A$505,"&gt;="&amp;$B$2,COBROS_DIARIOS!$A$4:$A$505,"&lt;="&amp;EOMONTH($B$2,0)))</f>
        <v>0</v>
      </c>
      <c r="D223" s="85">
        <f t="shared" si="6"/>
        <v>-0.00223</v>
      </c>
    </row>
    <row r="224" ht="15.0" hidden="1" customHeight="1">
      <c r="A224" s="85" t="str">
        <f>IFERROR(IF(COLORES!A28="","",COLORES!A28),"")</f>
        <v>Negro 2</v>
      </c>
      <c r="B224" s="85">
        <f>IF(A224="","",SUMIFS(COBROS_DIARIOS!$K$4:$K$505,COBROS_DIARIOS!$F$4:$F$505,A224,COBROS_DIARIOS!$A$4:$A$505,"&gt;="&amp;$B$2,COBROS_DIARIOS!$A$4:$A$505,"&lt;="&amp;EOMONTH($B$2,0)))</f>
        <v>0</v>
      </c>
      <c r="C224" s="85">
        <f>IF(A224="","",SUMIFS(COBROS_DIARIOS!$M$4:$M$505,COBROS_DIARIOS!$F$4:$F$505,A224,COBROS_DIARIOS!$A$4:$A$505,"&gt;="&amp;$B$2,COBROS_DIARIOS!$A$4:$A$505,"&lt;="&amp;EOMONTH($B$2,0)))</f>
        <v>0</v>
      </c>
      <c r="D224" s="85">
        <f t="shared" si="6"/>
        <v>-0.00224</v>
      </c>
    </row>
    <row r="225" ht="15.0" hidden="1" customHeight="1">
      <c r="A225" s="85" t="str">
        <f>IFERROR(IF(COLORES!A29="","",COLORES!A29),"")</f>
        <v>Hoja</v>
      </c>
      <c r="B225" s="85">
        <f>IF(A225="","",SUMIFS(COBROS_DIARIOS!$K$4:$K$505,COBROS_DIARIOS!$F$4:$F$505,A225,COBROS_DIARIOS!$A$4:$A$505,"&gt;="&amp;$B$2,COBROS_DIARIOS!$A$4:$A$505,"&lt;="&amp;EOMONTH($B$2,0)))</f>
        <v>0</v>
      </c>
      <c r="C225" s="85">
        <f>IF(A225="","",SUMIFS(COBROS_DIARIOS!$M$4:$M$505,COBROS_DIARIOS!$F$4:$F$505,A225,COBROS_DIARIOS!$A$4:$A$505,"&gt;="&amp;$B$2,COBROS_DIARIOS!$A$4:$A$505,"&lt;="&amp;EOMONTH($B$2,0)))</f>
        <v>0</v>
      </c>
      <c r="D225" s="85">
        <f t="shared" si="6"/>
        <v>-0.00225</v>
      </c>
    </row>
    <row r="226" ht="15.0" hidden="1" customHeight="1">
      <c r="A226" s="85" t="str">
        <f>IFERROR(IF(COLORES!A30="","",COLORES!A30),"")</f>
        <v>Acero</v>
      </c>
      <c r="B226" s="85">
        <f>IF(A226="","",SUMIFS(COBROS_DIARIOS!$K$4:$K$505,COBROS_DIARIOS!$F$4:$F$505,A226,COBROS_DIARIOS!$A$4:$A$505,"&gt;="&amp;$B$2,COBROS_DIARIOS!$A$4:$A$505,"&lt;="&amp;EOMONTH($B$2,0)))</f>
        <v>0</v>
      </c>
      <c r="C226" s="85">
        <f>IF(A226="","",SUMIFS(COBROS_DIARIOS!$M$4:$M$505,COBROS_DIARIOS!$F$4:$F$505,A226,COBROS_DIARIOS!$A$4:$A$505,"&gt;="&amp;$B$2,COBROS_DIARIOS!$A$4:$A$505,"&lt;="&amp;EOMONTH($B$2,0)))</f>
        <v>0</v>
      </c>
      <c r="D226" s="85">
        <f t="shared" si="6"/>
        <v>-0.00226</v>
      </c>
    </row>
    <row r="227" ht="15.0" hidden="1" customHeight="1">
      <c r="A227" s="85" t="str">
        <f>IFERROR(IF(COLORES!A31="","",COLORES!A31),"")</f>
        <v>Marino</v>
      </c>
      <c r="B227" s="85">
        <f>IF(A227="","",SUMIFS(COBROS_DIARIOS!$K$4:$K$505,COBROS_DIARIOS!$F$4:$F$505,A227,COBROS_DIARIOS!$A$4:$A$505,"&gt;="&amp;$B$2,COBROS_DIARIOS!$A$4:$A$505,"&lt;="&amp;EOMONTH($B$2,0)))</f>
        <v>0</v>
      </c>
      <c r="C227" s="85">
        <f>IF(A227="","",SUMIFS(COBROS_DIARIOS!$M$4:$M$505,COBROS_DIARIOS!$F$4:$F$505,A227,COBROS_DIARIOS!$A$4:$A$505,"&gt;="&amp;$B$2,COBROS_DIARIOS!$A$4:$A$505,"&lt;="&amp;EOMONTH($B$2,0)))</f>
        <v>0</v>
      </c>
      <c r="D227" s="85">
        <f t="shared" si="6"/>
        <v>-0.00227</v>
      </c>
    </row>
    <row r="228" ht="15.0" hidden="1" customHeight="1">
      <c r="A228" s="85" t="str">
        <f>IFERROR(IF(COLORES!A32="","",COLORES!A32),"")</f>
        <v>Pumice</v>
      </c>
      <c r="B228" s="85">
        <f>IF(A228="","",SUMIFS(COBROS_DIARIOS!$K$4:$K$505,COBROS_DIARIOS!$F$4:$F$505,A228,COBROS_DIARIOS!$A$4:$A$505,"&gt;="&amp;$B$2,COBROS_DIARIOS!$A$4:$A$505,"&lt;="&amp;EOMONTH($B$2,0)))</f>
        <v>0</v>
      </c>
      <c r="C228" s="85">
        <f>IF(A228="","",SUMIFS(COBROS_DIARIOS!$M$4:$M$505,COBROS_DIARIOS!$F$4:$F$505,A228,COBROS_DIARIOS!$A$4:$A$505,"&gt;="&amp;$B$2,COBROS_DIARIOS!$A$4:$A$505,"&lt;="&amp;EOMONTH($B$2,0)))</f>
        <v>0</v>
      </c>
      <c r="D228" s="85">
        <f t="shared" si="6"/>
        <v>-0.00228</v>
      </c>
    </row>
    <row r="229" ht="15.0" hidden="1" customHeight="1">
      <c r="A229" s="85" t="str">
        <f>IFERROR(IF(COLORES!A33="","",COLORES!A33),"")</f>
        <v>Vino Tinto</v>
      </c>
      <c r="B229" s="85">
        <f>IF(A229="","",SUMIFS(COBROS_DIARIOS!$K$4:$K$505,COBROS_DIARIOS!$F$4:$F$505,A229,COBROS_DIARIOS!$A$4:$A$505,"&gt;="&amp;$B$2,COBROS_DIARIOS!$A$4:$A$505,"&lt;="&amp;EOMONTH($B$2,0)))</f>
        <v>0</v>
      </c>
      <c r="C229" s="85">
        <f>IF(A229="","",SUMIFS(COBROS_DIARIOS!$M$4:$M$505,COBROS_DIARIOS!$F$4:$F$505,A229,COBROS_DIARIOS!$A$4:$A$505,"&gt;="&amp;$B$2,COBROS_DIARIOS!$A$4:$A$505,"&lt;="&amp;EOMONTH($B$2,0)))</f>
        <v>0</v>
      </c>
      <c r="D229" s="85">
        <f t="shared" si="6"/>
        <v>-0.00229</v>
      </c>
    </row>
    <row r="230" ht="15.0" hidden="1" customHeight="1">
      <c r="A230" s="85" t="str">
        <f>IFERROR(IF(COLORES!A34="","",COLORES!A34),"")</f>
        <v/>
      </c>
      <c r="B230" s="85" t="str">
        <f>IF(A230="","",SUMIFS(COBROS_DIARIOS!$K$4:$K$505,COBROS_DIARIOS!$F$4:$F$505,A230,COBROS_DIARIOS!$A$4:$A$505,"&gt;="&amp;$B$2,COBROS_DIARIOS!$A$4:$A$505,"&lt;="&amp;EOMONTH($B$2,0)))</f>
        <v/>
      </c>
      <c r="C230" s="85" t="str">
        <f>IF(A230="","",SUMIFS(COBROS_DIARIOS!$M$4:$M$505,COBROS_DIARIOS!$F$4:$F$505,A230,COBROS_DIARIOS!$A$4:$A$505,"&gt;="&amp;$B$2,COBROS_DIARIOS!$A$4:$A$505,"&lt;="&amp;EOMONTH($B$2,0)))</f>
        <v/>
      </c>
      <c r="D230" s="85" t="str">
        <f t="shared" si="6"/>
        <v/>
      </c>
    </row>
    <row r="231" ht="15.0" hidden="1" customHeight="1">
      <c r="A231" s="85" t="str">
        <f>IFERROR(IF(COLORES!A35="","",COLORES!A35),"")</f>
        <v/>
      </c>
      <c r="B231" s="85" t="str">
        <f>IF(A231="","",SUMIFS(COBROS_DIARIOS!$K$4:$K$505,COBROS_DIARIOS!$F$4:$F$505,A231,COBROS_DIARIOS!$A$4:$A$505,"&gt;="&amp;$B$2,COBROS_DIARIOS!$A$4:$A$505,"&lt;="&amp;EOMONTH($B$2,0)))</f>
        <v/>
      </c>
      <c r="C231" s="85" t="str">
        <f>IF(A231="","",SUMIFS(COBROS_DIARIOS!$M$4:$M$505,COBROS_DIARIOS!$F$4:$F$505,A231,COBROS_DIARIOS!$A$4:$A$505,"&gt;="&amp;$B$2,COBROS_DIARIOS!$A$4:$A$505,"&lt;="&amp;EOMONTH($B$2,0)))</f>
        <v/>
      </c>
      <c r="D231" s="85" t="str">
        <f t="shared" si="6"/>
        <v/>
      </c>
    </row>
    <row r="232" ht="15.0" hidden="1" customHeight="1">
      <c r="A232" s="85" t="str">
        <f>IFERROR(IF(COLORES!A36="","",COLORES!A36),"")</f>
        <v/>
      </c>
      <c r="B232" s="85" t="str">
        <f>IF(A232="","",SUMIFS(COBROS_DIARIOS!$K$4:$K$505,COBROS_DIARIOS!$F$4:$F$505,A232,COBROS_DIARIOS!$A$4:$A$505,"&gt;="&amp;$B$2,COBROS_DIARIOS!$A$4:$A$505,"&lt;="&amp;EOMONTH($B$2,0)))</f>
        <v/>
      </c>
      <c r="C232" s="85" t="str">
        <f>IF(A232="","",SUMIFS(COBROS_DIARIOS!$M$4:$M$505,COBROS_DIARIOS!$F$4:$F$505,A232,COBROS_DIARIOS!$A$4:$A$505,"&gt;="&amp;$B$2,COBROS_DIARIOS!$A$4:$A$505,"&lt;="&amp;EOMONTH($B$2,0)))</f>
        <v/>
      </c>
      <c r="D232" s="85" t="str">
        <f t="shared" si="6"/>
        <v/>
      </c>
    </row>
    <row r="233" ht="15.0" hidden="1" customHeight="1">
      <c r="A233" s="85" t="str">
        <f>IFERROR(IF(COLORES!A37="","",COLORES!A37),"")</f>
        <v/>
      </c>
      <c r="B233" s="85" t="str">
        <f>IF(A233="","",SUMIFS(COBROS_DIARIOS!$K$4:$K$505,COBROS_DIARIOS!$F$4:$F$505,A233,COBROS_DIARIOS!$A$4:$A$505,"&gt;="&amp;$B$2,COBROS_DIARIOS!$A$4:$A$505,"&lt;="&amp;EOMONTH($B$2,0)))</f>
        <v/>
      </c>
      <c r="C233" s="85" t="str">
        <f>IF(A233="","",SUMIFS(COBROS_DIARIOS!$M$4:$M$505,COBROS_DIARIOS!$F$4:$F$505,A233,COBROS_DIARIOS!$A$4:$A$505,"&gt;="&amp;$B$2,COBROS_DIARIOS!$A$4:$A$505,"&lt;="&amp;EOMONTH($B$2,0)))</f>
        <v/>
      </c>
      <c r="D233" s="85" t="str">
        <f t="shared" si="6"/>
        <v/>
      </c>
    </row>
    <row r="234" ht="15.0" hidden="1" customHeight="1">
      <c r="A234" s="85" t="str">
        <f>IFERROR(IF(COLORES!A38="","",COLORES!A38),"")</f>
        <v/>
      </c>
      <c r="B234" s="85" t="str">
        <f>IF(A234="","",SUMIFS(COBROS_DIARIOS!$K$4:$K$505,COBROS_DIARIOS!$F$4:$F$505,A234,COBROS_DIARIOS!$A$4:$A$505,"&gt;="&amp;$B$2,COBROS_DIARIOS!$A$4:$A$505,"&lt;="&amp;EOMONTH($B$2,0)))</f>
        <v/>
      </c>
      <c r="C234" s="85" t="str">
        <f>IF(A234="","",SUMIFS(COBROS_DIARIOS!$M$4:$M$505,COBROS_DIARIOS!$F$4:$F$505,A234,COBROS_DIARIOS!$A$4:$A$505,"&gt;="&amp;$B$2,COBROS_DIARIOS!$A$4:$A$505,"&lt;="&amp;EOMONTH($B$2,0)))</f>
        <v/>
      </c>
      <c r="D234" s="85" t="str">
        <f t="shared" si="6"/>
        <v/>
      </c>
    </row>
    <row r="235" ht="15.0" hidden="1" customHeight="1">
      <c r="A235" s="85" t="str">
        <f>IFERROR(IF(COLORES!A39="","",COLORES!A39),"")</f>
        <v/>
      </c>
      <c r="B235" s="85" t="str">
        <f>IF(A235="","",SUMIFS(COBROS_DIARIOS!$K$4:$K$505,COBROS_DIARIOS!$F$4:$F$505,A235,COBROS_DIARIOS!$A$4:$A$505,"&gt;="&amp;$B$2,COBROS_DIARIOS!$A$4:$A$505,"&lt;="&amp;EOMONTH($B$2,0)))</f>
        <v/>
      </c>
      <c r="C235" s="85" t="str">
        <f>IF(A235="","",SUMIFS(COBROS_DIARIOS!$M$4:$M$505,COBROS_DIARIOS!$F$4:$F$505,A235,COBROS_DIARIOS!$A$4:$A$505,"&gt;="&amp;$B$2,COBROS_DIARIOS!$A$4:$A$505,"&lt;="&amp;EOMONTH($B$2,0)))</f>
        <v/>
      </c>
      <c r="D235" s="85" t="str">
        <f t="shared" si="6"/>
        <v/>
      </c>
    </row>
    <row r="236" ht="15.0" hidden="1" customHeight="1">
      <c r="A236" s="85" t="str">
        <f>IFERROR(IF(COLORES!A40="","",COLORES!A40),"")</f>
        <v/>
      </c>
      <c r="B236" s="85" t="str">
        <f>IF(A236="","",SUMIFS(COBROS_DIARIOS!$K$4:$K$505,COBROS_DIARIOS!$F$4:$F$505,A236,COBROS_DIARIOS!$A$4:$A$505,"&gt;="&amp;$B$2,COBROS_DIARIOS!$A$4:$A$505,"&lt;="&amp;EOMONTH($B$2,0)))</f>
        <v/>
      </c>
      <c r="C236" s="85" t="str">
        <f>IF(A236="","",SUMIFS(COBROS_DIARIOS!$M$4:$M$505,COBROS_DIARIOS!$F$4:$F$505,A236,COBROS_DIARIOS!$A$4:$A$505,"&gt;="&amp;$B$2,COBROS_DIARIOS!$A$4:$A$505,"&lt;="&amp;EOMONTH($B$2,0)))</f>
        <v/>
      </c>
      <c r="D236" s="85" t="str">
        <f t="shared" si="6"/>
        <v/>
      </c>
    </row>
    <row r="237" ht="15.0" hidden="1" customHeight="1">
      <c r="A237" s="85" t="str">
        <f>IFERROR(IF(COLORES!A41="","",COLORES!A41),"")</f>
        <v/>
      </c>
      <c r="B237" s="85" t="str">
        <f>IF(A237="","",SUMIFS(COBROS_DIARIOS!$K$4:$K$505,COBROS_DIARIOS!$F$4:$F$505,A237,COBROS_DIARIOS!$A$4:$A$505,"&gt;="&amp;$B$2,COBROS_DIARIOS!$A$4:$A$505,"&lt;="&amp;EOMONTH($B$2,0)))</f>
        <v/>
      </c>
      <c r="C237" s="85" t="str">
        <f>IF(A237="","",SUMIFS(COBROS_DIARIOS!$M$4:$M$505,COBROS_DIARIOS!$F$4:$F$505,A237,COBROS_DIARIOS!$A$4:$A$505,"&gt;="&amp;$B$2,COBROS_DIARIOS!$A$4:$A$505,"&lt;="&amp;EOMONTH($B$2,0)))</f>
        <v/>
      </c>
      <c r="D237" s="85" t="str">
        <f t="shared" si="6"/>
        <v/>
      </c>
    </row>
    <row r="238" ht="15.0" hidden="1" customHeight="1">
      <c r="A238" s="85" t="str">
        <f>IFERROR(IF(COLORES!A42="","",COLORES!A42),"")</f>
        <v/>
      </c>
      <c r="B238" s="85" t="str">
        <f>IF(A238="","",SUMIFS(COBROS_DIARIOS!$K$4:$K$505,COBROS_DIARIOS!$F$4:$F$505,A238,COBROS_DIARIOS!$A$4:$A$505,"&gt;="&amp;$B$2,COBROS_DIARIOS!$A$4:$A$505,"&lt;="&amp;EOMONTH($B$2,0)))</f>
        <v/>
      </c>
      <c r="C238" s="85" t="str">
        <f>IF(A238="","",SUMIFS(COBROS_DIARIOS!$M$4:$M$505,COBROS_DIARIOS!$F$4:$F$505,A238,COBROS_DIARIOS!$A$4:$A$505,"&gt;="&amp;$B$2,COBROS_DIARIOS!$A$4:$A$505,"&lt;="&amp;EOMONTH($B$2,0)))</f>
        <v/>
      </c>
      <c r="D238" s="85" t="str">
        <f t="shared" si="6"/>
        <v/>
      </c>
    </row>
    <row r="239" ht="15.0" hidden="1" customHeight="1">
      <c r="A239" s="85" t="str">
        <f>IFERROR(IF(COLORES!A43="","",COLORES!A43),"")</f>
        <v/>
      </c>
      <c r="B239" s="85" t="str">
        <f>IF(A239="","",SUMIFS(COBROS_DIARIOS!$K$4:$K$505,COBROS_DIARIOS!$F$4:$F$505,A239,COBROS_DIARIOS!$A$4:$A$505,"&gt;="&amp;$B$2,COBROS_DIARIOS!$A$4:$A$505,"&lt;="&amp;EOMONTH($B$2,0)))</f>
        <v/>
      </c>
      <c r="C239" s="85" t="str">
        <f>IF(A239="","",SUMIFS(COBROS_DIARIOS!$M$4:$M$505,COBROS_DIARIOS!$F$4:$F$505,A239,COBROS_DIARIOS!$A$4:$A$505,"&gt;="&amp;$B$2,COBROS_DIARIOS!$A$4:$A$505,"&lt;="&amp;EOMONTH($B$2,0)))</f>
        <v/>
      </c>
      <c r="D239" s="85" t="str">
        <f t="shared" si="6"/>
        <v/>
      </c>
    </row>
    <row r="240" ht="15.0" hidden="1" customHeight="1">
      <c r="A240" s="85" t="str">
        <f>IFERROR(IF(COLORES!A44="","",COLORES!A44),"")</f>
        <v/>
      </c>
      <c r="B240" s="85" t="str">
        <f>IF(A240="","",SUMIFS(COBROS_DIARIOS!$K$4:$K$505,COBROS_DIARIOS!$F$4:$F$505,A240,COBROS_DIARIOS!$A$4:$A$505,"&gt;="&amp;$B$2,COBROS_DIARIOS!$A$4:$A$505,"&lt;="&amp;EOMONTH($B$2,0)))</f>
        <v/>
      </c>
      <c r="C240" s="85" t="str">
        <f>IF(A240="","",SUMIFS(COBROS_DIARIOS!$M$4:$M$505,COBROS_DIARIOS!$F$4:$F$505,A240,COBROS_DIARIOS!$A$4:$A$505,"&gt;="&amp;$B$2,COBROS_DIARIOS!$A$4:$A$505,"&lt;="&amp;EOMONTH($B$2,0)))</f>
        <v/>
      </c>
      <c r="D240" s="85" t="str">
        <f t="shared" si="6"/>
        <v/>
      </c>
    </row>
    <row r="241" ht="15.0" hidden="1" customHeight="1">
      <c r="A241" s="85" t="str">
        <f>IFERROR(IF(COLORES!A45="","",COLORES!A45),"")</f>
        <v/>
      </c>
      <c r="B241" s="85" t="str">
        <f>IF(A241="","",SUMIFS(COBROS_DIARIOS!$K$4:$K$505,COBROS_DIARIOS!$F$4:$F$505,A241,COBROS_DIARIOS!$A$4:$A$505,"&gt;="&amp;$B$2,COBROS_DIARIOS!$A$4:$A$505,"&lt;="&amp;EOMONTH($B$2,0)))</f>
        <v/>
      </c>
      <c r="C241" s="85" t="str">
        <f>IF(A241="","",SUMIFS(COBROS_DIARIOS!$M$4:$M$505,COBROS_DIARIOS!$F$4:$F$505,A241,COBROS_DIARIOS!$A$4:$A$505,"&gt;="&amp;$B$2,COBROS_DIARIOS!$A$4:$A$505,"&lt;="&amp;EOMONTH($B$2,0)))</f>
        <v/>
      </c>
      <c r="D241" s="85" t="str">
        <f t="shared" si="6"/>
        <v/>
      </c>
    </row>
    <row r="242" ht="15.0" hidden="1" customHeight="1">
      <c r="A242" s="85" t="str">
        <f>IFERROR(IF(COLORES!A46="","",COLORES!A46),"")</f>
        <v/>
      </c>
      <c r="B242" s="85" t="str">
        <f>IF(A242="","",SUMIFS(COBROS_DIARIOS!$K$4:$K$505,COBROS_DIARIOS!$F$4:$F$505,A242,COBROS_DIARIOS!$A$4:$A$505,"&gt;="&amp;$B$2,COBROS_DIARIOS!$A$4:$A$505,"&lt;="&amp;EOMONTH($B$2,0)))</f>
        <v/>
      </c>
      <c r="C242" s="85" t="str">
        <f>IF(A242="","",SUMIFS(COBROS_DIARIOS!$M$4:$M$505,COBROS_DIARIOS!$F$4:$F$505,A242,COBROS_DIARIOS!$A$4:$A$505,"&gt;="&amp;$B$2,COBROS_DIARIOS!$A$4:$A$505,"&lt;="&amp;EOMONTH($B$2,0)))</f>
        <v/>
      </c>
      <c r="D242" s="85" t="str">
        <f t="shared" si="6"/>
        <v/>
      </c>
    </row>
    <row r="243" ht="15.0" hidden="1" customHeight="1">
      <c r="A243" s="85" t="str">
        <f>IFERROR(IF(COLORES!A47="","",COLORES!A47),"")</f>
        <v/>
      </c>
      <c r="B243" s="85" t="str">
        <f>IF(A243="","",SUMIFS(COBROS_DIARIOS!$K$4:$K$505,COBROS_DIARIOS!$F$4:$F$505,A243,COBROS_DIARIOS!$A$4:$A$505,"&gt;="&amp;$B$2,COBROS_DIARIOS!$A$4:$A$505,"&lt;="&amp;EOMONTH($B$2,0)))</f>
        <v/>
      </c>
      <c r="C243" s="85" t="str">
        <f>IF(A243="","",SUMIFS(COBROS_DIARIOS!$M$4:$M$505,COBROS_DIARIOS!$F$4:$F$505,A243,COBROS_DIARIOS!$A$4:$A$505,"&gt;="&amp;$B$2,COBROS_DIARIOS!$A$4:$A$505,"&lt;="&amp;EOMONTH($B$2,0)))</f>
        <v/>
      </c>
      <c r="D243" s="85" t="str">
        <f t="shared" si="6"/>
        <v/>
      </c>
    </row>
    <row r="244" ht="15.0" hidden="1" customHeight="1">
      <c r="A244" s="85" t="str">
        <f>IFERROR(IF(COLORES!A48="","",COLORES!A48),"")</f>
        <v/>
      </c>
      <c r="B244" s="85" t="str">
        <f>IF(A244="","",SUMIFS(COBROS_DIARIOS!$K$4:$K$505,COBROS_DIARIOS!$F$4:$F$505,A244,COBROS_DIARIOS!$A$4:$A$505,"&gt;="&amp;$B$2,COBROS_DIARIOS!$A$4:$A$505,"&lt;="&amp;EOMONTH($B$2,0)))</f>
        <v/>
      </c>
      <c r="C244" s="85" t="str">
        <f>IF(A244="","",SUMIFS(COBROS_DIARIOS!$M$4:$M$505,COBROS_DIARIOS!$F$4:$F$505,A244,COBROS_DIARIOS!$A$4:$A$505,"&gt;="&amp;$B$2,COBROS_DIARIOS!$A$4:$A$505,"&lt;="&amp;EOMONTH($B$2,0)))</f>
        <v/>
      </c>
      <c r="D244" s="85" t="str">
        <f t="shared" si="6"/>
        <v/>
      </c>
    </row>
    <row r="245" ht="15.0" hidden="1" customHeight="1">
      <c r="A245" s="85" t="str">
        <f>IFERROR(IF(COLORES!A49="","",COLORES!A49),"")</f>
        <v/>
      </c>
      <c r="B245" s="85" t="str">
        <f>IF(A245="","",SUMIFS(COBROS_DIARIOS!$K$4:$K$505,COBROS_DIARIOS!$F$4:$F$505,A245,COBROS_DIARIOS!$A$4:$A$505,"&gt;="&amp;$B$2,COBROS_DIARIOS!$A$4:$A$505,"&lt;="&amp;EOMONTH($B$2,0)))</f>
        <v/>
      </c>
      <c r="C245" s="85" t="str">
        <f>IF(A245="","",SUMIFS(COBROS_DIARIOS!$M$4:$M$505,COBROS_DIARIOS!$F$4:$F$505,A245,COBROS_DIARIOS!$A$4:$A$505,"&gt;="&amp;$B$2,COBROS_DIARIOS!$A$4:$A$505,"&lt;="&amp;EOMONTH($B$2,0)))</f>
        <v/>
      </c>
      <c r="D245" s="85" t="str">
        <f t="shared" si="6"/>
        <v/>
      </c>
    </row>
    <row r="246" ht="15.0" hidden="1" customHeight="1">
      <c r="A246" s="85" t="str">
        <f>IFERROR(IF(COLORES!A50="","",COLORES!A50),"")</f>
        <v/>
      </c>
      <c r="B246" s="85" t="str">
        <f>IF(A246="","",SUMIFS(COBROS_DIARIOS!$K$4:$K$505,COBROS_DIARIOS!$F$4:$F$505,A246,COBROS_DIARIOS!$A$4:$A$505,"&gt;="&amp;$B$2,COBROS_DIARIOS!$A$4:$A$505,"&lt;="&amp;EOMONTH($B$2,0)))</f>
        <v/>
      </c>
      <c r="C246" s="85" t="str">
        <f>IF(A246="","",SUMIFS(COBROS_DIARIOS!$M$4:$M$505,COBROS_DIARIOS!$F$4:$F$505,A246,COBROS_DIARIOS!$A$4:$A$505,"&gt;="&amp;$B$2,COBROS_DIARIOS!$A$4:$A$505,"&lt;="&amp;EOMONTH($B$2,0)))</f>
        <v/>
      </c>
      <c r="D246" s="85" t="str">
        <f t="shared" si="6"/>
        <v/>
      </c>
    </row>
    <row r="247" ht="15.0" hidden="1" customHeight="1">
      <c r="A247" s="85" t="str">
        <f>IFERROR(IF(COLORES!A51="","",COLORES!A51),"")</f>
        <v/>
      </c>
      <c r="B247" s="85" t="str">
        <f>IF(A247="","",SUMIFS(COBROS_DIARIOS!$K$4:$K$505,COBROS_DIARIOS!$F$4:$F$505,A247,COBROS_DIARIOS!$A$4:$A$505,"&gt;="&amp;$B$2,COBROS_DIARIOS!$A$4:$A$505,"&lt;="&amp;EOMONTH($B$2,0)))</f>
        <v/>
      </c>
      <c r="C247" s="85" t="str">
        <f>IF(A247="","",SUMIFS(COBROS_DIARIOS!$M$4:$M$505,COBROS_DIARIOS!$F$4:$F$505,A247,COBROS_DIARIOS!$A$4:$A$505,"&gt;="&amp;$B$2,COBROS_DIARIOS!$A$4:$A$505,"&lt;="&amp;EOMONTH($B$2,0)))</f>
        <v/>
      </c>
      <c r="D247" s="85" t="str">
        <f t="shared" si="6"/>
        <v/>
      </c>
    </row>
    <row r="248" ht="15.0" hidden="1" customHeight="1">
      <c r="A248" s="85" t="str">
        <f>IFERROR(IF(COLORES!A52="","",COLORES!A52),"")</f>
        <v/>
      </c>
      <c r="B248" s="85" t="str">
        <f>IF(A248="","",SUMIFS(COBROS_DIARIOS!$K$4:$K$505,COBROS_DIARIOS!$F$4:$F$505,A248,COBROS_DIARIOS!$A$4:$A$505,"&gt;="&amp;$B$2,COBROS_DIARIOS!$A$4:$A$505,"&lt;="&amp;EOMONTH($B$2,0)))</f>
        <v/>
      </c>
      <c r="C248" s="85" t="str">
        <f>IF(A248="","",SUMIFS(COBROS_DIARIOS!$M$4:$M$505,COBROS_DIARIOS!$F$4:$F$505,A248,COBROS_DIARIOS!$A$4:$A$505,"&gt;="&amp;$B$2,COBROS_DIARIOS!$A$4:$A$505,"&lt;="&amp;EOMONTH($B$2,0)))</f>
        <v/>
      </c>
      <c r="D248" s="85" t="str">
        <f t="shared" si="6"/>
        <v/>
      </c>
    </row>
    <row r="249" ht="15.0" hidden="1" customHeight="1">
      <c r="A249" s="85" t="str">
        <f>IFERROR(IF(COLORES!A53="","",COLORES!A53),"")</f>
        <v/>
      </c>
      <c r="B249" s="85" t="str">
        <f>IF(A249="","",SUMIFS(COBROS_DIARIOS!$K$4:$K$505,COBROS_DIARIOS!$F$4:$F$505,A249,COBROS_DIARIOS!$A$4:$A$505,"&gt;="&amp;$B$2,COBROS_DIARIOS!$A$4:$A$505,"&lt;="&amp;EOMONTH($B$2,0)))</f>
        <v/>
      </c>
      <c r="C249" s="85" t="str">
        <f>IF(A249="","",SUMIFS(COBROS_DIARIOS!$M$4:$M$505,COBROS_DIARIOS!$F$4:$F$505,A249,COBROS_DIARIOS!$A$4:$A$505,"&gt;="&amp;$B$2,COBROS_DIARIOS!$A$4:$A$505,"&lt;="&amp;EOMONTH($B$2,0)))</f>
        <v/>
      </c>
      <c r="D249" s="85" t="str">
        <f t="shared" si="6"/>
        <v/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J1"/>
    <mergeCell ref="C2:J2"/>
    <mergeCell ref="A4:B4"/>
    <mergeCell ref="C4:D4"/>
    <mergeCell ref="E4:F4"/>
    <mergeCell ref="G4:H4"/>
    <mergeCell ref="A5:B5"/>
    <mergeCell ref="G5:H5"/>
    <mergeCell ref="C7:D7"/>
    <mergeCell ref="E7:F7"/>
    <mergeCell ref="A38:D38"/>
    <mergeCell ref="A72:Y72"/>
    <mergeCell ref="A7:B7"/>
    <mergeCell ref="A9:G9"/>
    <mergeCell ref="A101:F101"/>
    <mergeCell ref="C5:D5"/>
    <mergeCell ref="E5:F5"/>
    <mergeCell ref="A6:B6"/>
    <mergeCell ref="C6:D6"/>
    <mergeCell ref="E6:F6"/>
    <mergeCell ref="G6:H6"/>
    <mergeCell ref="G7:H7"/>
  </mergeCells>
  <printOptions/>
  <pageMargins bottom="1.0" footer="0.0" header="0.0" left="0.75" right="0.75" top="1.0"/>
  <pageSetup paperSize="9" orientation="portrait"/>
  <drawing r:id="rId1"/>
</worksheet>
</file>
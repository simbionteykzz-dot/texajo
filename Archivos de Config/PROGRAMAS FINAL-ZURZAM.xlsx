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AS" sheetId="1" r:id="rId5"/>
    <sheet state="visible" name="COMPRAS_HILO" sheetId="2" r:id="rId6"/>
    <sheet state="visible" name="PROGRAMA_DETALLE" sheetId="3" r:id="rId7"/>
    <sheet state="visible" name="PRECIOS_TINTORERIA" sheetId="4" r:id="rId8"/>
    <sheet state="visible" name="PRECIOS_TEJEDURIA" sheetId="5" r:id="rId9"/>
    <sheet state="visible" name="INSTRUCCIONES" sheetId="6" r:id="rId10"/>
    <sheet state="visible" name="CONFIG" sheetId="7" r:id="rId11"/>
    <sheet state="visible" name="PROVEEDORES" sheetId="8" r:id="rId12"/>
    <sheet state="visible" name="HILOS" sheetId="9" r:id="rId13"/>
    <sheet state="visible" name="COLORES" sheetId="10" r:id="rId14"/>
    <sheet state="visible" name="STOCK_EXTORNO" sheetId="11" r:id="rId15"/>
    <sheet state="visible" name="STOCK_INTERMEDIO" sheetId="12" r:id="rId16"/>
    <sheet state="visible" name="CUENTAS_POR_PAGAR" sheetId="13" r:id="rId17"/>
    <sheet state="visible" name="COSTOS_PROGRAMA" sheetId="14" r:id="rId18"/>
    <sheet state="visible" name="DASHBOARD" sheetId="15" r:id="rId19"/>
  </sheets>
  <definedNames>
    <definedName name="LISTA_SERVICIOS_TINTOR">PRECIOS_TINTORERIA!$A$4:$A$15</definedName>
    <definedName name="LISTA_HILOS">HILOS!$A$4:$A$22</definedName>
    <definedName name="LISTA_PROVEEDORES">PROVEEDORES!$A$4:$A$32</definedName>
    <definedName name="LISTA_TIPOS_TEJIDO">PRECIOS_TEJEDURIA!$A$4:$A$22</definedName>
    <definedName name="LISTA_PROGRAMAS">PROGRAMAS!$A$4:$A$103</definedName>
    <definedName name="LISTA_COLORES">COLORES!$A$4:$A$52</definedName>
    <definedName hidden="1" localSheetId="0" name="_xlnm._FilterDatabase">PROGRAMAS!$A$3:$AG$103</definedName>
    <definedName hidden="1" localSheetId="1" name="_xlnm._FilterDatabase">COMPRAS_HILO!$A$3:$Q$203</definedName>
    <definedName hidden="1" localSheetId="2" name="_xlnm._FilterDatabase">PROGRAMA_DETALLE!$A$3:$AI$503</definedName>
    <definedName hidden="1" localSheetId="12" name="_xlnm._FilterDatabase">CUENTAS_POR_PAGAR!$A$3:$I$1203</definedName>
    <definedName hidden="1" localSheetId="13" name="_xlnm._FilterDatabase">COSTOS_PROGRAMA!$A$3:$K$103</definedName>
    <definedName hidden="1" localSheetId="14" name="_xlnm._FilterDatabase">DASHBOARD!$A$32:$K$132</definedName>
  </definedNames>
  <calcPr/>
</workbook>
</file>

<file path=xl/sharedStrings.xml><?xml version="1.0" encoding="utf-8"?>
<sst xmlns="http://schemas.openxmlformats.org/spreadsheetml/2006/main" count="1855" uniqueCount="353">
  <si>
    <t>PROGRAMAS — Master con resumen hilo/tej/tint, comisión y costos totales</t>
  </si>
  <si>
    <t>Solo resumen. La operación detallada (factura tejeduría, tintorería por color, etc.) se llena en PROGRAMA_DETALLE.</t>
  </si>
  <si>
    <t>ID PROGRAMA</t>
  </si>
  <si>
    <t>FECHA INICIO</t>
  </si>
  <si>
    <t>DESCRIPCIÓN</t>
  </si>
  <si>
    <t>TIPO HILO</t>
  </si>
  <si>
    <t>ROLLOS OBJETIVO</t>
  </si>
  <si>
    <t>KG OBJETIVO</t>
  </si>
  <si>
    <t>TIPO TEJIDO</t>
  </si>
  <si>
    <t>CLIENTE</t>
  </si>
  <si>
    <t>ESTADO</t>
  </si>
  <si>
    <t>NOTAS</t>
  </si>
  <si>
    <t>ROLLOS DETALLE
(auto)</t>
  </si>
  <si>
    <t>KG DETALLE
(auto)</t>
  </si>
  <si>
    <t>KG HILO
COMPRADO</t>
  </si>
  <si>
    <t>COSTO HILO
TOTAL</t>
  </si>
  <si>
    <t>N° FACTURA
HILO</t>
  </si>
  <si>
    <t>GUÍA
HILO</t>
  </si>
  <si>
    <t>KG TEJ
ENVIADO</t>
  </si>
  <si>
    <t>KG TEJ
RETORNADO</t>
  </si>
  <si>
    <t>KG CONOS
EXTORNO</t>
  </si>
  <si>
    <t>KG MERMA
TEJ</t>
  </si>
  <si>
    <t>% MERMA
TEJ</t>
  </si>
  <si>
    <t>KG TINT
ENVIADO</t>
  </si>
  <si>
    <t>KG TINT
RETORNADO</t>
  </si>
  <si>
    <t>KG MERMA
TINT (etapa)</t>
  </si>
  <si>
    <t>% MERMA
TINT</t>
  </si>
  <si>
    <t>KG MERMA
TOTAL</t>
  </si>
  <si>
    <t>% MERMA
TOTAL</t>
  </si>
  <si>
    <t>COMISIÓN
JOSÉ</t>
  </si>
  <si>
    <t>ESTADO PAGO
COMISIÓN</t>
  </si>
  <si>
    <t>FECHA
ENTREGA</t>
  </si>
  <si>
    <t>INVERSIÓN
TOTAL</t>
  </si>
  <si>
    <t>COSTO PROM
S/./kg</t>
  </si>
  <si>
    <t>DÍAS
ENTREGA</t>
  </si>
  <si>
    <t>PIQUE-001</t>
  </si>
  <si>
    <t>PIQUE</t>
  </si>
  <si>
    <t>Hilo 30/1 PC</t>
  </si>
  <si>
    <t>Pique 30/1</t>
  </si>
  <si>
    <t>OverShark</t>
  </si>
  <si>
    <t>CERRADO</t>
  </si>
  <si>
    <t>PENDIENTE</t>
  </si>
  <si>
    <t>FULL LYCRA 50/1-001</t>
  </si>
  <si>
    <t>50/1 ALGODON 100%</t>
  </si>
  <si>
    <t>hilo 50/1 cotton +lycra 4%</t>
  </si>
  <si>
    <t xml:space="preserve">full lycra </t>
  </si>
  <si>
    <t>EN TEJEDURÍA</t>
  </si>
  <si>
    <t>frecnh terry - 001</t>
  </si>
  <si>
    <t>french terry 30/1</t>
  </si>
  <si>
    <t>French terry 30/1</t>
  </si>
  <si>
    <t>Bravos</t>
  </si>
  <si>
    <t>jersey algodon - 001</t>
  </si>
  <si>
    <t>ALGODON 30/1</t>
  </si>
  <si>
    <t>Hilo 30/1 ALGODON</t>
  </si>
  <si>
    <t>Jersey 30/1</t>
  </si>
  <si>
    <t>EN TINTORERÍA</t>
  </si>
  <si>
    <t>rib 1x1- jersey algodon -001</t>
  </si>
  <si>
    <t>rib complemento ja-001</t>
  </si>
  <si>
    <t>Rib 1x1</t>
  </si>
  <si>
    <t>COMPRAS DE HILO — Asignaciones de factura a programas + estado pago</t>
  </si>
  <si>
    <t>1 fila = asignación de factura a un programa. Para USD pon MONEDA=USD y TC. ESTADO PAGO permite control contable: PAGADO/PENDIENTE/PARCIAL/ANULADO.</t>
  </si>
  <si>
    <t>FECHA</t>
  </si>
  <si>
    <t>PROGRAMA</t>
  </si>
  <si>
    <t>KG ASIGNADOS</t>
  </si>
  <si>
    <t>PRECIO/KG</t>
  </si>
  <si>
    <t>MONEDA</t>
  </si>
  <si>
    <t>TC</t>
  </si>
  <si>
    <t>TOTAL S/.</t>
  </si>
  <si>
    <t>PROVEEDOR</t>
  </si>
  <si>
    <t>N° FACTURA</t>
  </si>
  <si>
    <t>COSTO REAL FACT.</t>
  </si>
  <si>
    <t>DIFERENCIA</t>
  </si>
  <si>
    <t>ESTADO PAGO</t>
  </si>
  <si>
    <t>FECHA PAGO</t>
  </si>
  <si>
    <t>MONTO PAGADO S/.</t>
  </si>
  <si>
    <t>SALDO S/.</t>
  </si>
  <si>
    <t>USD</t>
  </si>
  <si>
    <t>COTTON MIX</t>
  </si>
  <si>
    <t>COTTOON-001</t>
  </si>
  <si>
    <t>PAGADO</t>
  </si>
  <si>
    <t>f002-4472</t>
  </si>
  <si>
    <t>PROGRAMA DETALLE — Plan + Tejeduría + Tintorería + Costos por color</t>
  </si>
  <si>
    <t>1 fila = 1 color de un programa. Precio tej y tint salen automáticos del catálogo. Llenas: KG enviado/retornado, factura, guía, pago, fecha tint, moneda/TC.</t>
  </si>
  <si>
    <t>COLOR</t>
  </si>
  <si>
    <t>CATEG.</t>
  </si>
  <si>
    <t>TIPO SERVICIO</t>
  </si>
  <si>
    <t>ROLLOS PLAN</t>
  </si>
  <si>
    <t>KG PLAN</t>
  </si>
  <si>
    <t>PRIORIDAD</t>
  </si>
  <si>
    <t>PRECIO/KG
TEJ (auto)</t>
  </si>
  <si>
    <t>MONEDA
TEJ</t>
  </si>
  <si>
    <t>TC TEJ</t>
  </si>
  <si>
    <t>TOTAL TEJ
(auto)</t>
  </si>
  <si>
    <t>FACTURA TEJ</t>
  </si>
  <si>
    <t>GUÍA TEJ</t>
  </si>
  <si>
    <t>ESTADO
PAGO TEJ</t>
  </si>
  <si>
    <t>FECHA
ENVÍO TINT</t>
  </si>
  <si>
    <t>KG ENVIADO
TINT</t>
  </si>
  <si>
    <t>KG RETORNADO
TINT</t>
  </si>
  <si>
    <t>ROLLOS
FINAL</t>
  </si>
  <si>
    <t>KG MERMA
TINT</t>
  </si>
  <si>
    <t>PRECIO/KG
TINT (auto)</t>
  </si>
  <si>
    <t>MONEDA
TINT</t>
  </si>
  <si>
    <t>TC TINT</t>
  </si>
  <si>
    <t>COSTO TINT
(auto)</t>
  </si>
  <si>
    <t>GUÍA TRASLADO
TINT</t>
  </si>
  <si>
    <t>FACTURA TINT</t>
  </si>
  <si>
    <t>ESTADO
PAGO TINT</t>
  </si>
  <si>
    <t>COSTO HILO
(prorr.)</t>
  </si>
  <si>
    <t>COSTO TEJ
COLOR</t>
  </si>
  <si>
    <t>COSTO TINT
COLOR</t>
  </si>
  <si>
    <t>COSTO TOTAL
COLOR</t>
  </si>
  <si>
    <t>COSTO/KG
COLOR</t>
  </si>
  <si>
    <t>Negro</t>
  </si>
  <si>
    <t>REACTIVO (oscuros)</t>
  </si>
  <si>
    <t>URGENTE</t>
  </si>
  <si>
    <t>TEJ-001</t>
  </si>
  <si>
    <t>TIN-001</t>
  </si>
  <si>
    <t>Perla</t>
  </si>
  <si>
    <t>PPT (perla/blanco)</t>
  </si>
  <si>
    <t>MEDIA</t>
  </si>
  <si>
    <t>TEJ-002</t>
  </si>
  <si>
    <t>TIN-002</t>
  </si>
  <si>
    <t>Beige</t>
  </si>
  <si>
    <t>DIRECTO (claros)</t>
  </si>
  <si>
    <t>ALTA</t>
  </si>
  <si>
    <t>TEJ-003</t>
  </si>
  <si>
    <t>TIN-003</t>
  </si>
  <si>
    <t>Melange</t>
  </si>
  <si>
    <t>LAVADO (melange)</t>
  </si>
  <si>
    <t>OPCIONAL</t>
  </si>
  <si>
    <t>TEJ-004</t>
  </si>
  <si>
    <t>TIN-004</t>
  </si>
  <si>
    <t>Colegial</t>
  </si>
  <si>
    <t>BAJA</t>
  </si>
  <si>
    <t>Azul Marino</t>
  </si>
  <si>
    <t>Vino</t>
  </si>
  <si>
    <t>Denim</t>
  </si>
  <si>
    <t>Pacay</t>
  </si>
  <si>
    <t>Topo</t>
  </si>
  <si>
    <t>Palo Rosa</t>
  </si>
  <si>
    <t>Acero</t>
  </si>
  <si>
    <t>PRECIOS TINTORERÍA — S/. por kg recibido (matriz servicio × tela, escalable)</t>
  </si>
  <si>
    <t>REACTIVO=oscuros, DIRECTO=claros, PPT=perla/blancos, LAVADO=melange, TERMOFIJADO=spandex/lycra, COMPACTADO=algodón. Hay 20 columnas de tela y 12 filas de servicio editables. Si no aplica = vacío.</t>
  </si>
  <si>
    <t>Jersey cotton</t>
  </si>
  <si>
    <t>Wafle 30/1</t>
  </si>
  <si>
    <t>French terry 24/1</t>
  </si>
  <si>
    <t>Rib 2x1 lycrado</t>
  </si>
  <si>
    <t>Interlock 50/1 Pima</t>
  </si>
  <si>
    <t>Jersey 20/1</t>
  </si>
  <si>
    <t>Jersey full lycra</t>
  </si>
  <si>
    <t>Pique pima</t>
  </si>
  <si>
    <t>Wafle pima</t>
  </si>
  <si>
    <t>French terry pima</t>
  </si>
  <si>
    <t>jersey pc</t>
  </si>
  <si>
    <t>TERMOFIJADO</t>
  </si>
  <si>
    <t>COMPACTADO EN RAMA</t>
  </si>
  <si>
    <t>PRECIOS TEJEDURÍA — S/. por kg recibido (no entregado)</t>
  </si>
  <si>
    <t>Tejeduría cobra por kg que se le envía. La merma es pérdida del programa, no del proveedor.</t>
  </si>
  <si>
    <t>PRECIO S/./kg</t>
  </si>
  <si>
    <t>PROVEEDOR HABITUAL</t>
  </si>
  <si>
    <t>Tejeduría Andina</t>
  </si>
  <si>
    <t>Tejedos del Norte</t>
  </si>
  <si>
    <t>Más caro por lycra</t>
  </si>
  <si>
    <t>SISTEMA COSTOS DE PRODUCCIÓN — OVERSHARK</t>
  </si>
  <si>
    <t>FLUJO COMPLETO DE UN PROGRAMA:</t>
  </si>
  <si>
    <t>1. ANÁLISIS — Defines qué producir en base a inventario actual.</t>
  </si>
  <si>
    <t>2. CREAR PROGRAMA — Vas a hoja PROGRAMAS, agregas fila con ID y descripción (ej: "PG2026-05-001 Jersey 30/1 negro+perla+azul").</t>
  </si>
  <si>
    <t>3. COMPRAR HILO — Cuando llega la factura, registras en COMPRAS_HILO: kg, precio/kg, factura, asociada al programa.</t>
  </si>
  <si>
    <t>4. ENVÍO A TEJEDURÍA — Registras en TEJEDURIA: kg enviados, tipo de tejido. Cuando regresa, llenas kg tela retornada y kg conos extorno.</t>
  </si>
  <si>
    <t>5. ENVÍO A TINTORERÍA — Registras en TINTORERIA: kg enviados, tipo de servicio (reactivo/directo/ppt/lavado/etc). Cuando regresa, llenas kg final y rollos.</t>
  </si>
  <si>
    <t>6. CIERRE PROGRAMA — En PROGRAMAS marca estado "CERRADO". El costo queda congelado.</t>
  </si>
  <si>
    <t>CÁLCULOS AUTOMÁTICOS:</t>
  </si>
  <si>
    <t>• COSTOS_PROGRAMA — suma costo hilo + costo tejido + costo teñido por programa.</t>
  </si>
  <si>
    <t>• Costo por kg final = Costo total / kg tela tintorería retornada.</t>
  </si>
  <si>
    <t>• Costo por prenda = Costo/kg × kg consumo prenda + indirectos prorrateados.</t>
  </si>
  <si>
    <t>• Stock extorno (conos) se valoriza al precio del hilo del programa que lo generó.</t>
  </si>
  <si>
    <t>REGLAS DE COBRO:</t>
  </si>
  <si>
    <t>• Tejeduría: por kg RECIBIDO (no entregado) según tipo de tejido.</t>
  </si>
  <si>
    <t>• Tintorería: por kg RECIBIDO según tipo de servicio (reactivo/directo/ppt/lavado/termofijado/compactado).</t>
  </si>
  <si>
    <t>• Las mermas son pérdida real del programa (kg perdidos cuestan al precio del hilo).</t>
  </si>
  <si>
    <t>MONEDA Y TIPO DE CAMBIO:</t>
  </si>
  <si>
    <t>• En COMPRAS_HILO, TEJEDURIA y TINTORERIA hay columnas MONEDA (PEN/USD) y TC (tipo de cambio).</t>
  </si>
  <si>
    <t>• Si te cobran USD: pon MONEDA=USD y TC del día. Sistema multiplica precio × TC para sacar S/.</t>
  </si>
  <si>
    <t>• El TC queda CONGELADO en la fila aunque luego cambie. El costo del programa se mantiene fijo.</t>
  </si>
  <si>
    <t>• TC default sale de CONFIG. Cámbialo por línea cuando tengas el TC real de la factura.</t>
  </si>
  <si>
    <t>COMPRAS GRANDES DISTRIBUIDAS A VARIOS PROGRAMAS:</t>
  </si>
  <si>
    <t>• Si compras 20 toneladas de hilo a crédito o por oferta y se reparte entre 3 programas:</t>
  </si>
  <si>
    <t xml:space="preserve">  → En COMPRAS_HILO registra 3 filas con la MISMA factura, fecha, precio, moneda, TC, proveedor.</t>
  </si>
  <si>
    <t xml:space="preserve">  → Cada fila tiene un PROGRAMA distinto y los KG asignados a ese programa.</t>
  </si>
  <si>
    <t xml:space="preserve">  → Ejemplo: F-2026-0123 = 20,000 kg total. Fila 1: PG-001 5000kg, Fila 2: PG-002 5000kg, Fila 3: PG-003 10000kg.</t>
  </si>
  <si>
    <t>• En COSTO REAL FACTURA solo llena 1 fila (la primera) con el monto total de la factura para conciliar.</t>
  </si>
  <si>
    <t>• Si quedan kg sin asignar a programa todavía, créa un programa "STOCK_GENERAL" para acumularlos.</t>
  </si>
  <si>
    <t>REGLAS DE COLORES:</t>
  </si>
  <si>
    <t>• AMARILLO = celda editable (tú la llenas)</t>
  </si>
  <si>
    <t>• AZUL = valores que ingresas</t>
  </si>
  <si>
    <t>• VERDE = totales calculados automáticamente</t>
  </si>
  <si>
    <t>• ROJO = alerta</t>
  </si>
  <si>
    <t>CONFIGURACIÓN GENERAL</t>
  </si>
  <si>
    <t>Parámetro</t>
  </si>
  <si>
    <t>Valor</t>
  </si>
  <si>
    <t>Descripción</t>
  </si>
  <si>
    <t>Tipo de cambio S/. por USD</t>
  </si>
  <si>
    <t>Tipo de cambio actual para reportes en USD</t>
  </si>
  <si>
    <t>Costos indirectos mensuales (S/.)</t>
  </si>
  <si>
    <t>Luz, alquiler, planilla admin. Se prorratea entre prendas producidas.</t>
  </si>
  <si>
    <t>Prendas producidas mes (estimadas)</t>
  </si>
  <si>
    <t>Para prorrateo de indirectos por prenda</t>
  </si>
  <si>
    <t>Margen merma estándar tejeduría</t>
  </si>
  <si>
    <t>0.5% es lo ideal en tejeduría</t>
  </si>
  <si>
    <t>Margen merma máximo tejeduría</t>
  </si>
  <si>
    <t>1% es el límite aceptable</t>
  </si>
  <si>
    <t>Margen merma estándar tintorería</t>
  </si>
  <si>
    <t>5% en tintorería es típico</t>
  </si>
  <si>
    <t>Margen merma máximo tintorería</t>
  </si>
  <si>
    <t>7% es el límite aceptable</t>
  </si>
  <si>
    <t>PROVEEDORES — Hilos / Tejedurías / Tintorerías</t>
  </si>
  <si>
    <t>Lista de proveedores. TIPO indica si es de HILO, TEJEDURÍA o TINTORERÍA.</t>
  </si>
  <si>
    <t>TIPO</t>
  </si>
  <si>
    <t>RUC</t>
  </si>
  <si>
    <t>CONTACTO</t>
  </si>
  <si>
    <t>HILO</t>
  </si>
  <si>
    <t>20111111111</t>
  </si>
  <si>
    <t>Carlos Pérez</t>
  </si>
  <si>
    <t>Hilo policotton 30/1, 20/1</t>
  </si>
  <si>
    <t>FARIDE</t>
  </si>
  <si>
    <t>20222222222</t>
  </si>
  <si>
    <t>Ana López</t>
  </si>
  <si>
    <t>Pima, algodón</t>
  </si>
  <si>
    <t>TEJEDURÍA</t>
  </si>
  <si>
    <t>20333333333</t>
  </si>
  <si>
    <t>Roberto Sotelo</t>
  </si>
  <si>
    <t>Jersey, pique, wafle</t>
  </si>
  <si>
    <t>20444444444</t>
  </si>
  <si>
    <t>French terry, rib</t>
  </si>
  <si>
    <t>Tintorería Inca Color</t>
  </si>
  <si>
    <t>TINTORERÍA</t>
  </si>
  <si>
    <t>20555555555</t>
  </si>
  <si>
    <t>María Vargas</t>
  </si>
  <si>
    <t>Reactivo, directo, lavado</t>
  </si>
  <si>
    <t>TermoTeñidos SAC</t>
  </si>
  <si>
    <t>20666666666</t>
  </si>
  <si>
    <t>Termofijado, compactado</t>
  </si>
  <si>
    <t>CATÁLOGO DE HILOS — Editable</t>
  </si>
  <si>
    <t>Tipos de hilo disponibles. PRECIO REFERENCIAL es solo para estimaciones; el precio real de cada compra se registra en COMPRAS_HILO.</t>
  </si>
  <si>
    <t>COMPOSICIÓN</t>
  </si>
  <si>
    <t>PRECIO REFERENCIAL S/./kg</t>
  </si>
  <si>
    <t>FECHA ÚLTIMO PRECIO</t>
  </si>
  <si>
    <t>Policotton 65% poliéster 35% algodón</t>
  </si>
  <si>
    <t>2026-05-01</t>
  </si>
  <si>
    <t>Para jersey 30/1, wafle 30/1, pique 30/1, rib 1x1</t>
  </si>
  <si>
    <t>Hilo 20/1 PC</t>
  </si>
  <si>
    <t>Policotton 65/35</t>
  </si>
  <si>
    <t>Para french terry 24/1, telas más pesadas</t>
  </si>
  <si>
    <t>Algodón pima 100%</t>
  </si>
  <si>
    <t>2026-04-15</t>
  </si>
  <si>
    <t>Premium, para línea pima gold</t>
  </si>
  <si>
    <t>Hilo 24/1 Algodón</t>
  </si>
  <si>
    <t>Algodón 100%</t>
  </si>
  <si>
    <t>2026-04-20</t>
  </si>
  <si>
    <t>Para french terry algodón</t>
  </si>
  <si>
    <t>Hilo 50/1 Pima</t>
  </si>
  <si>
    <t>Interlock pima</t>
  </si>
  <si>
    <t>Hilo 30/1 con Lycra</t>
  </si>
  <si>
    <t>Policotton + 5% Spandex</t>
  </si>
  <si>
    <t>Rib 2x1 lycrado, top mujer</t>
  </si>
  <si>
    <t>hilo 50/1 cottom</t>
  </si>
  <si>
    <t>CATÁLOGO DE COLORES — Editable</t>
  </si>
  <si>
    <t>Lista de colores que usas en programas. CATEGORÍA mapea al tipo de servicio en tintorería (oscuros=REACTIVO, claros=DIRECTO, etc.).</t>
  </si>
  <si>
    <t>CATEGORÍA</t>
  </si>
  <si>
    <t>SERVICIO TÍPICO</t>
  </si>
  <si>
    <t>OSCURO</t>
  </si>
  <si>
    <t>PPT</t>
  </si>
  <si>
    <t>Blanco</t>
  </si>
  <si>
    <t>CLARO</t>
  </si>
  <si>
    <t>Cemento</t>
  </si>
  <si>
    <t>Camote</t>
  </si>
  <si>
    <t>Botella</t>
  </si>
  <si>
    <t>Marrón</t>
  </si>
  <si>
    <t>Azul</t>
  </si>
  <si>
    <t>MELANGE</t>
  </si>
  <si>
    <t>Hoja</t>
  </si>
  <si>
    <t>Rosa</t>
  </si>
  <si>
    <t>STOCK EXTORNO — Conos sobrantes de tejeduría (reusables para rectilíneos)</t>
  </si>
  <si>
    <t>Auto-calculado desde PROGRAMAS!Q (kg conos extorno). Estos kg son los conos que se devuelven y se valorizan al precio del hilo del programa.</t>
  </si>
  <si>
    <t>KG EXTORNO ACUMULADO</t>
  </si>
  <si>
    <t>PRECIO PROMEDIO S/./kg</t>
  </si>
  <si>
    <t>VALOR S/.</t>
  </si>
  <si>
    <t>KG USADOS</t>
  </si>
  <si>
    <t>KG DISPONIBLES</t>
  </si>
  <si>
    <t>STOCK INTERMEDIO — KG en cada etapa del flujo</t>
  </si>
  <si>
    <t>Auto-calculado. EN HILO = comprado - enviado a tejeduría. EN CRUDO = retornado tejeduría - enviado tintorería. FINAL = retornado tintorería.</t>
  </si>
  <si>
    <t>KG INGRESADO</t>
  </si>
  <si>
    <t>KG SALIDO
(a sig. etapa)</t>
  </si>
  <si>
    <t>KG STOCK ACTUAL</t>
  </si>
  <si>
    <t>VALOR APROX S/.</t>
  </si>
  <si>
    <t>STOCK EN HILO</t>
  </si>
  <si>
    <t>STOCK EN CRUDO (tela tejida sin teñir)</t>
  </si>
  <si>
    <t>CRUDO</t>
  </si>
  <si>
    <t>STOCK FINAL (tela teñida lista en planta)</t>
  </si>
  <si>
    <t>FINAL</t>
  </si>
  <si>
    <t>CUENTAS POR PAGAR — Facturas pendientes y parciales</t>
  </si>
  <si>
    <t>Auto-consolidado. Filtra ESTADO=PENDIENTE o PARCIAL para ver lo que debes. Suma SALDO = total adeudado.</t>
  </si>
  <si>
    <t>ORIGEN</t>
  </si>
  <si>
    <t>CONCEPTO</t>
  </si>
  <si>
    <t>PAGADO S/.</t>
  </si>
  <si>
    <t>COSTOS POR PROGRAMA — Auto-calculado</t>
  </si>
  <si>
    <t>Por cada programa: costo hilo + tejido + teñido. Dividido entre kg final = costo por kg de tela tintorería.</t>
  </si>
  <si>
    <t>KG HILO COMPRADO</t>
  </si>
  <si>
    <t>COSTO HILO</t>
  </si>
  <si>
    <t>COSTO TEJIDO</t>
  </si>
  <si>
    <t>COSTO TEÑIDO</t>
  </si>
  <si>
    <t>COSTO TOTAL S/.</t>
  </si>
  <si>
    <t>KG TELA FINAL</t>
  </si>
  <si>
    <t>% MERMA TOTAL</t>
  </si>
  <si>
    <t>COSTO/KG TELA S/.</t>
  </si>
  <si>
    <t>DASHBOARD — Resumen de Producción y Costos</t>
  </si>
  <si>
    <t>Comisión José S/./kg final:</t>
  </si>
  <si>
    <t>(editable — afecta comisión en PROGRAMAS!AB y por tanto la INVERSIÓN TOTAL)</t>
  </si>
  <si>
    <t>PROGRAMAS ACTIVOS</t>
  </si>
  <si>
    <t>ROLLOS PRODUCIDOS</t>
  </si>
  <si>
    <t>KG TELA PRODUCIDA</t>
  </si>
  <si>
    <t>INVERSIÓN TOTAL</t>
  </si>
  <si>
    <t>COSTO/KG PROMEDIO</t>
  </si>
  <si>
    <t>COMISIÓN JOSÉ TOTAL</t>
  </si>
  <si>
    <t>CXP PENDIENTE</t>
  </si>
  <si>
    <t>TIEMPO PROM ENTREGA</t>
  </si>
  <si>
    <t>ESTADO DE PROGRAMAS</t>
  </si>
  <si>
    <t>TOP HILOS POR INVERSIÓN</t>
  </si>
  <si>
    <t>CANT.</t>
  </si>
  <si>
    <t>% TOTAL</t>
  </si>
  <si>
    <t>#</t>
  </si>
  <si>
    <t>KG TOTAL</t>
  </si>
  <si>
    <t>INVERSIÓN</t>
  </si>
  <si>
    <t>NUEVO</t>
  </si>
  <si>
    <t>EN COMPRA</t>
  </si>
  <si>
    <t>EN PLANTA</t>
  </si>
  <si>
    <t>TOTAL</t>
  </si>
  <si>
    <t>TOP COLORES MÁS PRODUCIDOS (kg)</t>
  </si>
  <si>
    <t>CUENTAS POR PAGAR — RESUMEN</t>
  </si>
  <si>
    <t>KG PRODUCIDOS</t>
  </si>
  <si>
    <t>TOTAL FACTURADO</t>
  </si>
  <si>
    <t>SALDO PENDIENTE</t>
  </si>
  <si>
    <t>% PAGADO</t>
  </si>
  <si>
    <t>COMISIÓN JOSÉ</t>
  </si>
  <si>
    <t>COMPARATIVO DE PROGRAMAS</t>
  </si>
  <si>
    <t>FECHA
INICIO</t>
  </si>
  <si>
    <t>DÍAS</t>
  </si>
  <si>
    <t>KG HILO</t>
  </si>
  <si>
    <t>KG FINAL</t>
  </si>
  <si>
    <t>% MERMA</t>
  </si>
  <si>
    <t>COSTO TOTAL</t>
  </si>
  <si>
    <t>COSTO/KG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</si>
</sst>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yyyy\-mm\-dd"/>
    <numFmt numFmtId="165" formatCode="#,##0.00&quot; kg&quot;"/>
    <numFmt numFmtId="166" formatCode="#,##0;;&quot;&quot;"/>
    <numFmt numFmtId="167" formatCode="#,##0.00&quot; kg&quot;;;&quot;&quot;"/>
    <numFmt numFmtId="168" formatCode="&quot;S/.&quot;#,##0.00;;&quot;&quot;"/>
    <numFmt numFmtId="169" formatCode="0.0%;;&quot;&quot;"/>
    <numFmt numFmtId="170" formatCode="#,##0&quot; días&quot;;;&quot;&quot;"/>
    <numFmt numFmtId="171" formatCode="#,##0.0000"/>
    <numFmt numFmtId="172" formatCode="0.000"/>
    <numFmt numFmtId="173" formatCode="&quot;S/.&quot;#,##0.00"/>
    <numFmt numFmtId="174" formatCode="#,##0.0000;;&quot;&quot;"/>
    <numFmt numFmtId="175" formatCode="0.0%"/>
    <numFmt numFmtId="176" formatCode="yyyy\-mm\-dd;;&quot;&quot;"/>
    <numFmt numFmtId="177" formatCode="&quot;S/.&quot;0.00"/>
    <numFmt numFmtId="178" formatCode="&quot;S/.&quot;#,##0"/>
    <numFmt numFmtId="179" formatCode="&quot;S/.&quot;#,##0;;&quot;&quot;"/>
  </numFmts>
  <fonts count="25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10.0"/>
      <color rgb="FF595959"/>
      <name val="Arial"/>
    </font>
    <font>
      <b/>
      <sz val="11.0"/>
      <color rgb="FFFFFFFF"/>
      <name val="Arial"/>
    </font>
    <font>
      <sz val="10.0"/>
      <color rgb="FF0000FF"/>
      <name val="Arial"/>
    </font>
    <font>
      <sz val="10.0"/>
      <color theme="1"/>
      <name val="Arial"/>
    </font>
    <font>
      <i/>
      <sz val="9.0"/>
      <color theme="1"/>
      <name val="Arial"/>
    </font>
    <font>
      <i/>
      <sz val="9.0"/>
      <color rgb="FF0000FF"/>
      <name val="Arial"/>
    </font>
    <font>
      <b/>
      <sz val="10.0"/>
      <color rgb="FF9C0006"/>
      <name val="Arial"/>
    </font>
    <font>
      <b/>
      <sz val="10.0"/>
      <color rgb="FF9C5700"/>
      <name val="Arial"/>
    </font>
    <font>
      <b/>
      <sz val="11.0"/>
      <color rgb="FF006100"/>
      <name val="Arial"/>
    </font>
    <font>
      <b/>
      <sz val="10.0"/>
      <color rgb="FF1F4E78"/>
      <name val="Arial"/>
    </font>
    <font>
      <b/>
      <sz val="10.0"/>
      <color theme="1"/>
      <name val="Arial"/>
    </font>
    <font>
      <b/>
      <sz val="10.0"/>
      <color rgb="FF0000FF"/>
      <name val="Arial"/>
    </font>
    <font>
      <b/>
      <sz val="12.0"/>
      <color rgb="FF1F3864"/>
      <name val="Arial"/>
    </font>
    <font>
      <b/>
      <sz val="10.0"/>
      <color rgb="FF006100"/>
      <name val="Arial"/>
    </font>
    <font>
      <sz val="11.0"/>
      <color theme="1"/>
      <name val="Calibri"/>
    </font>
    <font>
      <b/>
      <sz val="10.0"/>
      <color rgb="FFC65911"/>
      <name val="Arial"/>
    </font>
    <font>
      <b/>
      <sz val="10.0"/>
      <color rgb="FF7030A0"/>
      <name val="Arial"/>
    </font>
    <font>
      <b/>
      <sz val="11.0"/>
      <color rgb="FF9C5700"/>
      <name val="Arial"/>
    </font>
    <font>
      <color theme="1"/>
      <name val="Calibri"/>
      <scheme val="minor"/>
    </font>
    <font>
      <i/>
      <sz val="9.0"/>
      <color rgb="FF595959"/>
      <name val="Arial"/>
    </font>
    <font>
      <b/>
      <sz val="10.0"/>
      <color rgb="FFFFFFFF"/>
      <name val="Arial"/>
    </font>
    <font>
      <b/>
      <sz val="14.0"/>
      <color rgb="FF1F3864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C65911"/>
        <bgColor rgb="FFC65911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FE699"/>
        <bgColor rgb="FFFFE699"/>
      </patternFill>
    </fill>
    <fill>
      <patternFill patternType="solid">
        <fgColor rgb="FFDEEBF7"/>
        <bgColor rgb="FFDEEBF7"/>
      </patternFill>
    </fill>
    <fill>
      <patternFill patternType="solid">
        <fgColor rgb="FFE4D7F5"/>
        <bgColor rgb="FFE4D7F5"/>
      </patternFill>
    </fill>
    <fill>
      <patternFill patternType="solid">
        <fgColor rgb="FFF8CBAD"/>
        <bgColor rgb="FFF8CBAD"/>
      </patternFill>
    </fill>
    <fill>
      <patternFill patternType="solid">
        <fgColor rgb="FFC6EFCE"/>
        <bgColor rgb="FFC6EFCE"/>
      </patternFill>
    </fill>
    <fill>
      <patternFill patternType="solid">
        <fgColor rgb="FFC9DAF8"/>
        <bgColor rgb="FFC9DAF8"/>
      </patternFill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0F6E6E"/>
        <bgColor rgb="FF0F6E6E"/>
      </patternFill>
    </fill>
    <fill>
      <patternFill patternType="solid">
        <fgColor rgb="FF548235"/>
        <bgColor rgb="FF548235"/>
      </patternFill>
    </fill>
    <fill>
      <patternFill patternType="solid">
        <fgColor rgb="FFC00000"/>
        <bgColor rgb="FFC00000"/>
      </patternFill>
    </fill>
    <fill>
      <patternFill patternType="solid">
        <fgColor rgb="FF7030A0"/>
        <bgColor rgb="FF7030A0"/>
      </patternFill>
    </fill>
    <fill>
      <patternFill patternType="solid">
        <fgColor rgb="FFFCE4D6"/>
        <bgColor rgb="FFFCE4D6"/>
      </patternFill>
    </fill>
    <fill>
      <patternFill patternType="solid">
        <fgColor rgb="FF595959"/>
        <bgColor rgb="FF595959"/>
      </patternFill>
    </fill>
    <fill>
      <patternFill patternType="solid">
        <fgColor rgb="FFFFC7CE"/>
        <bgColor rgb="FFFFC7CE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/>
      <right/>
      <top/>
      <bottom/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2" fontId="4" numFmtId="0" xfId="0" applyAlignment="1" applyBorder="1" applyFont="1">
      <alignment horizontal="center" vertical="center"/>
    </xf>
    <xf borderId="4" fillId="3" fontId="5" numFmtId="0" xfId="0" applyAlignment="1" applyBorder="1" applyFill="1" applyFont="1">
      <alignment horizontal="left" vertical="center"/>
    </xf>
    <xf borderId="4" fillId="3" fontId="5" numFmtId="164" xfId="0" applyAlignment="1" applyBorder="1" applyFont="1" applyNumberFormat="1">
      <alignment horizontal="center" vertical="center"/>
    </xf>
    <xf borderId="4" fillId="3" fontId="5" numFmtId="0" xfId="0" applyAlignment="1" applyBorder="1" applyFont="1">
      <alignment horizontal="center" vertical="center"/>
    </xf>
    <xf borderId="4" fillId="3" fontId="5" numFmtId="3" xfId="0" applyAlignment="1" applyBorder="1" applyFont="1" applyNumberFormat="1">
      <alignment horizontal="center" vertical="center"/>
    </xf>
    <xf borderId="4" fillId="3" fontId="5" numFmtId="165" xfId="0" applyAlignment="1" applyBorder="1" applyFont="1" applyNumberFormat="1">
      <alignment horizontal="center" vertical="center"/>
    </xf>
    <xf borderId="4" fillId="4" fontId="6" numFmtId="166" xfId="0" applyAlignment="1" applyBorder="1" applyFill="1" applyFont="1" applyNumberFormat="1">
      <alignment horizontal="center" vertical="center"/>
    </xf>
    <xf borderId="4" fillId="4" fontId="6" numFmtId="167" xfId="0" applyAlignment="1" applyBorder="1" applyFont="1" applyNumberFormat="1">
      <alignment horizontal="center" vertical="center"/>
    </xf>
    <xf borderId="4" fillId="5" fontId="6" numFmtId="167" xfId="0" applyAlignment="1" applyBorder="1" applyFill="1" applyFont="1" applyNumberFormat="1">
      <alignment horizontal="center" vertical="center"/>
    </xf>
    <xf borderId="4" fillId="5" fontId="6" numFmtId="168" xfId="0" applyAlignment="1" applyBorder="1" applyFont="1" applyNumberFormat="1">
      <alignment horizontal="center" vertical="center"/>
    </xf>
    <xf borderId="4" fillId="5" fontId="7" numFmtId="0" xfId="0" applyAlignment="1" applyBorder="1" applyFont="1">
      <alignment horizontal="center" vertical="center"/>
    </xf>
    <xf borderId="4" fillId="5" fontId="8" numFmtId="0" xfId="0" applyAlignment="1" applyBorder="1" applyFont="1">
      <alignment horizontal="center" vertical="center"/>
    </xf>
    <xf borderId="4" fillId="6" fontId="6" numFmtId="167" xfId="0" applyAlignment="1" applyBorder="1" applyFill="1" applyFont="1" applyNumberFormat="1">
      <alignment horizontal="center" vertical="center"/>
    </xf>
    <xf borderId="4" fillId="6" fontId="6" numFmtId="169" xfId="0" applyAlignment="1" applyBorder="1" applyFont="1" applyNumberFormat="1">
      <alignment horizontal="center" vertical="center"/>
    </xf>
    <xf borderId="4" fillId="7" fontId="6" numFmtId="167" xfId="0" applyAlignment="1" applyBorder="1" applyFill="1" applyFont="1" applyNumberFormat="1">
      <alignment horizontal="center" vertical="center"/>
    </xf>
    <xf borderId="4" fillId="7" fontId="6" numFmtId="169" xfId="0" applyAlignment="1" applyBorder="1" applyFont="1" applyNumberFormat="1">
      <alignment horizontal="center" vertical="center"/>
    </xf>
    <xf borderId="4" fillId="8" fontId="9" numFmtId="167" xfId="0" applyAlignment="1" applyBorder="1" applyFill="1" applyFont="1" applyNumberFormat="1">
      <alignment horizontal="center" vertical="center"/>
    </xf>
    <xf borderId="4" fillId="8" fontId="9" numFmtId="169" xfId="0" applyAlignment="1" applyBorder="1" applyFont="1" applyNumberFormat="1">
      <alignment horizontal="center" vertical="center"/>
    </xf>
    <xf borderId="4" fillId="5" fontId="10" numFmtId="168" xfId="0" applyAlignment="1" applyBorder="1" applyFont="1" applyNumberFormat="1">
      <alignment horizontal="center" vertical="center"/>
    </xf>
    <xf borderId="4" fillId="5" fontId="5" numFmtId="0" xfId="0" applyAlignment="1" applyBorder="1" applyFont="1">
      <alignment horizontal="center" vertical="center"/>
    </xf>
    <xf borderId="4" fillId="9" fontId="11" numFmtId="168" xfId="0" applyAlignment="1" applyBorder="1" applyFill="1" applyFont="1" applyNumberFormat="1">
      <alignment horizontal="center" vertical="center"/>
    </xf>
    <xf borderId="4" fillId="6" fontId="12" numFmtId="170" xfId="0" applyAlignment="1" applyBorder="1" applyFont="1" applyNumberFormat="1">
      <alignment horizontal="center" vertical="center"/>
    </xf>
    <xf borderId="4" fillId="3" fontId="5" numFmtId="0" xfId="0" applyAlignment="1" applyBorder="1" applyFont="1">
      <alignment horizontal="left" readingOrder="0" vertical="center"/>
    </xf>
    <xf borderId="4" fillId="3" fontId="5" numFmtId="164" xfId="0" applyAlignment="1" applyBorder="1" applyFont="1" applyNumberFormat="1">
      <alignment horizontal="center" readingOrder="0" vertical="center"/>
    </xf>
    <xf borderId="4" fillId="3" fontId="5" numFmtId="0" xfId="0" applyAlignment="1" applyBorder="1" applyFont="1">
      <alignment horizontal="center" readingOrder="0" vertical="center"/>
    </xf>
    <xf borderId="4" fillId="3" fontId="5" numFmtId="3" xfId="0" applyAlignment="1" applyBorder="1" applyFont="1" applyNumberFormat="1">
      <alignment horizontal="center" readingOrder="0" vertical="center"/>
    </xf>
    <xf borderId="4" fillId="3" fontId="5" numFmtId="165" xfId="0" applyAlignment="1" applyBorder="1" applyFont="1" applyNumberFormat="1">
      <alignment horizontal="center" readingOrder="0" vertical="center"/>
    </xf>
    <xf borderId="4" fillId="0" fontId="5" numFmtId="164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horizontal="center" vertical="center"/>
    </xf>
    <xf borderId="4" fillId="0" fontId="5" numFmtId="165" xfId="0" applyAlignment="1" applyBorder="1" applyFont="1" applyNumberFormat="1">
      <alignment horizontal="center" vertical="center"/>
    </xf>
    <xf borderId="4" fillId="0" fontId="5" numFmtId="171" xfId="0" applyAlignment="1" applyBorder="1" applyFont="1" applyNumberFormat="1">
      <alignment horizontal="center" vertical="center"/>
    </xf>
    <xf borderId="4" fillId="0" fontId="5" numFmtId="172" xfId="0" applyAlignment="1" applyBorder="1" applyFont="1" applyNumberFormat="1">
      <alignment horizontal="center" vertical="center"/>
    </xf>
    <xf borderId="4" fillId="4" fontId="6" numFmtId="173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horizontal="center" readingOrder="0" vertical="center"/>
    </xf>
    <xf borderId="4" fillId="0" fontId="5" numFmtId="173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horizontal="left" vertical="center"/>
    </xf>
    <xf borderId="4" fillId="0" fontId="5" numFmtId="165" xfId="0" applyAlignment="1" applyBorder="1" applyFont="1" applyNumberFormat="1">
      <alignment horizontal="center" readingOrder="0" vertical="center"/>
    </xf>
    <xf borderId="4" fillId="0" fontId="5" numFmtId="171" xfId="0" applyAlignment="1" applyBorder="1" applyFont="1" applyNumberFormat="1">
      <alignment horizontal="center" readingOrder="0" vertical="center"/>
    </xf>
    <xf borderId="4" fillId="0" fontId="5" numFmtId="172" xfId="0" applyAlignment="1" applyBorder="1" applyFont="1" applyNumberFormat="1">
      <alignment horizontal="center" readingOrder="0" vertical="center"/>
    </xf>
    <xf borderId="4" fillId="0" fontId="5" numFmtId="173" xfId="0" applyAlignment="1" applyBorder="1" applyFont="1" applyNumberFormat="1">
      <alignment horizontal="center" readingOrder="0" vertical="center"/>
    </xf>
    <xf borderId="4" fillId="4" fontId="6" numFmtId="0" xfId="0" applyAlignment="1" applyBorder="1" applyFont="1">
      <alignment horizontal="center" vertical="center"/>
    </xf>
    <xf borderId="4" fillId="0" fontId="5" numFmtId="3" xfId="0" applyAlignment="1" applyBorder="1" applyFont="1" applyNumberFormat="1">
      <alignment horizontal="center" vertical="center"/>
    </xf>
    <xf borderId="4" fillId="6" fontId="5" numFmtId="165" xfId="0" applyAlignment="1" applyBorder="1" applyFont="1" applyNumberFormat="1">
      <alignment horizontal="center" vertical="center"/>
    </xf>
    <xf borderId="4" fillId="6" fontId="6" numFmtId="174" xfId="0" applyAlignment="1" applyBorder="1" applyFont="1" applyNumberFormat="1">
      <alignment horizontal="center" vertical="center"/>
    </xf>
    <xf borderId="4" fillId="6" fontId="5" numFmtId="0" xfId="0" applyAlignment="1" applyBorder="1" applyFont="1">
      <alignment horizontal="center" vertical="center"/>
    </xf>
    <xf borderId="4" fillId="6" fontId="5" numFmtId="172" xfId="0" applyAlignment="1" applyBorder="1" applyFont="1" applyNumberFormat="1">
      <alignment horizontal="center" vertical="center"/>
    </xf>
    <xf borderId="4" fillId="6" fontId="13" numFmtId="168" xfId="0" applyAlignment="1" applyBorder="1" applyFont="1" applyNumberFormat="1">
      <alignment horizontal="center" vertical="center"/>
    </xf>
    <xf borderId="4" fillId="7" fontId="5" numFmtId="164" xfId="0" applyAlignment="1" applyBorder="1" applyFont="1" applyNumberFormat="1">
      <alignment horizontal="center" vertical="center"/>
    </xf>
    <xf borderId="4" fillId="7" fontId="5" numFmtId="165" xfId="0" applyAlignment="1" applyBorder="1" applyFont="1" applyNumberFormat="1">
      <alignment horizontal="center" vertical="center"/>
    </xf>
    <xf borderId="4" fillId="7" fontId="5" numFmtId="3" xfId="0" applyAlignment="1" applyBorder="1" applyFont="1" applyNumberFormat="1">
      <alignment horizontal="center" vertical="center"/>
    </xf>
    <xf borderId="4" fillId="7" fontId="6" numFmtId="174" xfId="0" applyAlignment="1" applyBorder="1" applyFont="1" applyNumberFormat="1">
      <alignment horizontal="center" vertical="center"/>
    </xf>
    <xf borderId="4" fillId="7" fontId="5" numFmtId="0" xfId="0" applyAlignment="1" applyBorder="1" applyFont="1">
      <alignment horizontal="center" vertical="center"/>
    </xf>
    <xf borderId="4" fillId="7" fontId="5" numFmtId="172" xfId="0" applyAlignment="1" applyBorder="1" applyFont="1" applyNumberFormat="1">
      <alignment horizontal="center" vertical="center"/>
    </xf>
    <xf borderId="4" fillId="7" fontId="13" numFmtId="168" xfId="0" applyAlignment="1" applyBorder="1" applyFont="1" applyNumberFormat="1">
      <alignment horizontal="center" vertical="center"/>
    </xf>
    <xf borderId="4" fillId="7" fontId="5" numFmtId="0" xfId="0" applyAlignment="1" applyBorder="1" applyFont="1">
      <alignment horizontal="left" vertical="center"/>
    </xf>
    <xf borderId="4" fillId="10" fontId="5" numFmtId="0" xfId="0" applyAlignment="1" applyBorder="1" applyFill="1" applyFont="1">
      <alignment horizontal="left" readingOrder="0" vertical="center"/>
    </xf>
    <xf borderId="4" fillId="0" fontId="5" numFmtId="0" xfId="0" applyAlignment="1" applyBorder="1" applyFont="1">
      <alignment horizontal="left" readingOrder="0" vertical="center"/>
    </xf>
    <xf borderId="1" fillId="11" fontId="1" numFmtId="0" xfId="0" applyAlignment="1" applyBorder="1" applyFill="1" applyFont="1">
      <alignment horizontal="center" vertical="center"/>
    </xf>
    <xf borderId="4" fillId="12" fontId="4" numFmtId="0" xfId="0" applyAlignment="1" applyBorder="1" applyFill="1" applyFont="1">
      <alignment horizontal="center" vertical="center"/>
    </xf>
    <xf borderId="4" fillId="12" fontId="4" numFmtId="0" xfId="0" applyAlignment="1" applyBorder="1" applyFont="1">
      <alignment horizontal="center" readingOrder="0" vertical="center"/>
    </xf>
    <xf borderId="4" fillId="3" fontId="14" numFmtId="0" xfId="0" applyAlignment="1" applyBorder="1" applyFont="1">
      <alignment horizontal="left" vertical="center"/>
    </xf>
    <xf borderId="4" fillId="3" fontId="5" numFmtId="168" xfId="0" applyAlignment="1" applyBorder="1" applyFont="1" applyNumberFormat="1">
      <alignment horizontal="center" readingOrder="0" vertical="center"/>
    </xf>
    <xf borderId="4" fillId="3" fontId="5" numFmtId="168" xfId="0" applyAlignment="1" applyBorder="1" applyFont="1" applyNumberFormat="1">
      <alignment horizontal="center" vertical="center"/>
    </xf>
    <xf borderId="4" fillId="3" fontId="5" numFmtId="173" xfId="0" applyAlignment="1" applyBorder="1" applyFont="1" applyNumberFormat="1">
      <alignment horizontal="center" vertical="center"/>
    </xf>
    <xf borderId="5" fillId="11" fontId="1" numFmtId="0" xfId="0" applyAlignment="1" applyBorder="1" applyFont="1">
      <alignment horizontal="center" vertical="center"/>
    </xf>
    <xf borderId="5" fillId="6" fontId="15" numFmtId="0" xfId="0" applyBorder="1" applyFont="1"/>
    <xf borderId="0" fillId="0" fontId="6" numFmtId="0" xfId="0" applyFont="1"/>
    <xf borderId="4" fillId="0" fontId="6" numFmtId="0" xfId="0" applyAlignment="1" applyBorder="1" applyFont="1">
      <alignment horizontal="left" vertical="center"/>
    </xf>
    <xf borderId="4" fillId="0" fontId="6" numFmtId="0" xfId="0" applyAlignment="1" applyBorder="1" applyFont="1">
      <alignment horizontal="center" vertical="center"/>
    </xf>
    <xf borderId="4" fillId="3" fontId="5" numFmtId="175" xfId="0" applyAlignment="1" applyBorder="1" applyFont="1" applyNumberFormat="1">
      <alignment horizontal="center" vertical="center"/>
    </xf>
    <xf borderId="1" fillId="13" fontId="1" numFmtId="0" xfId="0" applyAlignment="1" applyBorder="1" applyFill="1" applyFont="1">
      <alignment horizontal="center" vertical="center"/>
    </xf>
    <xf borderId="4" fillId="13" fontId="4" numFmtId="0" xfId="0" applyAlignment="1" applyBorder="1" applyFont="1">
      <alignment horizontal="center" vertical="center"/>
    </xf>
    <xf borderId="4" fillId="0" fontId="13" numFmtId="0" xfId="0" applyAlignment="1" applyBorder="1" applyFont="1">
      <alignment horizontal="left" vertical="center"/>
    </xf>
    <xf borderId="4" fillId="4" fontId="6" numFmtId="168" xfId="0" applyAlignment="1" applyBorder="1" applyFont="1" applyNumberFormat="1">
      <alignment horizontal="center" vertical="center"/>
    </xf>
    <xf borderId="4" fillId="5" fontId="13" numFmtId="168" xfId="0" applyAlignment="1" applyBorder="1" applyFont="1" applyNumberFormat="1">
      <alignment horizontal="center" vertical="center"/>
    </xf>
    <xf borderId="4" fillId="3" fontId="5" numFmtId="167" xfId="0" applyAlignment="1" applyBorder="1" applyFont="1" applyNumberFormat="1">
      <alignment horizontal="center" vertical="center"/>
    </xf>
    <xf borderId="4" fillId="9" fontId="16" numFmtId="167" xfId="0" applyAlignment="1" applyBorder="1" applyFont="1" applyNumberFormat="1">
      <alignment horizontal="center" vertical="center"/>
    </xf>
    <xf borderId="1" fillId="2" fontId="4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vertical="center"/>
    </xf>
    <xf borderId="4" fillId="0" fontId="17" numFmtId="0" xfId="0" applyAlignment="1" applyBorder="1" applyFont="1">
      <alignment horizontal="left" vertical="center"/>
    </xf>
    <xf borderId="4" fillId="9" fontId="11" numFmtId="167" xfId="0" applyAlignment="1" applyBorder="1" applyFont="1" applyNumberFormat="1">
      <alignment horizontal="center" vertical="center"/>
    </xf>
    <xf borderId="1" fillId="12" fontId="4" numFmtId="0" xfId="0" applyAlignment="1" applyBorder="1" applyFont="1">
      <alignment horizontal="center" vertical="center"/>
    </xf>
    <xf borderId="4" fillId="0" fontId="12" numFmtId="0" xfId="0" applyAlignment="1" applyBorder="1" applyFont="1">
      <alignment horizontal="center" vertical="center"/>
    </xf>
    <xf borderId="1" fillId="14" fontId="4" numFmtId="0" xfId="0" applyAlignment="1" applyBorder="1" applyFill="1" applyFont="1">
      <alignment horizontal="center" vertical="center"/>
    </xf>
    <xf borderId="4" fillId="0" fontId="16" numFmtId="0" xfId="0" applyAlignment="1" applyBorder="1" applyFont="1">
      <alignment horizontal="center" vertical="center"/>
    </xf>
    <xf borderId="1" fillId="15" fontId="1" numFmtId="0" xfId="0" applyAlignment="1" applyBorder="1" applyFill="1" applyFont="1">
      <alignment horizontal="center" vertical="center"/>
    </xf>
    <xf borderId="4" fillId="15" fontId="4" numFmtId="0" xfId="0" applyAlignment="1" applyBorder="1" applyFont="1">
      <alignment horizontal="center" vertical="center"/>
    </xf>
    <xf borderId="4" fillId="0" fontId="18" numFmtId="0" xfId="0" applyAlignment="1" applyBorder="1" applyFont="1">
      <alignment horizontal="center" vertical="center"/>
    </xf>
    <xf borderId="4" fillId="0" fontId="17" numFmtId="176" xfId="0" applyAlignment="1" applyBorder="1" applyFont="1" applyNumberFormat="1">
      <alignment horizontal="center" vertical="center"/>
    </xf>
    <xf borderId="4" fillId="0" fontId="17" numFmtId="0" xfId="0" applyAlignment="1" applyBorder="1" applyFont="1">
      <alignment horizontal="center" vertical="center"/>
    </xf>
    <xf borderId="4" fillId="0" fontId="17" numFmtId="168" xfId="0" applyAlignment="1" applyBorder="1" applyFont="1" applyNumberFormat="1">
      <alignment horizontal="center" vertical="center"/>
    </xf>
    <xf borderId="4" fillId="0" fontId="19" numFmtId="0" xfId="0" applyAlignment="1" applyBorder="1" applyFont="1">
      <alignment horizontal="center" vertical="center"/>
    </xf>
    <xf borderId="4" fillId="11" fontId="4" numFmtId="0" xfId="0" applyAlignment="1" applyBorder="1" applyFont="1">
      <alignment horizontal="center" vertical="center"/>
    </xf>
    <xf borderId="0" fillId="0" fontId="13" numFmtId="0" xfId="0" applyAlignment="1" applyFont="1">
      <alignment horizontal="left" vertical="center"/>
    </xf>
    <xf borderId="0" fillId="0" fontId="17" numFmtId="0" xfId="0" applyAlignment="1" applyFont="1">
      <alignment horizontal="left" vertical="center"/>
    </xf>
    <xf borderId="4" fillId="5" fontId="20" numFmtId="168" xfId="0" applyAlignment="1" applyBorder="1" applyFont="1" applyNumberFormat="1">
      <alignment horizontal="center" vertical="center"/>
    </xf>
    <xf borderId="4" fillId="4" fontId="6" numFmtId="169" xfId="0" applyAlignment="1" applyBorder="1" applyFont="1" applyNumberFormat="1">
      <alignment horizontal="center" vertical="center"/>
    </xf>
    <xf borderId="0" fillId="0" fontId="21" numFmtId="0" xfId="0" applyFont="1"/>
    <xf borderId="0" fillId="0" fontId="13" numFmtId="0" xfId="0" applyAlignment="1" applyFont="1">
      <alignment horizontal="right" vertical="center"/>
    </xf>
    <xf borderId="4" fillId="3" fontId="5" numFmtId="177" xfId="0" applyAlignment="1" applyBorder="1" applyFont="1" applyNumberFormat="1">
      <alignment horizontal="center" vertical="center"/>
    </xf>
    <xf borderId="0" fillId="0" fontId="22" numFmtId="0" xfId="0" applyAlignment="1" applyFont="1">
      <alignment horizontal="left" vertical="center"/>
    </xf>
    <xf borderId="1" fillId="12" fontId="23" numFmtId="0" xfId="0" applyAlignment="1" applyBorder="1" applyFont="1">
      <alignment horizontal="center" vertical="center"/>
    </xf>
    <xf borderId="1" fillId="13" fontId="23" numFmtId="0" xfId="0" applyAlignment="1" applyBorder="1" applyFont="1">
      <alignment horizontal="center" vertical="center"/>
    </xf>
    <xf borderId="1" fillId="14" fontId="23" numFmtId="0" xfId="0" applyAlignment="1" applyBorder="1" applyFont="1">
      <alignment horizontal="center" vertical="center"/>
    </xf>
    <xf borderId="1" fillId="2" fontId="23" numFmtId="0" xfId="0" applyAlignment="1" applyBorder="1" applyFont="1">
      <alignment horizontal="center" vertical="center"/>
    </xf>
    <xf borderId="6" fillId="6" fontId="24" numFmtId="3" xfId="0" applyAlignment="1" applyBorder="1" applyFont="1" applyNumberFormat="1">
      <alignment horizontal="center" vertical="center"/>
    </xf>
    <xf borderId="7" fillId="0" fontId="2" numFmtId="0" xfId="0" applyBorder="1" applyFont="1"/>
    <xf borderId="6" fillId="6" fontId="24" numFmtId="4" xfId="0" applyAlignment="1" applyBorder="1" applyFont="1" applyNumberFormat="1">
      <alignment horizontal="center" vertical="center"/>
    </xf>
    <xf borderId="6" fillId="6" fontId="24" numFmtId="178" xfId="0" applyAlignment="1" applyBorder="1" applyFont="1" applyNumberFormat="1">
      <alignment horizontal="center" vertical="center"/>
    </xf>
    <xf borderId="1" fillId="16" fontId="23" numFmtId="0" xfId="0" applyAlignment="1" applyBorder="1" applyFill="1" applyFont="1">
      <alignment horizontal="center" vertical="center"/>
    </xf>
    <xf borderId="1" fillId="15" fontId="23" numFmtId="0" xfId="0" applyAlignment="1" applyBorder="1" applyFont="1">
      <alignment horizontal="center" vertical="center"/>
    </xf>
    <xf borderId="6" fillId="6" fontId="24" numFmtId="173" xfId="0" applyAlignment="1" applyBorder="1" applyFont="1" applyNumberFormat="1">
      <alignment horizontal="center" vertical="center"/>
    </xf>
    <xf borderId="6" fillId="6" fontId="24" numFmtId="170" xfId="0" applyAlignment="1" applyBorder="1" applyFont="1" applyNumberFormat="1">
      <alignment horizontal="center" vertical="center"/>
    </xf>
    <xf borderId="1" fillId="11" fontId="4" numFmtId="0" xfId="0" applyAlignment="1" applyBorder="1" applyFont="1">
      <alignment horizontal="center" vertical="center"/>
    </xf>
    <xf borderId="4" fillId="6" fontId="13" numFmtId="0" xfId="0" applyAlignment="1" applyBorder="1" applyFont="1">
      <alignment horizontal="center" vertical="center"/>
    </xf>
    <xf borderId="4" fillId="17" fontId="13" numFmtId="0" xfId="0" applyAlignment="1" applyBorder="1" applyFill="1" applyFont="1">
      <alignment horizontal="center" vertical="center"/>
    </xf>
    <xf borderId="4" fillId="0" fontId="17" numFmtId="166" xfId="0" applyAlignment="1" applyBorder="1" applyFont="1" applyNumberFormat="1">
      <alignment horizontal="center" vertical="center"/>
    </xf>
    <xf borderId="4" fillId="0" fontId="17" numFmtId="169" xfId="0" applyAlignment="1" applyBorder="1" applyFont="1" applyNumberFormat="1">
      <alignment horizontal="center" vertical="center"/>
    </xf>
    <xf borderId="4" fillId="0" fontId="13" numFmtId="0" xfId="0" applyAlignment="1" applyBorder="1" applyFont="1">
      <alignment horizontal="center" vertical="center"/>
    </xf>
    <xf borderId="4" fillId="0" fontId="17" numFmtId="167" xfId="0" applyAlignment="1" applyBorder="1" applyFont="1" applyNumberFormat="1">
      <alignment horizontal="center" vertical="center"/>
    </xf>
    <xf borderId="4" fillId="5" fontId="10" numFmtId="179" xfId="0" applyAlignment="1" applyBorder="1" applyFont="1" applyNumberFormat="1">
      <alignment horizontal="center" vertical="center"/>
    </xf>
    <xf borderId="4" fillId="18" fontId="23" numFmtId="0" xfId="0" applyAlignment="1" applyBorder="1" applyFill="1" applyFont="1">
      <alignment horizontal="center" vertical="center"/>
    </xf>
    <xf borderId="4" fillId="18" fontId="23" numFmtId="3" xfId="0" applyAlignment="1" applyBorder="1" applyFont="1" applyNumberFormat="1">
      <alignment horizontal="center" vertical="center"/>
    </xf>
    <xf borderId="4" fillId="18" fontId="17" numFmtId="0" xfId="0" applyBorder="1" applyFont="1"/>
    <xf borderId="1" fillId="16" fontId="4" numFmtId="0" xfId="0" applyAlignment="1" applyBorder="1" applyFont="1">
      <alignment horizontal="center" vertical="center"/>
    </xf>
    <xf borderId="1" fillId="15" fontId="4" numFmtId="0" xfId="0" applyAlignment="1" applyBorder="1" applyFont="1">
      <alignment horizontal="center" vertical="center"/>
    </xf>
    <xf borderId="4" fillId="7" fontId="13" numFmtId="0" xfId="0" applyAlignment="1" applyBorder="1" applyFont="1">
      <alignment horizontal="center" vertical="center"/>
    </xf>
    <xf borderId="4" fillId="8" fontId="13" numFmtId="0" xfId="0" applyAlignment="1" applyBorder="1" applyFont="1">
      <alignment horizontal="center" vertical="center"/>
    </xf>
    <xf borderId="4" fillId="0" fontId="17" numFmtId="179" xfId="0" applyAlignment="1" applyBorder="1" applyFont="1" applyNumberFormat="1">
      <alignment horizontal="center" vertical="center"/>
    </xf>
    <xf borderId="4" fillId="9" fontId="16" numFmtId="179" xfId="0" applyAlignment="1" applyBorder="1" applyFont="1" applyNumberFormat="1">
      <alignment horizontal="center" vertical="center"/>
    </xf>
    <xf borderId="4" fillId="19" fontId="9" numFmtId="179" xfId="0" applyAlignment="1" applyBorder="1" applyFill="1" applyFont="1" applyNumberFormat="1">
      <alignment horizontal="center" vertical="center"/>
    </xf>
    <xf borderId="4" fillId="15" fontId="23" numFmtId="0" xfId="0" applyAlignment="1" applyBorder="1" applyFont="1">
      <alignment horizontal="center" vertical="center"/>
    </xf>
    <xf borderId="4" fillId="15" fontId="4" numFmtId="178" xfId="0" applyAlignment="1" applyBorder="1" applyFont="1" applyNumberFormat="1">
      <alignment horizontal="center" vertical="center"/>
    </xf>
    <xf borderId="4" fillId="15" fontId="4" numFmtId="175" xfId="0" applyAlignment="1" applyBorder="1" applyFont="1" applyNumberFormat="1">
      <alignment horizontal="center" vertical="center"/>
    </xf>
    <xf borderId="4" fillId="0" fontId="17" numFmtId="170" xfId="0" applyAlignment="1" applyBorder="1" applyFont="1" applyNumberFormat="1">
      <alignment horizontal="center" vertical="center"/>
    </xf>
    <xf borderId="4" fillId="0" fontId="13" numFmtId="179" xfId="0" applyAlignment="1" applyBorder="1" applyFont="1" applyNumberFormat="1">
      <alignment horizontal="center" vertical="center"/>
    </xf>
    <xf borderId="4" fillId="9" fontId="16" numFmtId="168" xfId="0" applyAlignment="1" applyBorder="1" applyFont="1" applyNumberFormat="1">
      <alignment horizontal="center" vertical="center"/>
    </xf>
  </cellXfs>
  <cellStyles count="1">
    <cellStyle xfId="0" name="Normal" builtinId="0"/>
  </cellStyles>
  <dxfs count="9">
    <dxf>
      <font>
        <b/>
        <sz val="10.0"/>
        <color rgb="FF1F4E78"/>
        <name val="Arial"/>
      </font>
      <fill>
        <patternFill patternType="solid">
          <fgColor rgb="FFDEEBF7"/>
          <bgColor rgb="FFDEEBF7"/>
        </patternFill>
      </fill>
      <border/>
    </dxf>
    <dxf>
      <font>
        <b/>
        <sz val="10.0"/>
        <color rgb="FF9C5700"/>
        <name val="Arial"/>
      </font>
      <fill>
        <patternFill patternType="solid">
          <fgColor rgb="FFFFEB9C"/>
          <bgColor rgb="FFFFEB9C"/>
        </patternFill>
      </fill>
      <border/>
    </dxf>
    <dxf>
      <font>
        <b/>
        <sz val="10.0"/>
        <color rgb="FF9C5700"/>
        <name val="Arial"/>
      </font>
      <fill>
        <patternFill patternType="solid">
          <fgColor rgb="FFFFE699"/>
          <bgColor rgb="FFFFE699"/>
        </patternFill>
      </fill>
      <border/>
    </dxf>
    <dxf>
      <font>
        <b/>
        <sz val="10.0"/>
        <color rgb="FFA0522D"/>
        <name val="Arial"/>
      </font>
      <fill>
        <patternFill patternType="solid">
          <fgColor rgb="FFFCD5B4"/>
          <bgColor rgb="FFFCD5B4"/>
        </patternFill>
      </fill>
      <border/>
    </dxf>
    <dxf>
      <font>
        <b/>
        <sz val="10.0"/>
        <color rgb="FF006100"/>
        <name val="Arial"/>
      </font>
      <fill>
        <patternFill patternType="solid">
          <fgColor rgb="FFE2EFDA"/>
          <bgColor rgb="FFE2EFDA"/>
        </patternFill>
      </fill>
      <border/>
    </dxf>
    <dxf>
      <font>
        <b/>
        <sz val="10.0"/>
        <color rgb="FF595959"/>
        <name val="Arial"/>
      </font>
      <fill>
        <patternFill patternType="solid">
          <fgColor rgb="FFF2F2F2"/>
          <bgColor rgb="FFF2F2F2"/>
        </patternFill>
      </fill>
      <border/>
    </dxf>
    <dxf>
      <font>
        <b/>
        <sz val="10.0"/>
        <color rgb="FF9C0006"/>
        <name val="Arial"/>
      </font>
      <fill>
        <patternFill patternType="solid">
          <fgColor rgb="FFFFC7CE"/>
          <bgColor rgb="FFFFC7CE"/>
        </patternFill>
      </fill>
      <border/>
    </dxf>
    <dxf>
      <font>
        <b/>
        <sz val="10.0"/>
        <color rgb="FFA0522D"/>
        <name val="Arial"/>
      </font>
      <fill>
        <patternFill patternType="solid">
          <fgColor rgb="FFFFC4A3"/>
          <bgColor rgb="FFFFC4A3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5911"/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24.14"/>
    <col customWidth="1" min="2" max="2" width="18.71"/>
    <col customWidth="1" min="3" max="3" width="22.0"/>
    <col customWidth="1" min="4" max="4" width="25.86"/>
    <col customWidth="1" min="5" max="5" width="24.0"/>
    <col customWidth="1" min="6" max="6" width="18.86"/>
    <col customWidth="1" min="7" max="7" width="17.71"/>
    <col customWidth="1" min="8" max="8" width="10.0"/>
    <col customWidth="1" min="9" max="9" width="14.0"/>
    <col customWidth="1" min="10" max="10" width="26.0"/>
    <col customWidth="1" min="11" max="11" width="11.0"/>
    <col customWidth="1" min="12" max="12" width="12.0"/>
    <col customWidth="1" min="13" max="13" width="13.0"/>
    <col customWidth="1" min="14" max="16" width="14.0"/>
    <col customWidth="1" min="17" max="19" width="13.0"/>
    <col customWidth="1" min="20" max="20" width="12.0"/>
    <col customWidth="1" min="21" max="21" width="11.0"/>
    <col customWidth="1" min="22" max="24" width="13.0"/>
    <col customWidth="1" min="25" max="25" width="11.0"/>
    <col customWidth="1" min="26" max="26" width="13.0"/>
    <col customWidth="1" min="27" max="27" width="11.0"/>
    <col customWidth="1" min="28" max="29" width="13.0"/>
    <col customWidth="1" min="30" max="30" width="12.0"/>
    <col customWidth="1" min="31" max="31" width="15.0"/>
    <col customWidth="1" min="32" max="32" width="13.0"/>
    <col customWidth="1" min="33" max="33" width="12.0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>
      <c r="A2" s="4" t="s">
        <v>1</v>
      </c>
    </row>
    <row r="3" ht="36.0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  <c r="AF3" s="5" t="s">
        <v>33</v>
      </c>
      <c r="AG3" s="5" t="s">
        <v>34</v>
      </c>
    </row>
    <row r="4">
      <c r="A4" s="6" t="s">
        <v>35</v>
      </c>
      <c r="B4" s="7">
        <v>46113.0</v>
      </c>
      <c r="C4" s="6" t="s">
        <v>36</v>
      </c>
      <c r="D4" s="8" t="s">
        <v>37</v>
      </c>
      <c r="E4" s="9">
        <v>50.0</v>
      </c>
      <c r="F4" s="10">
        <v>1000.0</v>
      </c>
      <c r="G4" s="8" t="s">
        <v>38</v>
      </c>
      <c r="H4" s="8" t="s">
        <v>39</v>
      </c>
      <c r="I4" s="8" t="s">
        <v>40</v>
      </c>
      <c r="J4" s="6"/>
      <c r="K4" s="11">
        <f>IFERROR(SUMIFS(PROGRAMA_DETALLE!$E$4:$E$503,PROGRAMA_DETALLE!$A$4:$A$503,A4),0)</f>
        <v>50</v>
      </c>
      <c r="L4" s="12">
        <f>IFERROR(SUMIFS(PROGRAMA_DETALLE!$F$4:$F$503,PROGRAMA_DETALLE!$A$4:$A$503,A4),0)</f>
        <v>1000</v>
      </c>
      <c r="M4" s="13">
        <f>IF(A4="","",IFERROR(SUMIFS(COMPRAS_HILO!$D$4:$D$203,COMPRAS_HILO!$B$4:$B$203,A4),0))</f>
        <v>1000</v>
      </c>
      <c r="N4" s="14">
        <f>IF(A4="","",IFERROR(SUMIFS(COMPRAS_HILO!$H$4:$H$203,COMPRAS_HILO!$B$4:$B$203,A4),0))</f>
        <v>10500</v>
      </c>
      <c r="O4" s="15" t="str">
        <f>IFERROR(IF(SUMPRODUCT((COMPRAS_HILO!$B$4:$B$203=A4)*1)=0,"",LOOKUP(2,1/((COMPRAS_HILO!$B$4:$B$203=A4)*(COMPRAS_HILO!$J$4:$J$203&lt;&gt;"")),COMPRAS_HILO!$J$4:$J$203)),"")</f>
        <v>COTTOON-001</v>
      </c>
      <c r="P4" s="16"/>
      <c r="Q4" s="17">
        <f>IF(A4="","",IFERROR(SUMIFS(PROGRAMA_DETALLE!$H$4:$H$503,PROGRAMA_DETALLE!$A$4:$A$503,A4),0))</f>
        <v>1000</v>
      </c>
      <c r="R4" s="17">
        <f>IF(A4="","",IFERROR(SUMIFS(PROGRAMA_DETALLE!$I$4:$I$503,PROGRAMA_DETALLE!$A$4:$A$503,A4),0))</f>
        <v>980</v>
      </c>
      <c r="S4" s="10">
        <v>5.0</v>
      </c>
      <c r="T4" s="17">
        <f t="shared" ref="T4:T103" si="1">IFERROR(Q4-R4-S4,0)</f>
        <v>15</v>
      </c>
      <c r="U4" s="18">
        <f t="shared" ref="U4:U103" si="2">IFERROR(T4/Q4,0)</f>
        <v>0.015</v>
      </c>
      <c r="V4" s="19">
        <f>IF(A4="","",IFERROR(SUMIFS(PROGRAMA_DETALLE!$R$4:$R$503,PROGRAMA_DETALLE!$A$4:$A$503,A4),0))</f>
        <v>980</v>
      </c>
      <c r="W4" s="19">
        <f>IF(A4="","",IFERROR(SUMIFS(PROGRAMA_DETALLE!$S$4:$S$503,PROGRAMA_DETALLE!$A$4:$A$503,A4),0))</f>
        <v>890</v>
      </c>
      <c r="X4" s="19">
        <f t="shared" ref="X4:X103" si="3">IFERROR(V4-W4,0)</f>
        <v>90</v>
      </c>
      <c r="Y4" s="20">
        <f t="shared" ref="Y4:Y103" si="4">IFERROR(X4/V4,0)</f>
        <v>0.09183673469</v>
      </c>
      <c r="Z4" s="21">
        <f t="shared" ref="Z4:Z103" si="5">IFERROR(Q4-W4-S4,0)</f>
        <v>105</v>
      </c>
      <c r="AA4" s="22">
        <f t="shared" ref="AA4:AA103" si="6">IFERROR(Z4/Q4,0)</f>
        <v>0.105</v>
      </c>
      <c r="AB4" s="23">
        <f>IFERROR(W4*DASHBOARD!$C$2,0)</f>
        <v>267</v>
      </c>
      <c r="AC4" s="24" t="s">
        <v>41</v>
      </c>
      <c r="AD4" s="7">
        <v>46142.0</v>
      </c>
      <c r="AE4" s="25">
        <f>IFERROR(N4+IFERROR(SUMIFS(PROGRAMA_DETALLE!$M$4:$M$503,PROGRAMA_DETALLE!$A$4:$A$503,A4),0)+IFERROR(SUMIFS(PROGRAMA_DETALLE!$Z$4:$Z$503,PROGRAMA_DETALLE!$A$4:$A$503,A4),0)+AB4,0)</f>
        <v>19171.175</v>
      </c>
      <c r="AF4" s="25">
        <f t="shared" ref="AF4:AF103" si="7">IFERROR(AE4/W4,0)</f>
        <v>21.54064607</v>
      </c>
      <c r="AG4" s="26">
        <f t="shared" ref="AG4:AG103" si="8">IFERROR(AD4-B4,"")</f>
        <v>29</v>
      </c>
    </row>
    <row r="5">
      <c r="A5" s="6" t="s">
        <v>42</v>
      </c>
      <c r="B5" s="7">
        <v>46152.0</v>
      </c>
      <c r="C5" s="6" t="s">
        <v>43</v>
      </c>
      <c r="D5" s="8" t="s">
        <v>44</v>
      </c>
      <c r="E5" s="9">
        <v>25.0</v>
      </c>
      <c r="F5" s="10">
        <v>500.0</v>
      </c>
      <c r="G5" s="8" t="s">
        <v>45</v>
      </c>
      <c r="H5" s="8" t="s">
        <v>39</v>
      </c>
      <c r="I5" s="8" t="s">
        <v>46</v>
      </c>
      <c r="J5" s="6"/>
      <c r="K5" s="11">
        <f>IFERROR(SUMIFS(PROGRAMA_DETALLE!$E$4:$E$503,PROGRAMA_DETALLE!$A$4:$A$503,A5),0)</f>
        <v>25</v>
      </c>
      <c r="L5" s="12">
        <f>IFERROR(SUMIFS(PROGRAMA_DETALLE!$F$4:$F$503,PROGRAMA_DETALLE!$A$4:$A$503,A5),0)</f>
        <v>500</v>
      </c>
      <c r="M5" s="13">
        <f>IF(A5="","",IFERROR(SUMIFS(COMPRAS_HILO!$D$4:$D$203,COMPRAS_HILO!$B$4:$B$203,A5),0))</f>
        <v>500</v>
      </c>
      <c r="N5" s="14">
        <f>IF(A5="","",IFERROR(SUMIFS(COMPRAS_HILO!$H$4:$H$203,COMPRAS_HILO!$B$4:$B$203,A5),0))</f>
        <v>9625</v>
      </c>
      <c r="O5" s="15" t="str">
        <f>IFERROR(IF(SUMPRODUCT((COMPRAS_HILO!$B$4:$B$203=A5)*1)=0,"",LOOKUP(2,1/((COMPRAS_HILO!$B$4:$B$203=A5)*(COMPRAS_HILO!$J$4:$J$203&lt;&gt;"")),COMPRAS_HILO!$J$4:$J$203)),"")</f>
        <v>COTTOON-001</v>
      </c>
      <c r="P5" s="16"/>
      <c r="Q5" s="17">
        <f>IF(A5="","",IFERROR(SUMIFS(PROGRAMA_DETALLE!$H$4:$H$503,PROGRAMA_DETALLE!$A$4:$A$503,A5),0))</f>
        <v>500</v>
      </c>
      <c r="R5" s="17">
        <f>IF(A5="","",IFERROR(SUMIFS(PROGRAMA_DETALLE!$I$4:$I$503,PROGRAMA_DETALLE!$A$4:$A$503,A5),0))</f>
        <v>0</v>
      </c>
      <c r="S5" s="10"/>
      <c r="T5" s="17">
        <f t="shared" si="1"/>
        <v>500</v>
      </c>
      <c r="U5" s="18">
        <f t="shared" si="2"/>
        <v>1</v>
      </c>
      <c r="V5" s="19">
        <f>IF(A5="","",IFERROR(SUMIFS(PROGRAMA_DETALLE!$R$4:$R$503,PROGRAMA_DETALLE!$A$4:$A$503,A5),0))</f>
        <v>0</v>
      </c>
      <c r="W5" s="19">
        <f>IF(A5="","",IFERROR(SUMIFS(PROGRAMA_DETALLE!$S$4:$S$503,PROGRAMA_DETALLE!$A$4:$A$503,A5),0))</f>
        <v>0</v>
      </c>
      <c r="X5" s="19">
        <f t="shared" si="3"/>
        <v>0</v>
      </c>
      <c r="Y5" s="20">
        <f t="shared" si="4"/>
        <v>0</v>
      </c>
      <c r="Z5" s="21">
        <f t="shared" si="5"/>
        <v>500</v>
      </c>
      <c r="AA5" s="22">
        <f t="shared" si="6"/>
        <v>1</v>
      </c>
      <c r="AB5" s="23">
        <f>IFERROR(W5*DASHBOARD!$C$2,0)</f>
        <v>0</v>
      </c>
      <c r="AC5" s="24"/>
      <c r="AD5" s="7"/>
      <c r="AE5" s="25">
        <f>IFERROR(N5+IFERROR(SUMIFS(PROGRAMA_DETALLE!$M$4:$M$503,PROGRAMA_DETALLE!$A$4:$A$503,A5),0)+IFERROR(SUMIFS(PROGRAMA_DETALLE!$Z$4:$Z$503,PROGRAMA_DETALLE!$A$4:$A$503,A5),0)+AB5,0)</f>
        <v>9625</v>
      </c>
      <c r="AF5" s="25">
        <f t="shared" si="7"/>
        <v>0</v>
      </c>
      <c r="AG5" s="26">
        <f t="shared" si="8"/>
        <v>-46152</v>
      </c>
    </row>
    <row r="6">
      <c r="A6" s="6" t="s">
        <v>47</v>
      </c>
      <c r="B6" s="7">
        <v>46152.0</v>
      </c>
      <c r="C6" s="6" t="s">
        <v>48</v>
      </c>
      <c r="D6" s="8" t="s">
        <v>37</v>
      </c>
      <c r="E6" s="9">
        <v>145.0</v>
      </c>
      <c r="F6" s="10">
        <v>2943.0</v>
      </c>
      <c r="G6" s="8" t="s">
        <v>49</v>
      </c>
      <c r="H6" s="8" t="s">
        <v>50</v>
      </c>
      <c r="I6" s="8" t="s">
        <v>46</v>
      </c>
      <c r="J6" s="6"/>
      <c r="K6" s="11">
        <f>IFERROR(SUMIFS(PROGRAMA_DETALLE!$E$4:$E$503,PROGRAMA_DETALLE!$A$4:$A$503,A6),0)</f>
        <v>145</v>
      </c>
      <c r="L6" s="12">
        <f>IFERROR(SUMIFS(PROGRAMA_DETALLE!$F$4:$F$503,PROGRAMA_DETALLE!$A$4:$A$503,A6),0)</f>
        <v>2900</v>
      </c>
      <c r="M6" s="13">
        <f>IF(A6="","",IFERROR(SUMIFS(COMPRAS_HILO!$D$4:$D$203,COMPRAS_HILO!$B$4:$B$203,A6),0))</f>
        <v>3000</v>
      </c>
      <c r="N6" s="14">
        <f>IF(A6="","",IFERROR(SUMIFS(COMPRAS_HILO!$H$4:$H$203,COMPRAS_HILO!$B$4:$B$203,A6),0))</f>
        <v>31050</v>
      </c>
      <c r="O6" s="15" t="str">
        <f>IFERROR(IF(SUMPRODUCT((COMPRAS_HILO!$B$4:$B$203=A6)*1)=0,"",LOOKUP(2,1/((COMPRAS_HILO!$B$4:$B$203=A6)*(COMPRAS_HILO!$J$4:$J$203&lt;&gt;"")),COMPRAS_HILO!$J$4:$J$203)),"")</f>
        <v/>
      </c>
      <c r="P6" s="16"/>
      <c r="Q6" s="17">
        <f>IF(A6="","",IFERROR(SUMIFS(PROGRAMA_DETALLE!$H$4:$H$503,PROGRAMA_DETALLE!$A$4:$A$503,A6),0))</f>
        <v>0</v>
      </c>
      <c r="R6" s="17">
        <f>IF(A6="","",IFERROR(SUMIFS(PROGRAMA_DETALLE!$I$4:$I$503,PROGRAMA_DETALLE!$A$4:$A$503,A6),0))</f>
        <v>0</v>
      </c>
      <c r="S6" s="10"/>
      <c r="T6" s="17">
        <f t="shared" si="1"/>
        <v>0</v>
      </c>
      <c r="U6" s="18">
        <f t="shared" si="2"/>
        <v>0</v>
      </c>
      <c r="V6" s="19">
        <f>IF(A6="","",IFERROR(SUMIFS(PROGRAMA_DETALLE!$R$4:$R$503,PROGRAMA_DETALLE!$A$4:$A$503,A6),0))</f>
        <v>0</v>
      </c>
      <c r="W6" s="19">
        <f>IF(A6="","",IFERROR(SUMIFS(PROGRAMA_DETALLE!$S$4:$S$503,PROGRAMA_DETALLE!$A$4:$A$503,A6),0))</f>
        <v>0</v>
      </c>
      <c r="X6" s="19">
        <f t="shared" si="3"/>
        <v>0</v>
      </c>
      <c r="Y6" s="20">
        <f t="shared" si="4"/>
        <v>0</v>
      </c>
      <c r="Z6" s="21">
        <f t="shared" si="5"/>
        <v>0</v>
      </c>
      <c r="AA6" s="22">
        <f t="shared" si="6"/>
        <v>0</v>
      </c>
      <c r="AB6" s="23">
        <f>IFERROR(W6*DASHBOARD!$C$2,0)</f>
        <v>0</v>
      </c>
      <c r="AC6" s="24"/>
      <c r="AD6" s="7"/>
      <c r="AE6" s="25">
        <f>IFERROR(N6+IFERROR(SUMIFS(PROGRAMA_DETALLE!$M$4:$M$503,PROGRAMA_DETALLE!$A$4:$A$503,A6),0)+IFERROR(SUMIFS(PROGRAMA_DETALLE!$Z$4:$Z$503,PROGRAMA_DETALLE!$A$4:$A$503,A6),0)+AB6,0)</f>
        <v>31050</v>
      </c>
      <c r="AF6" s="25">
        <f t="shared" si="7"/>
        <v>0</v>
      </c>
      <c r="AG6" s="26">
        <f t="shared" si="8"/>
        <v>-46152</v>
      </c>
    </row>
    <row r="7">
      <c r="A7" s="27" t="s">
        <v>51</v>
      </c>
      <c r="B7" s="28">
        <v>46313.0</v>
      </c>
      <c r="C7" s="27" t="s">
        <v>52</v>
      </c>
      <c r="D7" s="29" t="s">
        <v>53</v>
      </c>
      <c r="E7" s="30">
        <v>33.0</v>
      </c>
      <c r="F7" s="31">
        <v>660.0</v>
      </c>
      <c r="G7" s="29" t="s">
        <v>54</v>
      </c>
      <c r="H7" s="29" t="s">
        <v>39</v>
      </c>
      <c r="I7" s="29" t="s">
        <v>55</v>
      </c>
      <c r="J7" s="6"/>
      <c r="K7" s="11">
        <f>IFERROR(SUMIFS(PROGRAMA_DETALLE!$E$4:$E$503,PROGRAMA_DETALLE!$A$4:$A$503,A7),0)</f>
        <v>0</v>
      </c>
      <c r="L7" s="12">
        <f>IFERROR(SUMIFS(PROGRAMA_DETALLE!$F$4:$F$503,PROGRAMA_DETALLE!$A$4:$A$503,A7),0)</f>
        <v>0</v>
      </c>
      <c r="M7" s="13">
        <f>IF(A7="","",IFERROR(SUMIFS(COMPRAS_HILO!$D$4:$D$203,COMPRAS_HILO!$B$4:$B$203,A7),0))</f>
        <v>660</v>
      </c>
      <c r="N7" s="14">
        <f>IF(A7="","",IFERROR(SUMIFS(COMPRAS_HILO!$H$4:$H$203,COMPRAS_HILO!$B$4:$B$203,A7),0))</f>
        <v>9108</v>
      </c>
      <c r="O7" s="15" t="str">
        <f>IFERROR(IF(SUMPRODUCT((COMPRAS_HILO!$B$4:$B$203=A7)*1)=0,"",LOOKUP(2,1/((COMPRAS_HILO!$B$4:$B$203=A7)*(COMPRAS_HILO!$J$4:$J$203&lt;&gt;"")),COMPRAS_HILO!$J$4:$J$203)),"")</f>
        <v/>
      </c>
      <c r="P7" s="16"/>
      <c r="Q7" s="17">
        <f>IF(A7="","",IFERROR(SUMIFS(PROGRAMA_DETALLE!$H$4:$H$503,PROGRAMA_DETALLE!$A$4:$A$503,A7),0))</f>
        <v>0</v>
      </c>
      <c r="R7" s="17">
        <f>IF(A7="","",IFERROR(SUMIFS(PROGRAMA_DETALLE!$I$4:$I$503,PROGRAMA_DETALLE!$A$4:$A$503,A7),0))</f>
        <v>0</v>
      </c>
      <c r="S7" s="10"/>
      <c r="T7" s="17">
        <f t="shared" si="1"/>
        <v>0</v>
      </c>
      <c r="U7" s="18">
        <f t="shared" si="2"/>
        <v>0</v>
      </c>
      <c r="V7" s="19">
        <f>IF(A7="","",IFERROR(SUMIFS(PROGRAMA_DETALLE!$R$4:$R$503,PROGRAMA_DETALLE!$A$4:$A$503,A7),0))</f>
        <v>0</v>
      </c>
      <c r="W7" s="19">
        <f>IF(A7="","",IFERROR(SUMIFS(PROGRAMA_DETALLE!$S$4:$S$503,PROGRAMA_DETALLE!$A$4:$A$503,A7),0))</f>
        <v>0</v>
      </c>
      <c r="X7" s="19">
        <f t="shared" si="3"/>
        <v>0</v>
      </c>
      <c r="Y7" s="20">
        <f t="shared" si="4"/>
        <v>0</v>
      </c>
      <c r="Z7" s="21">
        <f t="shared" si="5"/>
        <v>0</v>
      </c>
      <c r="AA7" s="22">
        <f t="shared" si="6"/>
        <v>0</v>
      </c>
      <c r="AB7" s="23">
        <f>IFERROR(W7*DASHBOARD!$C$2,0)</f>
        <v>0</v>
      </c>
      <c r="AC7" s="24"/>
      <c r="AD7" s="7"/>
      <c r="AE7" s="25">
        <f>IFERROR(N7+IFERROR(SUMIFS(PROGRAMA_DETALLE!$M$4:$M$503,PROGRAMA_DETALLE!$A$4:$A$503,A7),0)+IFERROR(SUMIFS(PROGRAMA_DETALLE!$Z$4:$Z$503,PROGRAMA_DETALLE!$A$4:$A$503,A7),0)+AB7,0)</f>
        <v>9108</v>
      </c>
      <c r="AF7" s="25">
        <f t="shared" si="7"/>
        <v>0</v>
      </c>
      <c r="AG7" s="26">
        <f t="shared" si="8"/>
        <v>-46313</v>
      </c>
    </row>
    <row r="8">
      <c r="A8" s="27" t="s">
        <v>56</v>
      </c>
      <c r="B8" s="28">
        <v>46160.0</v>
      </c>
      <c r="C8" s="27" t="s">
        <v>57</v>
      </c>
      <c r="D8" s="29" t="s">
        <v>53</v>
      </c>
      <c r="E8" s="30">
        <v>2.0</v>
      </c>
      <c r="F8" s="31">
        <v>40.0</v>
      </c>
      <c r="G8" s="29" t="s">
        <v>58</v>
      </c>
      <c r="H8" s="29" t="s">
        <v>39</v>
      </c>
      <c r="I8" s="29" t="s">
        <v>55</v>
      </c>
      <c r="J8" s="6"/>
      <c r="K8" s="11">
        <f>IFERROR(SUMIFS(PROGRAMA_DETALLE!$E$4:$E$503,PROGRAMA_DETALLE!$A$4:$A$503,A8),0)</f>
        <v>0</v>
      </c>
      <c r="L8" s="12">
        <f>IFERROR(SUMIFS(PROGRAMA_DETALLE!$F$4:$F$503,PROGRAMA_DETALLE!$A$4:$A$503,A8),0)</f>
        <v>0</v>
      </c>
      <c r="M8" s="13">
        <f>IF(A8="","",IFERROR(SUMIFS(COMPRAS_HILO!$D$4:$D$203,COMPRAS_HILO!$B$4:$B$203,A8),0))</f>
        <v>0</v>
      </c>
      <c r="N8" s="14">
        <f>IF(A8="","",IFERROR(SUMIFS(COMPRAS_HILO!$H$4:$H$203,COMPRAS_HILO!$B$4:$B$203,A8),0))</f>
        <v>0</v>
      </c>
      <c r="O8" s="15" t="str">
        <f>IFERROR(IF(SUMPRODUCT((COMPRAS_HILO!$B$4:$B$203=A8)*1)=0,"",LOOKUP(2,1/((COMPRAS_HILO!$B$4:$B$203=A8)*(COMPRAS_HILO!$J$4:$J$203&lt;&gt;"")),COMPRAS_HILO!$J$4:$J$203)),"")</f>
        <v/>
      </c>
      <c r="P8" s="16"/>
      <c r="Q8" s="17">
        <f>IF(A8="","",IFERROR(SUMIFS(PROGRAMA_DETALLE!$H$4:$H$503,PROGRAMA_DETALLE!$A$4:$A$503,A8),0))</f>
        <v>0</v>
      </c>
      <c r="R8" s="17">
        <f>IF(A8="","",IFERROR(SUMIFS(PROGRAMA_DETALLE!$I$4:$I$503,PROGRAMA_DETALLE!$A$4:$A$503,A8),0))</f>
        <v>0</v>
      </c>
      <c r="S8" s="10"/>
      <c r="T8" s="17">
        <f t="shared" si="1"/>
        <v>0</v>
      </c>
      <c r="U8" s="18">
        <f t="shared" si="2"/>
        <v>0</v>
      </c>
      <c r="V8" s="19">
        <f>IF(A8="","",IFERROR(SUMIFS(PROGRAMA_DETALLE!$R$4:$R$503,PROGRAMA_DETALLE!$A$4:$A$503,A8),0))</f>
        <v>0</v>
      </c>
      <c r="W8" s="19">
        <f>IF(A8="","",IFERROR(SUMIFS(PROGRAMA_DETALLE!$S$4:$S$503,PROGRAMA_DETALLE!$A$4:$A$503,A8),0))</f>
        <v>0</v>
      </c>
      <c r="X8" s="19">
        <f t="shared" si="3"/>
        <v>0</v>
      </c>
      <c r="Y8" s="20">
        <f t="shared" si="4"/>
        <v>0</v>
      </c>
      <c r="Z8" s="21">
        <f t="shared" si="5"/>
        <v>0</v>
      </c>
      <c r="AA8" s="22">
        <f t="shared" si="6"/>
        <v>0</v>
      </c>
      <c r="AB8" s="23">
        <f>IFERROR(W8*DASHBOARD!$C$2,0)</f>
        <v>0</v>
      </c>
      <c r="AC8" s="24"/>
      <c r="AD8" s="7"/>
      <c r="AE8" s="25">
        <f>IFERROR(N8+IFERROR(SUMIFS(PROGRAMA_DETALLE!$M$4:$M$503,PROGRAMA_DETALLE!$A$4:$A$503,A8),0)+IFERROR(SUMIFS(PROGRAMA_DETALLE!$Z$4:$Z$503,PROGRAMA_DETALLE!$A$4:$A$503,A8),0)+AB8,0)</f>
        <v>0</v>
      </c>
      <c r="AF8" s="25">
        <f t="shared" si="7"/>
        <v>0</v>
      </c>
      <c r="AG8" s="26">
        <f t="shared" si="8"/>
        <v>-46160</v>
      </c>
    </row>
    <row r="9">
      <c r="A9" s="6"/>
      <c r="B9" s="7"/>
      <c r="C9" s="6"/>
      <c r="D9" s="8"/>
      <c r="E9" s="9"/>
      <c r="F9" s="10"/>
      <c r="G9" s="8"/>
      <c r="H9" s="8"/>
      <c r="I9" s="8"/>
      <c r="J9" s="6"/>
      <c r="K9" s="11">
        <f>IFERROR(SUMIFS(PROGRAMA_DETALLE!$E$4:$E$503,PROGRAMA_DETALLE!$A$4:$A$503,A9),0)</f>
        <v>0</v>
      </c>
      <c r="L9" s="12">
        <f>IFERROR(SUMIFS(PROGRAMA_DETALLE!$F$4:$F$503,PROGRAMA_DETALLE!$A$4:$A$503,A9),0)</f>
        <v>0</v>
      </c>
      <c r="M9" s="13" t="str">
        <f>IF(A9="","",IFERROR(SUMIFS(COMPRAS_HILO!$D$4:$D$203,COMPRAS_HILO!$B$4:$B$203,A9),0))</f>
        <v/>
      </c>
      <c r="N9" s="14" t="str">
        <f>IF(A9="","",IFERROR(SUMIFS(COMPRAS_HILO!$H$4:$H$203,COMPRAS_HILO!$B$4:$B$203,A9),0))</f>
        <v/>
      </c>
      <c r="O9" s="15" t="str">
        <f>IFERROR(IF(SUMPRODUCT((COMPRAS_HILO!$B$4:$B$203=A9)*1)=0,"",LOOKUP(2,1/((COMPRAS_HILO!$B$4:$B$203=A9)*(COMPRAS_HILO!$J$4:$J$203&lt;&gt;"")),COMPRAS_HILO!$J$4:$J$203)),"")</f>
        <v/>
      </c>
      <c r="P9" s="16"/>
      <c r="Q9" s="17" t="str">
        <f>IF(A9="","",IFERROR(SUMIFS(PROGRAMA_DETALLE!$H$4:$H$503,PROGRAMA_DETALLE!$A$4:$A$503,A9),0))</f>
        <v/>
      </c>
      <c r="R9" s="17" t="str">
        <f>IF(A9="","",IFERROR(SUMIFS(PROGRAMA_DETALLE!$I$4:$I$503,PROGRAMA_DETALLE!$A$4:$A$503,A9),0))</f>
        <v/>
      </c>
      <c r="S9" s="10"/>
      <c r="T9" s="17">
        <f t="shared" si="1"/>
        <v>0</v>
      </c>
      <c r="U9" s="18">
        <f t="shared" si="2"/>
        <v>0</v>
      </c>
      <c r="V9" s="19" t="str">
        <f>IF(A9="","",IFERROR(SUMIFS(PROGRAMA_DETALLE!$R$4:$R$503,PROGRAMA_DETALLE!$A$4:$A$503,A9),0))</f>
        <v/>
      </c>
      <c r="W9" s="19" t="str">
        <f>IF(A9="","",IFERROR(SUMIFS(PROGRAMA_DETALLE!$S$4:$S$503,PROGRAMA_DETALLE!$A$4:$A$503,A9),0))</f>
        <v/>
      </c>
      <c r="X9" s="19">
        <f t="shared" si="3"/>
        <v>0</v>
      </c>
      <c r="Y9" s="20">
        <f t="shared" si="4"/>
        <v>0</v>
      </c>
      <c r="Z9" s="21">
        <f t="shared" si="5"/>
        <v>0</v>
      </c>
      <c r="AA9" s="22">
        <f t="shared" si="6"/>
        <v>0</v>
      </c>
      <c r="AB9" s="23">
        <f>IFERROR(W9*DASHBOARD!$C$2,0)</f>
        <v>0</v>
      </c>
      <c r="AC9" s="24"/>
      <c r="AD9" s="7"/>
      <c r="AE9" s="25">
        <f>IFERROR(N9+IFERROR(SUMIFS(PROGRAMA_DETALLE!$M$4:$M$503,PROGRAMA_DETALLE!$A$4:$A$503,A9),0)+IFERROR(SUMIFS(PROGRAMA_DETALLE!$Z$4:$Z$503,PROGRAMA_DETALLE!$A$4:$A$503,A9),0)+AB9,0)</f>
        <v>0</v>
      </c>
      <c r="AF9" s="25">
        <f t="shared" si="7"/>
        <v>0</v>
      </c>
      <c r="AG9" s="26">
        <f t="shared" si="8"/>
        <v>0</v>
      </c>
    </row>
    <row r="10">
      <c r="A10" s="6"/>
      <c r="B10" s="7"/>
      <c r="C10" s="6"/>
      <c r="D10" s="8"/>
      <c r="E10" s="9"/>
      <c r="F10" s="10"/>
      <c r="G10" s="8"/>
      <c r="H10" s="8"/>
      <c r="I10" s="8"/>
      <c r="J10" s="6"/>
      <c r="K10" s="11">
        <f>IFERROR(SUMIFS(PROGRAMA_DETALLE!$E$4:$E$503,PROGRAMA_DETALLE!$A$4:$A$503,A10),0)</f>
        <v>0</v>
      </c>
      <c r="L10" s="12">
        <f>IFERROR(SUMIFS(PROGRAMA_DETALLE!$F$4:$F$503,PROGRAMA_DETALLE!$A$4:$A$503,A10),0)</f>
        <v>0</v>
      </c>
      <c r="M10" s="13" t="str">
        <f>IF(A10="","",IFERROR(SUMIFS(COMPRAS_HILO!$D$4:$D$203,COMPRAS_HILO!$B$4:$B$203,A10),0))</f>
        <v/>
      </c>
      <c r="N10" s="14" t="str">
        <f>IF(A10="","",IFERROR(SUMIFS(COMPRAS_HILO!$H$4:$H$203,COMPRAS_HILO!$B$4:$B$203,A10),0))</f>
        <v/>
      </c>
      <c r="O10" s="15" t="str">
        <f>IFERROR(IF(SUMPRODUCT((COMPRAS_HILO!$B$4:$B$203=A10)*1)=0,"",LOOKUP(2,1/((COMPRAS_HILO!$B$4:$B$203=A10)*(COMPRAS_HILO!$J$4:$J$203&lt;&gt;"")),COMPRAS_HILO!$J$4:$J$203)),"")</f>
        <v/>
      </c>
      <c r="P10" s="16"/>
      <c r="Q10" s="17" t="str">
        <f>IF(A10="","",IFERROR(SUMIFS(PROGRAMA_DETALLE!$H$4:$H$503,PROGRAMA_DETALLE!$A$4:$A$503,A10),0))</f>
        <v/>
      </c>
      <c r="R10" s="17" t="str">
        <f>IF(A10="","",IFERROR(SUMIFS(PROGRAMA_DETALLE!$I$4:$I$503,PROGRAMA_DETALLE!$A$4:$A$503,A10),0))</f>
        <v/>
      </c>
      <c r="S10" s="10"/>
      <c r="T10" s="17">
        <f t="shared" si="1"/>
        <v>0</v>
      </c>
      <c r="U10" s="18">
        <f t="shared" si="2"/>
        <v>0</v>
      </c>
      <c r="V10" s="19" t="str">
        <f>IF(A10="","",IFERROR(SUMIFS(PROGRAMA_DETALLE!$R$4:$R$503,PROGRAMA_DETALLE!$A$4:$A$503,A10),0))</f>
        <v/>
      </c>
      <c r="W10" s="19" t="str">
        <f>IF(A10="","",IFERROR(SUMIFS(PROGRAMA_DETALLE!$S$4:$S$503,PROGRAMA_DETALLE!$A$4:$A$503,A10),0))</f>
        <v/>
      </c>
      <c r="X10" s="19">
        <f t="shared" si="3"/>
        <v>0</v>
      </c>
      <c r="Y10" s="20">
        <f t="shared" si="4"/>
        <v>0</v>
      </c>
      <c r="Z10" s="21">
        <f t="shared" si="5"/>
        <v>0</v>
      </c>
      <c r="AA10" s="22">
        <f t="shared" si="6"/>
        <v>0</v>
      </c>
      <c r="AB10" s="23">
        <f>IFERROR(W10*DASHBOARD!$C$2,0)</f>
        <v>0</v>
      </c>
      <c r="AC10" s="24"/>
      <c r="AD10" s="7"/>
      <c r="AE10" s="25">
        <f>IFERROR(N10+IFERROR(SUMIFS(PROGRAMA_DETALLE!$M$4:$M$503,PROGRAMA_DETALLE!$A$4:$A$503,A10),0)+IFERROR(SUMIFS(PROGRAMA_DETALLE!$Z$4:$Z$503,PROGRAMA_DETALLE!$A$4:$A$503,A10),0)+AB10,0)</f>
        <v>0</v>
      </c>
      <c r="AF10" s="25">
        <f t="shared" si="7"/>
        <v>0</v>
      </c>
      <c r="AG10" s="26">
        <f t="shared" si="8"/>
        <v>0</v>
      </c>
    </row>
    <row r="11">
      <c r="A11" s="6"/>
      <c r="B11" s="7"/>
      <c r="C11" s="6"/>
      <c r="D11" s="8"/>
      <c r="E11" s="9"/>
      <c r="F11" s="10"/>
      <c r="G11" s="8"/>
      <c r="H11" s="8"/>
      <c r="I11" s="8"/>
      <c r="J11" s="6"/>
      <c r="K11" s="11">
        <f>IFERROR(SUMIFS(PROGRAMA_DETALLE!$E$4:$E$503,PROGRAMA_DETALLE!$A$4:$A$503,A11),0)</f>
        <v>0</v>
      </c>
      <c r="L11" s="12">
        <f>IFERROR(SUMIFS(PROGRAMA_DETALLE!$F$4:$F$503,PROGRAMA_DETALLE!$A$4:$A$503,A11),0)</f>
        <v>0</v>
      </c>
      <c r="M11" s="13" t="str">
        <f>IF(A11="","",IFERROR(SUMIFS(COMPRAS_HILO!$D$4:$D$203,COMPRAS_HILO!$B$4:$B$203,A11),0))</f>
        <v/>
      </c>
      <c r="N11" s="14" t="str">
        <f>IF(A11="","",IFERROR(SUMIFS(COMPRAS_HILO!$H$4:$H$203,COMPRAS_HILO!$B$4:$B$203,A11),0))</f>
        <v/>
      </c>
      <c r="O11" s="15" t="str">
        <f>IFERROR(IF(SUMPRODUCT((COMPRAS_HILO!$B$4:$B$203=A11)*1)=0,"",LOOKUP(2,1/((COMPRAS_HILO!$B$4:$B$203=A11)*(COMPRAS_HILO!$J$4:$J$203&lt;&gt;"")),COMPRAS_HILO!$J$4:$J$203)),"")</f>
        <v/>
      </c>
      <c r="P11" s="16"/>
      <c r="Q11" s="17" t="str">
        <f>IF(A11="","",IFERROR(SUMIFS(PROGRAMA_DETALLE!$H$4:$H$503,PROGRAMA_DETALLE!$A$4:$A$503,A11),0))</f>
        <v/>
      </c>
      <c r="R11" s="17" t="str">
        <f>IF(A11="","",IFERROR(SUMIFS(PROGRAMA_DETALLE!$I$4:$I$503,PROGRAMA_DETALLE!$A$4:$A$503,A11),0))</f>
        <v/>
      </c>
      <c r="S11" s="10"/>
      <c r="T11" s="17">
        <f t="shared" si="1"/>
        <v>0</v>
      </c>
      <c r="U11" s="18">
        <f t="shared" si="2"/>
        <v>0</v>
      </c>
      <c r="V11" s="19" t="str">
        <f>IF(A11="","",IFERROR(SUMIFS(PROGRAMA_DETALLE!$R$4:$R$503,PROGRAMA_DETALLE!$A$4:$A$503,A11),0))</f>
        <v/>
      </c>
      <c r="W11" s="19" t="str">
        <f>IF(A11="","",IFERROR(SUMIFS(PROGRAMA_DETALLE!$S$4:$S$503,PROGRAMA_DETALLE!$A$4:$A$503,A11),0))</f>
        <v/>
      </c>
      <c r="X11" s="19">
        <f t="shared" si="3"/>
        <v>0</v>
      </c>
      <c r="Y11" s="20">
        <f t="shared" si="4"/>
        <v>0</v>
      </c>
      <c r="Z11" s="21">
        <f t="shared" si="5"/>
        <v>0</v>
      </c>
      <c r="AA11" s="22">
        <f t="shared" si="6"/>
        <v>0</v>
      </c>
      <c r="AB11" s="23">
        <f>IFERROR(W11*DASHBOARD!$C$2,0)</f>
        <v>0</v>
      </c>
      <c r="AC11" s="24"/>
      <c r="AD11" s="7"/>
      <c r="AE11" s="25">
        <f>IFERROR(N11+IFERROR(SUMIFS(PROGRAMA_DETALLE!$M$4:$M$503,PROGRAMA_DETALLE!$A$4:$A$503,A11),0)+IFERROR(SUMIFS(PROGRAMA_DETALLE!$Z$4:$Z$503,PROGRAMA_DETALLE!$A$4:$A$503,A11),0)+AB11,0)</f>
        <v>0</v>
      </c>
      <c r="AF11" s="25">
        <f t="shared" si="7"/>
        <v>0</v>
      </c>
      <c r="AG11" s="26">
        <f t="shared" si="8"/>
        <v>0</v>
      </c>
    </row>
    <row r="12">
      <c r="A12" s="6"/>
      <c r="B12" s="7"/>
      <c r="C12" s="6"/>
      <c r="D12" s="8"/>
      <c r="E12" s="9"/>
      <c r="F12" s="10"/>
      <c r="G12" s="8"/>
      <c r="H12" s="8"/>
      <c r="I12" s="8"/>
      <c r="J12" s="6"/>
      <c r="K12" s="11">
        <f>IFERROR(SUMIFS(PROGRAMA_DETALLE!$E$4:$E$503,PROGRAMA_DETALLE!$A$4:$A$503,A12),0)</f>
        <v>0</v>
      </c>
      <c r="L12" s="12">
        <f>IFERROR(SUMIFS(PROGRAMA_DETALLE!$F$4:$F$503,PROGRAMA_DETALLE!$A$4:$A$503,A12),0)</f>
        <v>0</v>
      </c>
      <c r="M12" s="13" t="str">
        <f>IF(A12="","",IFERROR(SUMIFS(COMPRAS_HILO!$D$4:$D$203,COMPRAS_HILO!$B$4:$B$203,A12),0))</f>
        <v/>
      </c>
      <c r="N12" s="14" t="str">
        <f>IF(A12="","",IFERROR(SUMIFS(COMPRAS_HILO!$H$4:$H$203,COMPRAS_HILO!$B$4:$B$203,A12),0))</f>
        <v/>
      </c>
      <c r="O12" s="15" t="str">
        <f>IFERROR(IF(SUMPRODUCT((COMPRAS_HILO!$B$4:$B$203=A12)*1)=0,"",LOOKUP(2,1/((COMPRAS_HILO!$B$4:$B$203=A12)*(COMPRAS_HILO!$J$4:$J$203&lt;&gt;"")),COMPRAS_HILO!$J$4:$J$203)),"")</f>
        <v/>
      </c>
      <c r="P12" s="16"/>
      <c r="Q12" s="17" t="str">
        <f>IF(A12="","",IFERROR(SUMIFS(PROGRAMA_DETALLE!$H$4:$H$503,PROGRAMA_DETALLE!$A$4:$A$503,A12),0))</f>
        <v/>
      </c>
      <c r="R12" s="17" t="str">
        <f>IF(A12="","",IFERROR(SUMIFS(PROGRAMA_DETALLE!$I$4:$I$503,PROGRAMA_DETALLE!$A$4:$A$503,A12),0))</f>
        <v/>
      </c>
      <c r="S12" s="10"/>
      <c r="T12" s="17">
        <f t="shared" si="1"/>
        <v>0</v>
      </c>
      <c r="U12" s="18">
        <f t="shared" si="2"/>
        <v>0</v>
      </c>
      <c r="V12" s="19" t="str">
        <f>IF(A12="","",IFERROR(SUMIFS(PROGRAMA_DETALLE!$R$4:$R$503,PROGRAMA_DETALLE!$A$4:$A$503,A12),0))</f>
        <v/>
      </c>
      <c r="W12" s="19" t="str">
        <f>IF(A12="","",IFERROR(SUMIFS(PROGRAMA_DETALLE!$S$4:$S$503,PROGRAMA_DETALLE!$A$4:$A$503,A12),0))</f>
        <v/>
      </c>
      <c r="X12" s="19">
        <f t="shared" si="3"/>
        <v>0</v>
      </c>
      <c r="Y12" s="20">
        <f t="shared" si="4"/>
        <v>0</v>
      </c>
      <c r="Z12" s="21">
        <f t="shared" si="5"/>
        <v>0</v>
      </c>
      <c r="AA12" s="22">
        <f t="shared" si="6"/>
        <v>0</v>
      </c>
      <c r="AB12" s="23">
        <f>IFERROR(W12*DASHBOARD!$C$2,0)</f>
        <v>0</v>
      </c>
      <c r="AC12" s="24"/>
      <c r="AD12" s="7"/>
      <c r="AE12" s="25">
        <f>IFERROR(N12+IFERROR(SUMIFS(PROGRAMA_DETALLE!$M$4:$M$503,PROGRAMA_DETALLE!$A$4:$A$503,A12),0)+IFERROR(SUMIFS(PROGRAMA_DETALLE!$Z$4:$Z$503,PROGRAMA_DETALLE!$A$4:$A$503,A12),0)+AB12,0)</f>
        <v>0</v>
      </c>
      <c r="AF12" s="25">
        <f t="shared" si="7"/>
        <v>0</v>
      </c>
      <c r="AG12" s="26">
        <f t="shared" si="8"/>
        <v>0</v>
      </c>
    </row>
    <row r="13">
      <c r="A13" s="6"/>
      <c r="B13" s="7"/>
      <c r="C13" s="6"/>
      <c r="D13" s="8"/>
      <c r="E13" s="9"/>
      <c r="F13" s="10"/>
      <c r="G13" s="8"/>
      <c r="H13" s="8"/>
      <c r="I13" s="8"/>
      <c r="J13" s="6"/>
      <c r="K13" s="11">
        <f>IFERROR(SUMIFS(PROGRAMA_DETALLE!$E$4:$E$503,PROGRAMA_DETALLE!$A$4:$A$503,A13),0)</f>
        <v>0</v>
      </c>
      <c r="L13" s="12">
        <f>IFERROR(SUMIFS(PROGRAMA_DETALLE!$F$4:$F$503,PROGRAMA_DETALLE!$A$4:$A$503,A13),0)</f>
        <v>0</v>
      </c>
      <c r="M13" s="13" t="str">
        <f>IF(A13="","",IFERROR(SUMIFS(COMPRAS_HILO!$D$4:$D$203,COMPRAS_HILO!$B$4:$B$203,A13),0))</f>
        <v/>
      </c>
      <c r="N13" s="14" t="str">
        <f>IF(A13="","",IFERROR(SUMIFS(COMPRAS_HILO!$H$4:$H$203,COMPRAS_HILO!$B$4:$B$203,A13),0))</f>
        <v/>
      </c>
      <c r="O13" s="15" t="str">
        <f>IFERROR(IF(SUMPRODUCT((COMPRAS_HILO!$B$4:$B$203=A13)*1)=0,"",LOOKUP(2,1/((COMPRAS_HILO!$B$4:$B$203=A13)*(COMPRAS_HILO!$J$4:$J$203&lt;&gt;"")),COMPRAS_HILO!$J$4:$J$203)),"")</f>
        <v/>
      </c>
      <c r="P13" s="16"/>
      <c r="Q13" s="17" t="str">
        <f>IF(A13="","",IFERROR(SUMIFS(PROGRAMA_DETALLE!$H$4:$H$503,PROGRAMA_DETALLE!$A$4:$A$503,A13),0))</f>
        <v/>
      </c>
      <c r="R13" s="17" t="str">
        <f>IF(A13="","",IFERROR(SUMIFS(PROGRAMA_DETALLE!$I$4:$I$503,PROGRAMA_DETALLE!$A$4:$A$503,A13),0))</f>
        <v/>
      </c>
      <c r="S13" s="10"/>
      <c r="T13" s="17">
        <f t="shared" si="1"/>
        <v>0</v>
      </c>
      <c r="U13" s="18">
        <f t="shared" si="2"/>
        <v>0</v>
      </c>
      <c r="V13" s="19" t="str">
        <f>IF(A13="","",IFERROR(SUMIFS(PROGRAMA_DETALLE!$R$4:$R$503,PROGRAMA_DETALLE!$A$4:$A$503,A13),0))</f>
        <v/>
      </c>
      <c r="W13" s="19" t="str">
        <f>IF(A13="","",IFERROR(SUMIFS(PROGRAMA_DETALLE!$S$4:$S$503,PROGRAMA_DETALLE!$A$4:$A$503,A13),0))</f>
        <v/>
      </c>
      <c r="X13" s="19">
        <f t="shared" si="3"/>
        <v>0</v>
      </c>
      <c r="Y13" s="20">
        <f t="shared" si="4"/>
        <v>0</v>
      </c>
      <c r="Z13" s="21">
        <f t="shared" si="5"/>
        <v>0</v>
      </c>
      <c r="AA13" s="22">
        <f t="shared" si="6"/>
        <v>0</v>
      </c>
      <c r="AB13" s="23">
        <f>IFERROR(W13*DASHBOARD!$C$2,0)</f>
        <v>0</v>
      </c>
      <c r="AC13" s="24"/>
      <c r="AD13" s="7"/>
      <c r="AE13" s="25">
        <f>IFERROR(N13+IFERROR(SUMIFS(PROGRAMA_DETALLE!$M$4:$M$503,PROGRAMA_DETALLE!$A$4:$A$503,A13),0)+IFERROR(SUMIFS(PROGRAMA_DETALLE!$Z$4:$Z$503,PROGRAMA_DETALLE!$A$4:$A$503,A13),0)+AB13,0)</f>
        <v>0</v>
      </c>
      <c r="AF13" s="25">
        <f t="shared" si="7"/>
        <v>0</v>
      </c>
      <c r="AG13" s="26">
        <f t="shared" si="8"/>
        <v>0</v>
      </c>
    </row>
    <row r="14">
      <c r="A14" s="6"/>
      <c r="B14" s="7"/>
      <c r="C14" s="6"/>
      <c r="D14" s="8"/>
      <c r="E14" s="9"/>
      <c r="F14" s="10"/>
      <c r="G14" s="8"/>
      <c r="H14" s="8"/>
      <c r="I14" s="8"/>
      <c r="J14" s="6"/>
      <c r="K14" s="11">
        <f>IFERROR(SUMIFS(PROGRAMA_DETALLE!$E$4:$E$503,PROGRAMA_DETALLE!$A$4:$A$503,A14),0)</f>
        <v>0</v>
      </c>
      <c r="L14" s="12">
        <f>IFERROR(SUMIFS(PROGRAMA_DETALLE!$F$4:$F$503,PROGRAMA_DETALLE!$A$4:$A$503,A14),0)</f>
        <v>0</v>
      </c>
      <c r="M14" s="13" t="str">
        <f>IF(A14="","",IFERROR(SUMIFS(COMPRAS_HILO!$D$4:$D$203,COMPRAS_HILO!$B$4:$B$203,A14),0))</f>
        <v/>
      </c>
      <c r="N14" s="14" t="str">
        <f>IF(A14="","",IFERROR(SUMIFS(COMPRAS_HILO!$H$4:$H$203,COMPRAS_HILO!$B$4:$B$203,A14),0))</f>
        <v/>
      </c>
      <c r="O14" s="15" t="str">
        <f>IFERROR(IF(SUMPRODUCT((COMPRAS_HILO!$B$4:$B$203=A14)*1)=0,"",LOOKUP(2,1/((COMPRAS_HILO!$B$4:$B$203=A14)*(COMPRAS_HILO!$J$4:$J$203&lt;&gt;"")),COMPRAS_HILO!$J$4:$J$203)),"")</f>
        <v/>
      </c>
      <c r="P14" s="16"/>
      <c r="Q14" s="17" t="str">
        <f>IF(A14="","",IFERROR(SUMIFS(PROGRAMA_DETALLE!$H$4:$H$503,PROGRAMA_DETALLE!$A$4:$A$503,A14),0))</f>
        <v/>
      </c>
      <c r="R14" s="17" t="str">
        <f>IF(A14="","",IFERROR(SUMIFS(PROGRAMA_DETALLE!$I$4:$I$503,PROGRAMA_DETALLE!$A$4:$A$503,A14),0))</f>
        <v/>
      </c>
      <c r="S14" s="10"/>
      <c r="T14" s="17">
        <f t="shared" si="1"/>
        <v>0</v>
      </c>
      <c r="U14" s="18">
        <f t="shared" si="2"/>
        <v>0</v>
      </c>
      <c r="V14" s="19" t="str">
        <f>IF(A14="","",IFERROR(SUMIFS(PROGRAMA_DETALLE!$R$4:$R$503,PROGRAMA_DETALLE!$A$4:$A$503,A14),0))</f>
        <v/>
      </c>
      <c r="W14" s="19" t="str">
        <f>IF(A14="","",IFERROR(SUMIFS(PROGRAMA_DETALLE!$S$4:$S$503,PROGRAMA_DETALLE!$A$4:$A$503,A14),0))</f>
        <v/>
      </c>
      <c r="X14" s="19">
        <f t="shared" si="3"/>
        <v>0</v>
      </c>
      <c r="Y14" s="20">
        <f t="shared" si="4"/>
        <v>0</v>
      </c>
      <c r="Z14" s="21">
        <f t="shared" si="5"/>
        <v>0</v>
      </c>
      <c r="AA14" s="22">
        <f t="shared" si="6"/>
        <v>0</v>
      </c>
      <c r="AB14" s="23">
        <f>IFERROR(W14*DASHBOARD!$C$2,0)</f>
        <v>0</v>
      </c>
      <c r="AC14" s="24"/>
      <c r="AD14" s="7"/>
      <c r="AE14" s="25">
        <f>IFERROR(N14+IFERROR(SUMIFS(PROGRAMA_DETALLE!$M$4:$M$503,PROGRAMA_DETALLE!$A$4:$A$503,A14),0)+IFERROR(SUMIFS(PROGRAMA_DETALLE!$Z$4:$Z$503,PROGRAMA_DETALLE!$A$4:$A$503,A14),0)+AB14,0)</f>
        <v>0</v>
      </c>
      <c r="AF14" s="25">
        <f t="shared" si="7"/>
        <v>0</v>
      </c>
      <c r="AG14" s="26">
        <f t="shared" si="8"/>
        <v>0</v>
      </c>
    </row>
    <row r="15">
      <c r="A15" s="6"/>
      <c r="B15" s="7"/>
      <c r="C15" s="6"/>
      <c r="D15" s="8"/>
      <c r="E15" s="9"/>
      <c r="F15" s="10"/>
      <c r="G15" s="8"/>
      <c r="H15" s="8"/>
      <c r="I15" s="8"/>
      <c r="J15" s="6"/>
      <c r="K15" s="11">
        <f>IFERROR(SUMIFS(PROGRAMA_DETALLE!$E$4:$E$503,PROGRAMA_DETALLE!$A$4:$A$503,A15),0)</f>
        <v>0</v>
      </c>
      <c r="L15" s="12">
        <f>IFERROR(SUMIFS(PROGRAMA_DETALLE!$F$4:$F$503,PROGRAMA_DETALLE!$A$4:$A$503,A15),0)</f>
        <v>0</v>
      </c>
      <c r="M15" s="13" t="str">
        <f>IF(A15="","",IFERROR(SUMIFS(COMPRAS_HILO!$D$4:$D$203,COMPRAS_HILO!$B$4:$B$203,A15),0))</f>
        <v/>
      </c>
      <c r="N15" s="14" t="str">
        <f>IF(A15="","",IFERROR(SUMIFS(COMPRAS_HILO!$H$4:$H$203,COMPRAS_HILO!$B$4:$B$203,A15),0))</f>
        <v/>
      </c>
      <c r="O15" s="15" t="str">
        <f>IFERROR(IF(SUMPRODUCT((COMPRAS_HILO!$B$4:$B$203=A15)*1)=0,"",LOOKUP(2,1/((COMPRAS_HILO!$B$4:$B$203=A15)*(COMPRAS_HILO!$J$4:$J$203&lt;&gt;"")),COMPRAS_HILO!$J$4:$J$203)),"")</f>
        <v/>
      </c>
      <c r="P15" s="16"/>
      <c r="Q15" s="17" t="str">
        <f>IF(A15="","",IFERROR(SUMIFS(PROGRAMA_DETALLE!$H$4:$H$503,PROGRAMA_DETALLE!$A$4:$A$503,A15),0))</f>
        <v/>
      </c>
      <c r="R15" s="17" t="str">
        <f>IF(A15="","",IFERROR(SUMIFS(PROGRAMA_DETALLE!$I$4:$I$503,PROGRAMA_DETALLE!$A$4:$A$503,A15),0))</f>
        <v/>
      </c>
      <c r="S15" s="10"/>
      <c r="T15" s="17">
        <f t="shared" si="1"/>
        <v>0</v>
      </c>
      <c r="U15" s="18">
        <f t="shared" si="2"/>
        <v>0</v>
      </c>
      <c r="V15" s="19" t="str">
        <f>IF(A15="","",IFERROR(SUMIFS(PROGRAMA_DETALLE!$R$4:$R$503,PROGRAMA_DETALLE!$A$4:$A$503,A15),0))</f>
        <v/>
      </c>
      <c r="W15" s="19" t="str">
        <f>IF(A15="","",IFERROR(SUMIFS(PROGRAMA_DETALLE!$S$4:$S$503,PROGRAMA_DETALLE!$A$4:$A$503,A15),0))</f>
        <v/>
      </c>
      <c r="X15" s="19">
        <f t="shared" si="3"/>
        <v>0</v>
      </c>
      <c r="Y15" s="20">
        <f t="shared" si="4"/>
        <v>0</v>
      </c>
      <c r="Z15" s="21">
        <f t="shared" si="5"/>
        <v>0</v>
      </c>
      <c r="AA15" s="22">
        <f t="shared" si="6"/>
        <v>0</v>
      </c>
      <c r="AB15" s="23">
        <f>IFERROR(W15*DASHBOARD!$C$2,0)</f>
        <v>0</v>
      </c>
      <c r="AC15" s="24"/>
      <c r="AD15" s="7"/>
      <c r="AE15" s="25">
        <f>IFERROR(N15+IFERROR(SUMIFS(PROGRAMA_DETALLE!$M$4:$M$503,PROGRAMA_DETALLE!$A$4:$A$503,A15),0)+IFERROR(SUMIFS(PROGRAMA_DETALLE!$Z$4:$Z$503,PROGRAMA_DETALLE!$A$4:$A$503,A15),0)+AB15,0)</f>
        <v>0</v>
      </c>
      <c r="AF15" s="25">
        <f t="shared" si="7"/>
        <v>0</v>
      </c>
      <c r="AG15" s="26">
        <f t="shared" si="8"/>
        <v>0</v>
      </c>
    </row>
    <row r="16">
      <c r="A16" s="6"/>
      <c r="B16" s="7"/>
      <c r="C16" s="6"/>
      <c r="D16" s="8"/>
      <c r="E16" s="9"/>
      <c r="F16" s="10"/>
      <c r="G16" s="8"/>
      <c r="H16" s="8"/>
      <c r="I16" s="8"/>
      <c r="J16" s="6"/>
      <c r="K16" s="11">
        <f>IFERROR(SUMIFS(PROGRAMA_DETALLE!$E$4:$E$503,PROGRAMA_DETALLE!$A$4:$A$503,A16),0)</f>
        <v>0</v>
      </c>
      <c r="L16" s="12">
        <f>IFERROR(SUMIFS(PROGRAMA_DETALLE!$F$4:$F$503,PROGRAMA_DETALLE!$A$4:$A$503,A16),0)</f>
        <v>0</v>
      </c>
      <c r="M16" s="13" t="str">
        <f>IF(A16="","",IFERROR(SUMIFS(COMPRAS_HILO!$D$4:$D$203,COMPRAS_HILO!$B$4:$B$203,A16),0))</f>
        <v/>
      </c>
      <c r="N16" s="14" t="str">
        <f>IF(A16="","",IFERROR(SUMIFS(COMPRAS_HILO!$H$4:$H$203,COMPRAS_HILO!$B$4:$B$203,A16),0))</f>
        <v/>
      </c>
      <c r="O16" s="15" t="str">
        <f>IFERROR(IF(SUMPRODUCT((COMPRAS_HILO!$B$4:$B$203=A16)*1)=0,"",LOOKUP(2,1/((COMPRAS_HILO!$B$4:$B$203=A16)*(COMPRAS_HILO!$J$4:$J$203&lt;&gt;"")),COMPRAS_HILO!$J$4:$J$203)),"")</f>
        <v/>
      </c>
      <c r="P16" s="16"/>
      <c r="Q16" s="17" t="str">
        <f>IF(A16="","",IFERROR(SUMIFS(PROGRAMA_DETALLE!$H$4:$H$503,PROGRAMA_DETALLE!$A$4:$A$503,A16),0))</f>
        <v/>
      </c>
      <c r="R16" s="17" t="str">
        <f>IF(A16="","",IFERROR(SUMIFS(PROGRAMA_DETALLE!$I$4:$I$503,PROGRAMA_DETALLE!$A$4:$A$503,A16),0))</f>
        <v/>
      </c>
      <c r="S16" s="10"/>
      <c r="T16" s="17">
        <f t="shared" si="1"/>
        <v>0</v>
      </c>
      <c r="U16" s="18">
        <f t="shared" si="2"/>
        <v>0</v>
      </c>
      <c r="V16" s="19" t="str">
        <f>IF(A16="","",IFERROR(SUMIFS(PROGRAMA_DETALLE!$R$4:$R$503,PROGRAMA_DETALLE!$A$4:$A$503,A16),0))</f>
        <v/>
      </c>
      <c r="W16" s="19" t="str">
        <f>IF(A16="","",IFERROR(SUMIFS(PROGRAMA_DETALLE!$S$4:$S$503,PROGRAMA_DETALLE!$A$4:$A$503,A16),0))</f>
        <v/>
      </c>
      <c r="X16" s="19">
        <f t="shared" si="3"/>
        <v>0</v>
      </c>
      <c r="Y16" s="20">
        <f t="shared" si="4"/>
        <v>0</v>
      </c>
      <c r="Z16" s="21">
        <f t="shared" si="5"/>
        <v>0</v>
      </c>
      <c r="AA16" s="22">
        <f t="shared" si="6"/>
        <v>0</v>
      </c>
      <c r="AB16" s="23">
        <f>IFERROR(W16*DASHBOARD!$C$2,0)</f>
        <v>0</v>
      </c>
      <c r="AC16" s="24"/>
      <c r="AD16" s="7"/>
      <c r="AE16" s="25">
        <f>IFERROR(N16+IFERROR(SUMIFS(PROGRAMA_DETALLE!$M$4:$M$503,PROGRAMA_DETALLE!$A$4:$A$503,A16),0)+IFERROR(SUMIFS(PROGRAMA_DETALLE!$Z$4:$Z$503,PROGRAMA_DETALLE!$A$4:$A$503,A16),0)+AB16,0)</f>
        <v>0</v>
      </c>
      <c r="AF16" s="25">
        <f t="shared" si="7"/>
        <v>0</v>
      </c>
      <c r="AG16" s="26">
        <f t="shared" si="8"/>
        <v>0</v>
      </c>
    </row>
    <row r="17">
      <c r="A17" s="6"/>
      <c r="B17" s="7"/>
      <c r="C17" s="6"/>
      <c r="D17" s="8"/>
      <c r="E17" s="9"/>
      <c r="F17" s="10"/>
      <c r="G17" s="8"/>
      <c r="H17" s="8"/>
      <c r="I17" s="8"/>
      <c r="J17" s="6"/>
      <c r="K17" s="11">
        <f>IFERROR(SUMIFS(PROGRAMA_DETALLE!$E$4:$E$503,PROGRAMA_DETALLE!$A$4:$A$503,A17),0)</f>
        <v>0</v>
      </c>
      <c r="L17" s="12">
        <f>IFERROR(SUMIFS(PROGRAMA_DETALLE!$F$4:$F$503,PROGRAMA_DETALLE!$A$4:$A$503,A17),0)</f>
        <v>0</v>
      </c>
      <c r="M17" s="13" t="str">
        <f>IF(A17="","",IFERROR(SUMIFS(COMPRAS_HILO!$D$4:$D$203,COMPRAS_HILO!$B$4:$B$203,A17),0))</f>
        <v/>
      </c>
      <c r="N17" s="14" t="str">
        <f>IF(A17="","",IFERROR(SUMIFS(COMPRAS_HILO!$H$4:$H$203,COMPRAS_HILO!$B$4:$B$203,A17),0))</f>
        <v/>
      </c>
      <c r="O17" s="15" t="str">
        <f>IFERROR(IF(SUMPRODUCT((COMPRAS_HILO!$B$4:$B$203=A17)*1)=0,"",LOOKUP(2,1/((COMPRAS_HILO!$B$4:$B$203=A17)*(COMPRAS_HILO!$J$4:$J$203&lt;&gt;"")),COMPRAS_HILO!$J$4:$J$203)),"")</f>
        <v/>
      </c>
      <c r="P17" s="16"/>
      <c r="Q17" s="17" t="str">
        <f>IF(A17="","",IFERROR(SUMIFS(PROGRAMA_DETALLE!$H$4:$H$503,PROGRAMA_DETALLE!$A$4:$A$503,A17),0))</f>
        <v/>
      </c>
      <c r="R17" s="17" t="str">
        <f>IF(A17="","",IFERROR(SUMIFS(PROGRAMA_DETALLE!$I$4:$I$503,PROGRAMA_DETALLE!$A$4:$A$503,A17),0))</f>
        <v/>
      </c>
      <c r="S17" s="10"/>
      <c r="T17" s="17">
        <f t="shared" si="1"/>
        <v>0</v>
      </c>
      <c r="U17" s="18">
        <f t="shared" si="2"/>
        <v>0</v>
      </c>
      <c r="V17" s="19" t="str">
        <f>IF(A17="","",IFERROR(SUMIFS(PROGRAMA_DETALLE!$R$4:$R$503,PROGRAMA_DETALLE!$A$4:$A$503,A17),0))</f>
        <v/>
      </c>
      <c r="W17" s="19" t="str">
        <f>IF(A17="","",IFERROR(SUMIFS(PROGRAMA_DETALLE!$S$4:$S$503,PROGRAMA_DETALLE!$A$4:$A$503,A17),0))</f>
        <v/>
      </c>
      <c r="X17" s="19">
        <f t="shared" si="3"/>
        <v>0</v>
      </c>
      <c r="Y17" s="20">
        <f t="shared" si="4"/>
        <v>0</v>
      </c>
      <c r="Z17" s="21">
        <f t="shared" si="5"/>
        <v>0</v>
      </c>
      <c r="AA17" s="22">
        <f t="shared" si="6"/>
        <v>0</v>
      </c>
      <c r="AB17" s="23">
        <f>IFERROR(W17*DASHBOARD!$C$2,0)</f>
        <v>0</v>
      </c>
      <c r="AC17" s="24"/>
      <c r="AD17" s="7"/>
      <c r="AE17" s="25">
        <f>IFERROR(N17+IFERROR(SUMIFS(PROGRAMA_DETALLE!$M$4:$M$503,PROGRAMA_DETALLE!$A$4:$A$503,A17),0)+IFERROR(SUMIFS(PROGRAMA_DETALLE!$Z$4:$Z$503,PROGRAMA_DETALLE!$A$4:$A$503,A17),0)+AB17,0)</f>
        <v>0</v>
      </c>
      <c r="AF17" s="25">
        <f t="shared" si="7"/>
        <v>0</v>
      </c>
      <c r="AG17" s="26">
        <f t="shared" si="8"/>
        <v>0</v>
      </c>
    </row>
    <row r="18">
      <c r="A18" s="6"/>
      <c r="B18" s="7"/>
      <c r="C18" s="6"/>
      <c r="D18" s="8"/>
      <c r="E18" s="9"/>
      <c r="F18" s="10"/>
      <c r="G18" s="8"/>
      <c r="H18" s="8"/>
      <c r="I18" s="8"/>
      <c r="J18" s="6"/>
      <c r="K18" s="11">
        <f>IFERROR(SUMIFS(PROGRAMA_DETALLE!$E$4:$E$503,PROGRAMA_DETALLE!$A$4:$A$503,A18),0)</f>
        <v>0</v>
      </c>
      <c r="L18" s="12">
        <f>IFERROR(SUMIFS(PROGRAMA_DETALLE!$F$4:$F$503,PROGRAMA_DETALLE!$A$4:$A$503,A18),0)</f>
        <v>0</v>
      </c>
      <c r="M18" s="13" t="str">
        <f>IF(A18="","",IFERROR(SUMIFS(COMPRAS_HILO!$D$4:$D$203,COMPRAS_HILO!$B$4:$B$203,A18),0))</f>
        <v/>
      </c>
      <c r="N18" s="14" t="str">
        <f>IF(A18="","",IFERROR(SUMIFS(COMPRAS_HILO!$H$4:$H$203,COMPRAS_HILO!$B$4:$B$203,A18),0))</f>
        <v/>
      </c>
      <c r="O18" s="15" t="str">
        <f>IFERROR(IF(SUMPRODUCT((COMPRAS_HILO!$B$4:$B$203=A18)*1)=0,"",LOOKUP(2,1/((COMPRAS_HILO!$B$4:$B$203=A18)*(COMPRAS_HILO!$J$4:$J$203&lt;&gt;"")),COMPRAS_HILO!$J$4:$J$203)),"")</f>
        <v/>
      </c>
      <c r="P18" s="16"/>
      <c r="Q18" s="17" t="str">
        <f>IF(A18="","",IFERROR(SUMIFS(PROGRAMA_DETALLE!$H$4:$H$503,PROGRAMA_DETALLE!$A$4:$A$503,A18),0))</f>
        <v/>
      </c>
      <c r="R18" s="17" t="str">
        <f>IF(A18="","",IFERROR(SUMIFS(PROGRAMA_DETALLE!$I$4:$I$503,PROGRAMA_DETALLE!$A$4:$A$503,A18),0))</f>
        <v/>
      </c>
      <c r="S18" s="10"/>
      <c r="T18" s="17">
        <f t="shared" si="1"/>
        <v>0</v>
      </c>
      <c r="U18" s="18">
        <f t="shared" si="2"/>
        <v>0</v>
      </c>
      <c r="V18" s="19" t="str">
        <f>IF(A18="","",IFERROR(SUMIFS(PROGRAMA_DETALLE!$R$4:$R$503,PROGRAMA_DETALLE!$A$4:$A$503,A18),0))</f>
        <v/>
      </c>
      <c r="W18" s="19" t="str">
        <f>IF(A18="","",IFERROR(SUMIFS(PROGRAMA_DETALLE!$S$4:$S$503,PROGRAMA_DETALLE!$A$4:$A$503,A18),0))</f>
        <v/>
      </c>
      <c r="X18" s="19">
        <f t="shared" si="3"/>
        <v>0</v>
      </c>
      <c r="Y18" s="20">
        <f t="shared" si="4"/>
        <v>0</v>
      </c>
      <c r="Z18" s="21">
        <f t="shared" si="5"/>
        <v>0</v>
      </c>
      <c r="AA18" s="22">
        <f t="shared" si="6"/>
        <v>0</v>
      </c>
      <c r="AB18" s="23">
        <f>IFERROR(W18*DASHBOARD!$C$2,0)</f>
        <v>0</v>
      </c>
      <c r="AC18" s="24"/>
      <c r="AD18" s="7"/>
      <c r="AE18" s="25">
        <f>IFERROR(N18+IFERROR(SUMIFS(PROGRAMA_DETALLE!$M$4:$M$503,PROGRAMA_DETALLE!$A$4:$A$503,A18),0)+IFERROR(SUMIFS(PROGRAMA_DETALLE!$Z$4:$Z$503,PROGRAMA_DETALLE!$A$4:$A$503,A18),0)+AB18,0)</f>
        <v>0</v>
      </c>
      <c r="AF18" s="25">
        <f t="shared" si="7"/>
        <v>0</v>
      </c>
      <c r="AG18" s="26">
        <f t="shared" si="8"/>
        <v>0</v>
      </c>
    </row>
    <row r="19">
      <c r="A19" s="6"/>
      <c r="B19" s="7"/>
      <c r="C19" s="6"/>
      <c r="D19" s="8"/>
      <c r="E19" s="9"/>
      <c r="F19" s="10"/>
      <c r="G19" s="8"/>
      <c r="H19" s="8"/>
      <c r="I19" s="8"/>
      <c r="J19" s="6"/>
      <c r="K19" s="11">
        <f>IFERROR(SUMIFS(PROGRAMA_DETALLE!$E$4:$E$503,PROGRAMA_DETALLE!$A$4:$A$503,A19),0)</f>
        <v>0</v>
      </c>
      <c r="L19" s="12">
        <f>IFERROR(SUMIFS(PROGRAMA_DETALLE!$F$4:$F$503,PROGRAMA_DETALLE!$A$4:$A$503,A19),0)</f>
        <v>0</v>
      </c>
      <c r="M19" s="13" t="str">
        <f>IF(A19="","",IFERROR(SUMIFS(COMPRAS_HILO!$D$4:$D$203,COMPRAS_HILO!$B$4:$B$203,A19),0))</f>
        <v/>
      </c>
      <c r="N19" s="14" t="str">
        <f>IF(A19="","",IFERROR(SUMIFS(COMPRAS_HILO!$H$4:$H$203,COMPRAS_HILO!$B$4:$B$203,A19),0))</f>
        <v/>
      </c>
      <c r="O19" s="15" t="str">
        <f>IFERROR(IF(SUMPRODUCT((COMPRAS_HILO!$B$4:$B$203=A19)*1)=0,"",LOOKUP(2,1/((COMPRAS_HILO!$B$4:$B$203=A19)*(COMPRAS_HILO!$J$4:$J$203&lt;&gt;"")),COMPRAS_HILO!$J$4:$J$203)),"")</f>
        <v/>
      </c>
      <c r="P19" s="16"/>
      <c r="Q19" s="17" t="str">
        <f>IF(A19="","",IFERROR(SUMIFS(PROGRAMA_DETALLE!$H$4:$H$503,PROGRAMA_DETALLE!$A$4:$A$503,A19),0))</f>
        <v/>
      </c>
      <c r="R19" s="17" t="str">
        <f>IF(A19="","",IFERROR(SUMIFS(PROGRAMA_DETALLE!$I$4:$I$503,PROGRAMA_DETALLE!$A$4:$A$503,A19),0))</f>
        <v/>
      </c>
      <c r="S19" s="10"/>
      <c r="T19" s="17">
        <f t="shared" si="1"/>
        <v>0</v>
      </c>
      <c r="U19" s="18">
        <f t="shared" si="2"/>
        <v>0</v>
      </c>
      <c r="V19" s="19" t="str">
        <f>IF(A19="","",IFERROR(SUMIFS(PROGRAMA_DETALLE!$R$4:$R$503,PROGRAMA_DETALLE!$A$4:$A$503,A19),0))</f>
        <v/>
      </c>
      <c r="W19" s="19" t="str">
        <f>IF(A19="","",IFERROR(SUMIFS(PROGRAMA_DETALLE!$S$4:$S$503,PROGRAMA_DETALLE!$A$4:$A$503,A19),0))</f>
        <v/>
      </c>
      <c r="X19" s="19">
        <f t="shared" si="3"/>
        <v>0</v>
      </c>
      <c r="Y19" s="20">
        <f t="shared" si="4"/>
        <v>0</v>
      </c>
      <c r="Z19" s="21">
        <f t="shared" si="5"/>
        <v>0</v>
      </c>
      <c r="AA19" s="22">
        <f t="shared" si="6"/>
        <v>0</v>
      </c>
      <c r="AB19" s="23">
        <f>IFERROR(W19*DASHBOARD!$C$2,0)</f>
        <v>0</v>
      </c>
      <c r="AC19" s="24"/>
      <c r="AD19" s="7"/>
      <c r="AE19" s="25">
        <f>IFERROR(N19+IFERROR(SUMIFS(PROGRAMA_DETALLE!$M$4:$M$503,PROGRAMA_DETALLE!$A$4:$A$503,A19),0)+IFERROR(SUMIFS(PROGRAMA_DETALLE!$Z$4:$Z$503,PROGRAMA_DETALLE!$A$4:$A$503,A19),0)+AB19,0)</f>
        <v>0</v>
      </c>
      <c r="AF19" s="25">
        <f t="shared" si="7"/>
        <v>0</v>
      </c>
      <c r="AG19" s="26">
        <f t="shared" si="8"/>
        <v>0</v>
      </c>
    </row>
    <row r="20">
      <c r="A20" s="6"/>
      <c r="B20" s="7"/>
      <c r="C20" s="6"/>
      <c r="D20" s="8"/>
      <c r="E20" s="9"/>
      <c r="F20" s="10"/>
      <c r="G20" s="8"/>
      <c r="H20" s="8"/>
      <c r="I20" s="8"/>
      <c r="J20" s="6"/>
      <c r="K20" s="11">
        <f>IFERROR(SUMIFS(PROGRAMA_DETALLE!$E$4:$E$503,PROGRAMA_DETALLE!$A$4:$A$503,A20),0)</f>
        <v>0</v>
      </c>
      <c r="L20" s="12">
        <f>IFERROR(SUMIFS(PROGRAMA_DETALLE!$F$4:$F$503,PROGRAMA_DETALLE!$A$4:$A$503,A20),0)</f>
        <v>0</v>
      </c>
      <c r="M20" s="13" t="str">
        <f>IF(A20="","",IFERROR(SUMIFS(COMPRAS_HILO!$D$4:$D$203,COMPRAS_HILO!$B$4:$B$203,A20),0))</f>
        <v/>
      </c>
      <c r="N20" s="14" t="str">
        <f>IF(A20="","",IFERROR(SUMIFS(COMPRAS_HILO!$H$4:$H$203,COMPRAS_HILO!$B$4:$B$203,A20),0))</f>
        <v/>
      </c>
      <c r="O20" s="15" t="str">
        <f>IFERROR(IF(SUMPRODUCT((COMPRAS_HILO!$B$4:$B$203=A20)*1)=0,"",LOOKUP(2,1/((COMPRAS_HILO!$B$4:$B$203=A20)*(COMPRAS_HILO!$J$4:$J$203&lt;&gt;"")),COMPRAS_HILO!$J$4:$J$203)),"")</f>
        <v/>
      </c>
      <c r="P20" s="16"/>
      <c r="Q20" s="17" t="str">
        <f>IF(A20="","",IFERROR(SUMIFS(PROGRAMA_DETALLE!$H$4:$H$503,PROGRAMA_DETALLE!$A$4:$A$503,A20),0))</f>
        <v/>
      </c>
      <c r="R20" s="17" t="str">
        <f>IF(A20="","",IFERROR(SUMIFS(PROGRAMA_DETALLE!$I$4:$I$503,PROGRAMA_DETALLE!$A$4:$A$503,A20),0))</f>
        <v/>
      </c>
      <c r="S20" s="10"/>
      <c r="T20" s="17">
        <f t="shared" si="1"/>
        <v>0</v>
      </c>
      <c r="U20" s="18">
        <f t="shared" si="2"/>
        <v>0</v>
      </c>
      <c r="V20" s="19" t="str">
        <f>IF(A20="","",IFERROR(SUMIFS(PROGRAMA_DETALLE!$R$4:$R$503,PROGRAMA_DETALLE!$A$4:$A$503,A20),0))</f>
        <v/>
      </c>
      <c r="W20" s="19" t="str">
        <f>IF(A20="","",IFERROR(SUMIFS(PROGRAMA_DETALLE!$S$4:$S$503,PROGRAMA_DETALLE!$A$4:$A$503,A20),0))</f>
        <v/>
      </c>
      <c r="X20" s="19">
        <f t="shared" si="3"/>
        <v>0</v>
      </c>
      <c r="Y20" s="20">
        <f t="shared" si="4"/>
        <v>0</v>
      </c>
      <c r="Z20" s="21">
        <f t="shared" si="5"/>
        <v>0</v>
      </c>
      <c r="AA20" s="22">
        <f t="shared" si="6"/>
        <v>0</v>
      </c>
      <c r="AB20" s="23">
        <f>IFERROR(W20*DASHBOARD!$C$2,0)</f>
        <v>0</v>
      </c>
      <c r="AC20" s="24"/>
      <c r="AD20" s="7"/>
      <c r="AE20" s="25">
        <f>IFERROR(N20+IFERROR(SUMIFS(PROGRAMA_DETALLE!$M$4:$M$503,PROGRAMA_DETALLE!$A$4:$A$503,A20),0)+IFERROR(SUMIFS(PROGRAMA_DETALLE!$Z$4:$Z$503,PROGRAMA_DETALLE!$A$4:$A$503,A20),0)+AB20,0)</f>
        <v>0</v>
      </c>
      <c r="AF20" s="25">
        <f t="shared" si="7"/>
        <v>0</v>
      </c>
      <c r="AG20" s="26">
        <f t="shared" si="8"/>
        <v>0</v>
      </c>
    </row>
    <row r="21" ht="15.75" customHeight="1">
      <c r="A21" s="6"/>
      <c r="B21" s="7"/>
      <c r="C21" s="6"/>
      <c r="D21" s="8"/>
      <c r="E21" s="9"/>
      <c r="F21" s="10"/>
      <c r="G21" s="8"/>
      <c r="H21" s="8"/>
      <c r="I21" s="8"/>
      <c r="J21" s="6"/>
      <c r="K21" s="11">
        <f>IFERROR(SUMIFS(PROGRAMA_DETALLE!$E$4:$E$503,PROGRAMA_DETALLE!$A$4:$A$503,A21),0)</f>
        <v>0</v>
      </c>
      <c r="L21" s="12">
        <f>IFERROR(SUMIFS(PROGRAMA_DETALLE!$F$4:$F$503,PROGRAMA_DETALLE!$A$4:$A$503,A21),0)</f>
        <v>0</v>
      </c>
      <c r="M21" s="13" t="str">
        <f>IF(A21="","",IFERROR(SUMIFS(COMPRAS_HILO!$D$4:$D$203,COMPRAS_HILO!$B$4:$B$203,A21),0))</f>
        <v/>
      </c>
      <c r="N21" s="14" t="str">
        <f>IF(A21="","",IFERROR(SUMIFS(COMPRAS_HILO!$H$4:$H$203,COMPRAS_HILO!$B$4:$B$203,A21),0))</f>
        <v/>
      </c>
      <c r="O21" s="15" t="str">
        <f>IFERROR(IF(SUMPRODUCT((COMPRAS_HILO!$B$4:$B$203=A21)*1)=0,"",LOOKUP(2,1/((COMPRAS_HILO!$B$4:$B$203=A21)*(COMPRAS_HILO!$J$4:$J$203&lt;&gt;"")),COMPRAS_HILO!$J$4:$J$203)),"")</f>
        <v/>
      </c>
      <c r="P21" s="16"/>
      <c r="Q21" s="17" t="str">
        <f>IF(A21="","",IFERROR(SUMIFS(PROGRAMA_DETALLE!$H$4:$H$503,PROGRAMA_DETALLE!$A$4:$A$503,A21),0))</f>
        <v/>
      </c>
      <c r="R21" s="17" t="str">
        <f>IF(A21="","",IFERROR(SUMIFS(PROGRAMA_DETALLE!$I$4:$I$503,PROGRAMA_DETALLE!$A$4:$A$503,A21),0))</f>
        <v/>
      </c>
      <c r="S21" s="10"/>
      <c r="T21" s="17">
        <f t="shared" si="1"/>
        <v>0</v>
      </c>
      <c r="U21" s="18">
        <f t="shared" si="2"/>
        <v>0</v>
      </c>
      <c r="V21" s="19" t="str">
        <f>IF(A21="","",IFERROR(SUMIFS(PROGRAMA_DETALLE!$R$4:$R$503,PROGRAMA_DETALLE!$A$4:$A$503,A21),0))</f>
        <v/>
      </c>
      <c r="W21" s="19" t="str">
        <f>IF(A21="","",IFERROR(SUMIFS(PROGRAMA_DETALLE!$S$4:$S$503,PROGRAMA_DETALLE!$A$4:$A$503,A21),0))</f>
        <v/>
      </c>
      <c r="X21" s="19">
        <f t="shared" si="3"/>
        <v>0</v>
      </c>
      <c r="Y21" s="20">
        <f t="shared" si="4"/>
        <v>0</v>
      </c>
      <c r="Z21" s="21">
        <f t="shared" si="5"/>
        <v>0</v>
      </c>
      <c r="AA21" s="22">
        <f t="shared" si="6"/>
        <v>0</v>
      </c>
      <c r="AB21" s="23">
        <f>IFERROR(W21*DASHBOARD!$C$2,0)</f>
        <v>0</v>
      </c>
      <c r="AC21" s="24"/>
      <c r="AD21" s="7"/>
      <c r="AE21" s="25">
        <f>IFERROR(N21+IFERROR(SUMIFS(PROGRAMA_DETALLE!$M$4:$M$503,PROGRAMA_DETALLE!$A$4:$A$503,A21),0)+IFERROR(SUMIFS(PROGRAMA_DETALLE!$Z$4:$Z$503,PROGRAMA_DETALLE!$A$4:$A$503,A21),0)+AB21,0)</f>
        <v>0</v>
      </c>
      <c r="AF21" s="25">
        <f t="shared" si="7"/>
        <v>0</v>
      </c>
      <c r="AG21" s="26">
        <f t="shared" si="8"/>
        <v>0</v>
      </c>
    </row>
    <row r="22" ht="15.75" customHeight="1">
      <c r="A22" s="6"/>
      <c r="B22" s="7"/>
      <c r="C22" s="6"/>
      <c r="D22" s="8"/>
      <c r="E22" s="9"/>
      <c r="F22" s="10"/>
      <c r="G22" s="8"/>
      <c r="H22" s="8"/>
      <c r="I22" s="8"/>
      <c r="J22" s="6"/>
      <c r="K22" s="11">
        <f>IFERROR(SUMIFS(PROGRAMA_DETALLE!$E$4:$E$503,PROGRAMA_DETALLE!$A$4:$A$503,A22),0)</f>
        <v>0</v>
      </c>
      <c r="L22" s="12">
        <f>IFERROR(SUMIFS(PROGRAMA_DETALLE!$F$4:$F$503,PROGRAMA_DETALLE!$A$4:$A$503,A22),0)</f>
        <v>0</v>
      </c>
      <c r="M22" s="13" t="str">
        <f>IF(A22="","",IFERROR(SUMIFS(COMPRAS_HILO!$D$4:$D$203,COMPRAS_HILO!$B$4:$B$203,A22),0))</f>
        <v/>
      </c>
      <c r="N22" s="14" t="str">
        <f>IF(A22="","",IFERROR(SUMIFS(COMPRAS_HILO!$H$4:$H$203,COMPRAS_HILO!$B$4:$B$203,A22),0))</f>
        <v/>
      </c>
      <c r="O22" s="15" t="str">
        <f>IFERROR(IF(SUMPRODUCT((COMPRAS_HILO!$B$4:$B$203=A22)*1)=0,"",LOOKUP(2,1/((COMPRAS_HILO!$B$4:$B$203=A22)*(COMPRAS_HILO!$J$4:$J$203&lt;&gt;"")),COMPRAS_HILO!$J$4:$J$203)),"")</f>
        <v/>
      </c>
      <c r="P22" s="16"/>
      <c r="Q22" s="17" t="str">
        <f>IF(A22="","",IFERROR(SUMIFS(PROGRAMA_DETALLE!$H$4:$H$503,PROGRAMA_DETALLE!$A$4:$A$503,A22),0))</f>
        <v/>
      </c>
      <c r="R22" s="17" t="str">
        <f>IF(A22="","",IFERROR(SUMIFS(PROGRAMA_DETALLE!$I$4:$I$503,PROGRAMA_DETALLE!$A$4:$A$503,A22),0))</f>
        <v/>
      </c>
      <c r="S22" s="10"/>
      <c r="T22" s="17">
        <f t="shared" si="1"/>
        <v>0</v>
      </c>
      <c r="U22" s="18">
        <f t="shared" si="2"/>
        <v>0</v>
      </c>
      <c r="V22" s="19" t="str">
        <f>IF(A22="","",IFERROR(SUMIFS(PROGRAMA_DETALLE!$R$4:$R$503,PROGRAMA_DETALLE!$A$4:$A$503,A22),0))</f>
        <v/>
      </c>
      <c r="W22" s="19" t="str">
        <f>IF(A22="","",IFERROR(SUMIFS(PROGRAMA_DETALLE!$S$4:$S$503,PROGRAMA_DETALLE!$A$4:$A$503,A22),0))</f>
        <v/>
      </c>
      <c r="X22" s="19">
        <f t="shared" si="3"/>
        <v>0</v>
      </c>
      <c r="Y22" s="20">
        <f t="shared" si="4"/>
        <v>0</v>
      </c>
      <c r="Z22" s="21">
        <f t="shared" si="5"/>
        <v>0</v>
      </c>
      <c r="AA22" s="22">
        <f t="shared" si="6"/>
        <v>0</v>
      </c>
      <c r="AB22" s="23">
        <f>IFERROR(W22*DASHBOARD!$C$2,0)</f>
        <v>0</v>
      </c>
      <c r="AC22" s="24"/>
      <c r="AD22" s="7"/>
      <c r="AE22" s="25">
        <f>IFERROR(N22+IFERROR(SUMIFS(PROGRAMA_DETALLE!$M$4:$M$503,PROGRAMA_DETALLE!$A$4:$A$503,A22),0)+IFERROR(SUMIFS(PROGRAMA_DETALLE!$Z$4:$Z$503,PROGRAMA_DETALLE!$A$4:$A$503,A22),0)+AB22,0)</f>
        <v>0</v>
      </c>
      <c r="AF22" s="25">
        <f t="shared" si="7"/>
        <v>0</v>
      </c>
      <c r="AG22" s="26">
        <f t="shared" si="8"/>
        <v>0</v>
      </c>
    </row>
    <row r="23" ht="15.75" customHeight="1">
      <c r="A23" s="6"/>
      <c r="B23" s="7"/>
      <c r="C23" s="6"/>
      <c r="D23" s="8"/>
      <c r="E23" s="9"/>
      <c r="F23" s="10"/>
      <c r="G23" s="8"/>
      <c r="H23" s="8"/>
      <c r="I23" s="8"/>
      <c r="J23" s="6"/>
      <c r="K23" s="11">
        <f>IFERROR(SUMIFS(PROGRAMA_DETALLE!$E$4:$E$503,PROGRAMA_DETALLE!$A$4:$A$503,A23),0)</f>
        <v>0</v>
      </c>
      <c r="L23" s="12">
        <f>IFERROR(SUMIFS(PROGRAMA_DETALLE!$F$4:$F$503,PROGRAMA_DETALLE!$A$4:$A$503,A23),0)</f>
        <v>0</v>
      </c>
      <c r="M23" s="13" t="str">
        <f>IF(A23="","",IFERROR(SUMIFS(COMPRAS_HILO!$D$4:$D$203,COMPRAS_HILO!$B$4:$B$203,A23),0))</f>
        <v/>
      </c>
      <c r="N23" s="14" t="str">
        <f>IF(A23="","",IFERROR(SUMIFS(COMPRAS_HILO!$H$4:$H$203,COMPRAS_HILO!$B$4:$B$203,A23),0))</f>
        <v/>
      </c>
      <c r="O23" s="15" t="str">
        <f>IFERROR(IF(SUMPRODUCT((COMPRAS_HILO!$B$4:$B$203=A23)*1)=0,"",LOOKUP(2,1/((COMPRAS_HILO!$B$4:$B$203=A23)*(COMPRAS_HILO!$J$4:$J$203&lt;&gt;"")),COMPRAS_HILO!$J$4:$J$203)),"")</f>
        <v/>
      </c>
      <c r="P23" s="16"/>
      <c r="Q23" s="17" t="str">
        <f>IF(A23="","",IFERROR(SUMIFS(PROGRAMA_DETALLE!$H$4:$H$503,PROGRAMA_DETALLE!$A$4:$A$503,A23),0))</f>
        <v/>
      </c>
      <c r="R23" s="17" t="str">
        <f>IF(A23="","",IFERROR(SUMIFS(PROGRAMA_DETALLE!$I$4:$I$503,PROGRAMA_DETALLE!$A$4:$A$503,A23),0))</f>
        <v/>
      </c>
      <c r="S23" s="10"/>
      <c r="T23" s="17">
        <f t="shared" si="1"/>
        <v>0</v>
      </c>
      <c r="U23" s="18">
        <f t="shared" si="2"/>
        <v>0</v>
      </c>
      <c r="V23" s="19" t="str">
        <f>IF(A23="","",IFERROR(SUMIFS(PROGRAMA_DETALLE!$R$4:$R$503,PROGRAMA_DETALLE!$A$4:$A$503,A23),0))</f>
        <v/>
      </c>
      <c r="W23" s="19" t="str">
        <f>IF(A23="","",IFERROR(SUMIFS(PROGRAMA_DETALLE!$S$4:$S$503,PROGRAMA_DETALLE!$A$4:$A$503,A23),0))</f>
        <v/>
      </c>
      <c r="X23" s="19">
        <f t="shared" si="3"/>
        <v>0</v>
      </c>
      <c r="Y23" s="20">
        <f t="shared" si="4"/>
        <v>0</v>
      </c>
      <c r="Z23" s="21">
        <f t="shared" si="5"/>
        <v>0</v>
      </c>
      <c r="AA23" s="22">
        <f t="shared" si="6"/>
        <v>0</v>
      </c>
      <c r="AB23" s="23">
        <f>IFERROR(W23*DASHBOARD!$C$2,0)</f>
        <v>0</v>
      </c>
      <c r="AC23" s="24"/>
      <c r="AD23" s="7"/>
      <c r="AE23" s="25">
        <f>IFERROR(N23+IFERROR(SUMIFS(PROGRAMA_DETALLE!$M$4:$M$503,PROGRAMA_DETALLE!$A$4:$A$503,A23),0)+IFERROR(SUMIFS(PROGRAMA_DETALLE!$Z$4:$Z$503,PROGRAMA_DETALLE!$A$4:$A$503,A23),0)+AB23,0)</f>
        <v>0</v>
      </c>
      <c r="AF23" s="25">
        <f t="shared" si="7"/>
        <v>0</v>
      </c>
      <c r="AG23" s="26">
        <f t="shared" si="8"/>
        <v>0</v>
      </c>
    </row>
    <row r="24" ht="15.75" customHeight="1">
      <c r="A24" s="6"/>
      <c r="B24" s="7"/>
      <c r="C24" s="6"/>
      <c r="D24" s="8"/>
      <c r="E24" s="9"/>
      <c r="F24" s="10"/>
      <c r="G24" s="8"/>
      <c r="H24" s="8"/>
      <c r="I24" s="8"/>
      <c r="J24" s="6"/>
      <c r="K24" s="11">
        <f>IFERROR(SUMIFS(PROGRAMA_DETALLE!$E$4:$E$503,PROGRAMA_DETALLE!$A$4:$A$503,A24),0)</f>
        <v>0</v>
      </c>
      <c r="L24" s="12">
        <f>IFERROR(SUMIFS(PROGRAMA_DETALLE!$F$4:$F$503,PROGRAMA_DETALLE!$A$4:$A$503,A24),0)</f>
        <v>0</v>
      </c>
      <c r="M24" s="13" t="str">
        <f>IF(A24="","",IFERROR(SUMIFS(COMPRAS_HILO!$D$4:$D$203,COMPRAS_HILO!$B$4:$B$203,A24),0))</f>
        <v/>
      </c>
      <c r="N24" s="14" t="str">
        <f>IF(A24="","",IFERROR(SUMIFS(COMPRAS_HILO!$H$4:$H$203,COMPRAS_HILO!$B$4:$B$203,A24),0))</f>
        <v/>
      </c>
      <c r="O24" s="15" t="str">
        <f>IFERROR(IF(SUMPRODUCT((COMPRAS_HILO!$B$4:$B$203=A24)*1)=0,"",LOOKUP(2,1/((COMPRAS_HILO!$B$4:$B$203=A24)*(COMPRAS_HILO!$J$4:$J$203&lt;&gt;"")),COMPRAS_HILO!$J$4:$J$203)),"")</f>
        <v/>
      </c>
      <c r="P24" s="16"/>
      <c r="Q24" s="17" t="str">
        <f>IF(A24="","",IFERROR(SUMIFS(PROGRAMA_DETALLE!$H$4:$H$503,PROGRAMA_DETALLE!$A$4:$A$503,A24),0))</f>
        <v/>
      </c>
      <c r="R24" s="17" t="str">
        <f>IF(A24="","",IFERROR(SUMIFS(PROGRAMA_DETALLE!$I$4:$I$503,PROGRAMA_DETALLE!$A$4:$A$503,A24),0))</f>
        <v/>
      </c>
      <c r="S24" s="10"/>
      <c r="T24" s="17">
        <f t="shared" si="1"/>
        <v>0</v>
      </c>
      <c r="U24" s="18">
        <f t="shared" si="2"/>
        <v>0</v>
      </c>
      <c r="V24" s="19" t="str">
        <f>IF(A24="","",IFERROR(SUMIFS(PROGRAMA_DETALLE!$R$4:$R$503,PROGRAMA_DETALLE!$A$4:$A$503,A24),0))</f>
        <v/>
      </c>
      <c r="W24" s="19" t="str">
        <f>IF(A24="","",IFERROR(SUMIFS(PROGRAMA_DETALLE!$S$4:$S$503,PROGRAMA_DETALLE!$A$4:$A$503,A24),0))</f>
        <v/>
      </c>
      <c r="X24" s="19">
        <f t="shared" si="3"/>
        <v>0</v>
      </c>
      <c r="Y24" s="20">
        <f t="shared" si="4"/>
        <v>0</v>
      </c>
      <c r="Z24" s="21">
        <f t="shared" si="5"/>
        <v>0</v>
      </c>
      <c r="AA24" s="22">
        <f t="shared" si="6"/>
        <v>0</v>
      </c>
      <c r="AB24" s="23">
        <f>IFERROR(W24*DASHBOARD!$C$2,0)</f>
        <v>0</v>
      </c>
      <c r="AC24" s="24"/>
      <c r="AD24" s="7"/>
      <c r="AE24" s="25">
        <f>IFERROR(N24+IFERROR(SUMIFS(PROGRAMA_DETALLE!$M$4:$M$503,PROGRAMA_DETALLE!$A$4:$A$503,A24),0)+IFERROR(SUMIFS(PROGRAMA_DETALLE!$Z$4:$Z$503,PROGRAMA_DETALLE!$A$4:$A$503,A24),0)+AB24,0)</f>
        <v>0</v>
      </c>
      <c r="AF24" s="25">
        <f t="shared" si="7"/>
        <v>0</v>
      </c>
      <c r="AG24" s="26">
        <f t="shared" si="8"/>
        <v>0</v>
      </c>
    </row>
    <row r="25" ht="15.75" customHeight="1">
      <c r="A25" s="6"/>
      <c r="B25" s="7"/>
      <c r="C25" s="6"/>
      <c r="D25" s="8"/>
      <c r="E25" s="9"/>
      <c r="F25" s="10"/>
      <c r="G25" s="8"/>
      <c r="H25" s="8"/>
      <c r="I25" s="8"/>
      <c r="J25" s="6"/>
      <c r="K25" s="11">
        <f>IFERROR(SUMIFS(PROGRAMA_DETALLE!$E$4:$E$503,PROGRAMA_DETALLE!$A$4:$A$503,A25),0)</f>
        <v>0</v>
      </c>
      <c r="L25" s="12">
        <f>IFERROR(SUMIFS(PROGRAMA_DETALLE!$F$4:$F$503,PROGRAMA_DETALLE!$A$4:$A$503,A25),0)</f>
        <v>0</v>
      </c>
      <c r="M25" s="13" t="str">
        <f>IF(A25="","",IFERROR(SUMIFS(COMPRAS_HILO!$D$4:$D$203,COMPRAS_HILO!$B$4:$B$203,A25),0))</f>
        <v/>
      </c>
      <c r="N25" s="14" t="str">
        <f>IF(A25="","",IFERROR(SUMIFS(COMPRAS_HILO!$H$4:$H$203,COMPRAS_HILO!$B$4:$B$203,A25),0))</f>
        <v/>
      </c>
      <c r="O25" s="15" t="str">
        <f>IFERROR(IF(SUMPRODUCT((COMPRAS_HILO!$B$4:$B$203=A25)*1)=0,"",LOOKUP(2,1/((COMPRAS_HILO!$B$4:$B$203=A25)*(COMPRAS_HILO!$J$4:$J$203&lt;&gt;"")),COMPRAS_HILO!$J$4:$J$203)),"")</f>
        <v/>
      </c>
      <c r="P25" s="16"/>
      <c r="Q25" s="17" t="str">
        <f>IF(A25="","",IFERROR(SUMIFS(PROGRAMA_DETALLE!$H$4:$H$503,PROGRAMA_DETALLE!$A$4:$A$503,A25),0))</f>
        <v/>
      </c>
      <c r="R25" s="17" t="str">
        <f>IF(A25="","",IFERROR(SUMIFS(PROGRAMA_DETALLE!$I$4:$I$503,PROGRAMA_DETALLE!$A$4:$A$503,A25),0))</f>
        <v/>
      </c>
      <c r="S25" s="10"/>
      <c r="T25" s="17">
        <f t="shared" si="1"/>
        <v>0</v>
      </c>
      <c r="U25" s="18">
        <f t="shared" si="2"/>
        <v>0</v>
      </c>
      <c r="V25" s="19" t="str">
        <f>IF(A25="","",IFERROR(SUMIFS(PROGRAMA_DETALLE!$R$4:$R$503,PROGRAMA_DETALLE!$A$4:$A$503,A25),0))</f>
        <v/>
      </c>
      <c r="W25" s="19" t="str">
        <f>IF(A25="","",IFERROR(SUMIFS(PROGRAMA_DETALLE!$S$4:$S$503,PROGRAMA_DETALLE!$A$4:$A$503,A25),0))</f>
        <v/>
      </c>
      <c r="X25" s="19">
        <f t="shared" si="3"/>
        <v>0</v>
      </c>
      <c r="Y25" s="20">
        <f t="shared" si="4"/>
        <v>0</v>
      </c>
      <c r="Z25" s="21">
        <f t="shared" si="5"/>
        <v>0</v>
      </c>
      <c r="AA25" s="22">
        <f t="shared" si="6"/>
        <v>0</v>
      </c>
      <c r="AB25" s="23">
        <f>IFERROR(W25*DASHBOARD!$C$2,0)</f>
        <v>0</v>
      </c>
      <c r="AC25" s="24"/>
      <c r="AD25" s="7"/>
      <c r="AE25" s="25">
        <f>IFERROR(N25+IFERROR(SUMIFS(PROGRAMA_DETALLE!$M$4:$M$503,PROGRAMA_DETALLE!$A$4:$A$503,A25),0)+IFERROR(SUMIFS(PROGRAMA_DETALLE!$Z$4:$Z$503,PROGRAMA_DETALLE!$A$4:$A$503,A25),0)+AB25,0)</f>
        <v>0</v>
      </c>
      <c r="AF25" s="25">
        <f t="shared" si="7"/>
        <v>0</v>
      </c>
      <c r="AG25" s="26">
        <f t="shared" si="8"/>
        <v>0</v>
      </c>
    </row>
    <row r="26" ht="15.75" customHeight="1">
      <c r="A26" s="6"/>
      <c r="B26" s="7"/>
      <c r="C26" s="6"/>
      <c r="D26" s="8"/>
      <c r="E26" s="9"/>
      <c r="F26" s="10"/>
      <c r="G26" s="8"/>
      <c r="H26" s="8"/>
      <c r="I26" s="8"/>
      <c r="J26" s="6"/>
      <c r="K26" s="11">
        <f>IFERROR(SUMIFS(PROGRAMA_DETALLE!$E$4:$E$503,PROGRAMA_DETALLE!$A$4:$A$503,A26),0)</f>
        <v>0</v>
      </c>
      <c r="L26" s="12">
        <f>IFERROR(SUMIFS(PROGRAMA_DETALLE!$F$4:$F$503,PROGRAMA_DETALLE!$A$4:$A$503,A26),0)</f>
        <v>0</v>
      </c>
      <c r="M26" s="13" t="str">
        <f>IF(A26="","",IFERROR(SUMIFS(COMPRAS_HILO!$D$4:$D$203,COMPRAS_HILO!$B$4:$B$203,A26),0))</f>
        <v/>
      </c>
      <c r="N26" s="14" t="str">
        <f>IF(A26="","",IFERROR(SUMIFS(COMPRAS_HILO!$H$4:$H$203,COMPRAS_HILO!$B$4:$B$203,A26),0))</f>
        <v/>
      </c>
      <c r="O26" s="15" t="str">
        <f>IFERROR(IF(SUMPRODUCT((COMPRAS_HILO!$B$4:$B$203=A26)*1)=0,"",LOOKUP(2,1/((COMPRAS_HILO!$B$4:$B$203=A26)*(COMPRAS_HILO!$J$4:$J$203&lt;&gt;"")),COMPRAS_HILO!$J$4:$J$203)),"")</f>
        <v/>
      </c>
      <c r="P26" s="16"/>
      <c r="Q26" s="17" t="str">
        <f>IF(A26="","",IFERROR(SUMIFS(PROGRAMA_DETALLE!$H$4:$H$503,PROGRAMA_DETALLE!$A$4:$A$503,A26),0))</f>
        <v/>
      </c>
      <c r="R26" s="17" t="str">
        <f>IF(A26="","",IFERROR(SUMIFS(PROGRAMA_DETALLE!$I$4:$I$503,PROGRAMA_DETALLE!$A$4:$A$503,A26),0))</f>
        <v/>
      </c>
      <c r="S26" s="10"/>
      <c r="T26" s="17">
        <f t="shared" si="1"/>
        <v>0</v>
      </c>
      <c r="U26" s="18">
        <f t="shared" si="2"/>
        <v>0</v>
      </c>
      <c r="V26" s="19" t="str">
        <f>IF(A26="","",IFERROR(SUMIFS(PROGRAMA_DETALLE!$R$4:$R$503,PROGRAMA_DETALLE!$A$4:$A$503,A26),0))</f>
        <v/>
      </c>
      <c r="W26" s="19" t="str">
        <f>IF(A26="","",IFERROR(SUMIFS(PROGRAMA_DETALLE!$S$4:$S$503,PROGRAMA_DETALLE!$A$4:$A$503,A26),0))</f>
        <v/>
      </c>
      <c r="X26" s="19">
        <f t="shared" si="3"/>
        <v>0</v>
      </c>
      <c r="Y26" s="20">
        <f t="shared" si="4"/>
        <v>0</v>
      </c>
      <c r="Z26" s="21">
        <f t="shared" si="5"/>
        <v>0</v>
      </c>
      <c r="AA26" s="22">
        <f t="shared" si="6"/>
        <v>0</v>
      </c>
      <c r="AB26" s="23">
        <f>IFERROR(W26*DASHBOARD!$C$2,0)</f>
        <v>0</v>
      </c>
      <c r="AC26" s="24"/>
      <c r="AD26" s="7"/>
      <c r="AE26" s="25">
        <f>IFERROR(N26+IFERROR(SUMIFS(PROGRAMA_DETALLE!$M$4:$M$503,PROGRAMA_DETALLE!$A$4:$A$503,A26),0)+IFERROR(SUMIFS(PROGRAMA_DETALLE!$Z$4:$Z$503,PROGRAMA_DETALLE!$A$4:$A$503,A26),0)+AB26,0)</f>
        <v>0</v>
      </c>
      <c r="AF26" s="25">
        <f t="shared" si="7"/>
        <v>0</v>
      </c>
      <c r="AG26" s="26">
        <f t="shared" si="8"/>
        <v>0</v>
      </c>
    </row>
    <row r="27" ht="15.75" customHeight="1">
      <c r="A27" s="6"/>
      <c r="B27" s="7"/>
      <c r="C27" s="6"/>
      <c r="D27" s="8"/>
      <c r="E27" s="9"/>
      <c r="F27" s="10"/>
      <c r="G27" s="8"/>
      <c r="H27" s="8"/>
      <c r="I27" s="8"/>
      <c r="J27" s="6"/>
      <c r="K27" s="11">
        <f>IFERROR(SUMIFS(PROGRAMA_DETALLE!$E$4:$E$503,PROGRAMA_DETALLE!$A$4:$A$503,A27),0)</f>
        <v>0</v>
      </c>
      <c r="L27" s="12">
        <f>IFERROR(SUMIFS(PROGRAMA_DETALLE!$F$4:$F$503,PROGRAMA_DETALLE!$A$4:$A$503,A27),0)</f>
        <v>0</v>
      </c>
      <c r="M27" s="13" t="str">
        <f>IF(A27="","",IFERROR(SUMIFS(COMPRAS_HILO!$D$4:$D$203,COMPRAS_HILO!$B$4:$B$203,A27),0))</f>
        <v/>
      </c>
      <c r="N27" s="14" t="str">
        <f>IF(A27="","",IFERROR(SUMIFS(COMPRAS_HILO!$H$4:$H$203,COMPRAS_HILO!$B$4:$B$203,A27),0))</f>
        <v/>
      </c>
      <c r="O27" s="15" t="str">
        <f>IFERROR(IF(SUMPRODUCT((COMPRAS_HILO!$B$4:$B$203=A27)*1)=0,"",LOOKUP(2,1/((COMPRAS_HILO!$B$4:$B$203=A27)*(COMPRAS_HILO!$J$4:$J$203&lt;&gt;"")),COMPRAS_HILO!$J$4:$J$203)),"")</f>
        <v/>
      </c>
      <c r="P27" s="16"/>
      <c r="Q27" s="17" t="str">
        <f>IF(A27="","",IFERROR(SUMIFS(PROGRAMA_DETALLE!$H$4:$H$503,PROGRAMA_DETALLE!$A$4:$A$503,A27),0))</f>
        <v/>
      </c>
      <c r="R27" s="17" t="str">
        <f>IF(A27="","",IFERROR(SUMIFS(PROGRAMA_DETALLE!$I$4:$I$503,PROGRAMA_DETALLE!$A$4:$A$503,A27),0))</f>
        <v/>
      </c>
      <c r="S27" s="10"/>
      <c r="T27" s="17">
        <f t="shared" si="1"/>
        <v>0</v>
      </c>
      <c r="U27" s="18">
        <f t="shared" si="2"/>
        <v>0</v>
      </c>
      <c r="V27" s="19" t="str">
        <f>IF(A27="","",IFERROR(SUMIFS(PROGRAMA_DETALLE!$R$4:$R$503,PROGRAMA_DETALLE!$A$4:$A$503,A27),0))</f>
        <v/>
      </c>
      <c r="W27" s="19" t="str">
        <f>IF(A27="","",IFERROR(SUMIFS(PROGRAMA_DETALLE!$S$4:$S$503,PROGRAMA_DETALLE!$A$4:$A$503,A27),0))</f>
        <v/>
      </c>
      <c r="X27" s="19">
        <f t="shared" si="3"/>
        <v>0</v>
      </c>
      <c r="Y27" s="20">
        <f t="shared" si="4"/>
        <v>0</v>
      </c>
      <c r="Z27" s="21">
        <f t="shared" si="5"/>
        <v>0</v>
      </c>
      <c r="AA27" s="22">
        <f t="shared" si="6"/>
        <v>0</v>
      </c>
      <c r="AB27" s="23">
        <f>IFERROR(W27*DASHBOARD!$C$2,0)</f>
        <v>0</v>
      </c>
      <c r="AC27" s="24"/>
      <c r="AD27" s="7"/>
      <c r="AE27" s="25">
        <f>IFERROR(N27+IFERROR(SUMIFS(PROGRAMA_DETALLE!$M$4:$M$503,PROGRAMA_DETALLE!$A$4:$A$503,A27),0)+IFERROR(SUMIFS(PROGRAMA_DETALLE!$Z$4:$Z$503,PROGRAMA_DETALLE!$A$4:$A$503,A27),0)+AB27,0)</f>
        <v>0</v>
      </c>
      <c r="AF27" s="25">
        <f t="shared" si="7"/>
        <v>0</v>
      </c>
      <c r="AG27" s="26">
        <f t="shared" si="8"/>
        <v>0</v>
      </c>
    </row>
    <row r="28" ht="15.75" customHeight="1">
      <c r="A28" s="6"/>
      <c r="B28" s="7"/>
      <c r="C28" s="6"/>
      <c r="D28" s="8"/>
      <c r="E28" s="9"/>
      <c r="F28" s="10"/>
      <c r="G28" s="8"/>
      <c r="H28" s="8"/>
      <c r="I28" s="8"/>
      <c r="J28" s="6"/>
      <c r="K28" s="11">
        <f>IFERROR(SUMIFS(PROGRAMA_DETALLE!$E$4:$E$503,PROGRAMA_DETALLE!$A$4:$A$503,A28),0)</f>
        <v>0</v>
      </c>
      <c r="L28" s="12">
        <f>IFERROR(SUMIFS(PROGRAMA_DETALLE!$F$4:$F$503,PROGRAMA_DETALLE!$A$4:$A$503,A28),0)</f>
        <v>0</v>
      </c>
      <c r="M28" s="13" t="str">
        <f>IF(A28="","",IFERROR(SUMIFS(COMPRAS_HILO!$D$4:$D$203,COMPRAS_HILO!$B$4:$B$203,A28),0))</f>
        <v/>
      </c>
      <c r="N28" s="14" t="str">
        <f>IF(A28="","",IFERROR(SUMIFS(COMPRAS_HILO!$H$4:$H$203,COMPRAS_HILO!$B$4:$B$203,A28),0))</f>
        <v/>
      </c>
      <c r="O28" s="15" t="str">
        <f>IFERROR(IF(SUMPRODUCT((COMPRAS_HILO!$B$4:$B$203=A28)*1)=0,"",LOOKUP(2,1/((COMPRAS_HILO!$B$4:$B$203=A28)*(COMPRAS_HILO!$J$4:$J$203&lt;&gt;"")),COMPRAS_HILO!$J$4:$J$203)),"")</f>
        <v/>
      </c>
      <c r="P28" s="16"/>
      <c r="Q28" s="17" t="str">
        <f>IF(A28="","",IFERROR(SUMIFS(PROGRAMA_DETALLE!$H$4:$H$503,PROGRAMA_DETALLE!$A$4:$A$503,A28),0))</f>
        <v/>
      </c>
      <c r="R28" s="17" t="str">
        <f>IF(A28="","",IFERROR(SUMIFS(PROGRAMA_DETALLE!$I$4:$I$503,PROGRAMA_DETALLE!$A$4:$A$503,A28),0))</f>
        <v/>
      </c>
      <c r="S28" s="10"/>
      <c r="T28" s="17">
        <f t="shared" si="1"/>
        <v>0</v>
      </c>
      <c r="U28" s="18">
        <f t="shared" si="2"/>
        <v>0</v>
      </c>
      <c r="V28" s="19" t="str">
        <f>IF(A28="","",IFERROR(SUMIFS(PROGRAMA_DETALLE!$R$4:$R$503,PROGRAMA_DETALLE!$A$4:$A$503,A28),0))</f>
        <v/>
      </c>
      <c r="W28" s="19" t="str">
        <f>IF(A28="","",IFERROR(SUMIFS(PROGRAMA_DETALLE!$S$4:$S$503,PROGRAMA_DETALLE!$A$4:$A$503,A28),0))</f>
        <v/>
      </c>
      <c r="X28" s="19">
        <f t="shared" si="3"/>
        <v>0</v>
      </c>
      <c r="Y28" s="20">
        <f t="shared" si="4"/>
        <v>0</v>
      </c>
      <c r="Z28" s="21">
        <f t="shared" si="5"/>
        <v>0</v>
      </c>
      <c r="AA28" s="22">
        <f t="shared" si="6"/>
        <v>0</v>
      </c>
      <c r="AB28" s="23">
        <f>IFERROR(W28*DASHBOARD!$C$2,0)</f>
        <v>0</v>
      </c>
      <c r="AC28" s="24"/>
      <c r="AD28" s="7"/>
      <c r="AE28" s="25">
        <f>IFERROR(N28+IFERROR(SUMIFS(PROGRAMA_DETALLE!$M$4:$M$503,PROGRAMA_DETALLE!$A$4:$A$503,A28),0)+IFERROR(SUMIFS(PROGRAMA_DETALLE!$Z$4:$Z$503,PROGRAMA_DETALLE!$A$4:$A$503,A28),0)+AB28,0)</f>
        <v>0</v>
      </c>
      <c r="AF28" s="25">
        <f t="shared" si="7"/>
        <v>0</v>
      </c>
      <c r="AG28" s="26">
        <f t="shared" si="8"/>
        <v>0</v>
      </c>
    </row>
    <row r="29" ht="15.75" customHeight="1">
      <c r="A29" s="6"/>
      <c r="B29" s="7"/>
      <c r="C29" s="6"/>
      <c r="D29" s="8"/>
      <c r="E29" s="9"/>
      <c r="F29" s="10"/>
      <c r="G29" s="8"/>
      <c r="H29" s="8"/>
      <c r="I29" s="8"/>
      <c r="J29" s="6"/>
      <c r="K29" s="11">
        <f>IFERROR(SUMIFS(PROGRAMA_DETALLE!$E$4:$E$503,PROGRAMA_DETALLE!$A$4:$A$503,A29),0)</f>
        <v>0</v>
      </c>
      <c r="L29" s="12">
        <f>IFERROR(SUMIFS(PROGRAMA_DETALLE!$F$4:$F$503,PROGRAMA_DETALLE!$A$4:$A$503,A29),0)</f>
        <v>0</v>
      </c>
      <c r="M29" s="13" t="str">
        <f>IF(A29="","",IFERROR(SUMIFS(COMPRAS_HILO!$D$4:$D$203,COMPRAS_HILO!$B$4:$B$203,A29),0))</f>
        <v/>
      </c>
      <c r="N29" s="14" t="str">
        <f>IF(A29="","",IFERROR(SUMIFS(COMPRAS_HILO!$H$4:$H$203,COMPRAS_HILO!$B$4:$B$203,A29),0))</f>
        <v/>
      </c>
      <c r="O29" s="15" t="str">
        <f>IFERROR(IF(SUMPRODUCT((COMPRAS_HILO!$B$4:$B$203=A29)*1)=0,"",LOOKUP(2,1/((COMPRAS_HILO!$B$4:$B$203=A29)*(COMPRAS_HILO!$J$4:$J$203&lt;&gt;"")),COMPRAS_HILO!$J$4:$J$203)),"")</f>
        <v/>
      </c>
      <c r="P29" s="16"/>
      <c r="Q29" s="17" t="str">
        <f>IF(A29="","",IFERROR(SUMIFS(PROGRAMA_DETALLE!$H$4:$H$503,PROGRAMA_DETALLE!$A$4:$A$503,A29),0))</f>
        <v/>
      </c>
      <c r="R29" s="17" t="str">
        <f>IF(A29="","",IFERROR(SUMIFS(PROGRAMA_DETALLE!$I$4:$I$503,PROGRAMA_DETALLE!$A$4:$A$503,A29),0))</f>
        <v/>
      </c>
      <c r="S29" s="10"/>
      <c r="T29" s="17">
        <f t="shared" si="1"/>
        <v>0</v>
      </c>
      <c r="U29" s="18">
        <f t="shared" si="2"/>
        <v>0</v>
      </c>
      <c r="V29" s="19" t="str">
        <f>IF(A29="","",IFERROR(SUMIFS(PROGRAMA_DETALLE!$R$4:$R$503,PROGRAMA_DETALLE!$A$4:$A$503,A29),0))</f>
        <v/>
      </c>
      <c r="W29" s="19" t="str">
        <f>IF(A29="","",IFERROR(SUMIFS(PROGRAMA_DETALLE!$S$4:$S$503,PROGRAMA_DETALLE!$A$4:$A$503,A29),0))</f>
        <v/>
      </c>
      <c r="X29" s="19">
        <f t="shared" si="3"/>
        <v>0</v>
      </c>
      <c r="Y29" s="20">
        <f t="shared" si="4"/>
        <v>0</v>
      </c>
      <c r="Z29" s="21">
        <f t="shared" si="5"/>
        <v>0</v>
      </c>
      <c r="AA29" s="22">
        <f t="shared" si="6"/>
        <v>0</v>
      </c>
      <c r="AB29" s="23">
        <f>IFERROR(W29*DASHBOARD!$C$2,0)</f>
        <v>0</v>
      </c>
      <c r="AC29" s="24"/>
      <c r="AD29" s="7"/>
      <c r="AE29" s="25">
        <f>IFERROR(N29+IFERROR(SUMIFS(PROGRAMA_DETALLE!$M$4:$M$503,PROGRAMA_DETALLE!$A$4:$A$503,A29),0)+IFERROR(SUMIFS(PROGRAMA_DETALLE!$Z$4:$Z$503,PROGRAMA_DETALLE!$A$4:$A$503,A29),0)+AB29,0)</f>
        <v>0</v>
      </c>
      <c r="AF29" s="25">
        <f t="shared" si="7"/>
        <v>0</v>
      </c>
      <c r="AG29" s="26">
        <f t="shared" si="8"/>
        <v>0</v>
      </c>
    </row>
    <row r="30" ht="15.75" customHeight="1">
      <c r="A30" s="6"/>
      <c r="B30" s="7"/>
      <c r="C30" s="6"/>
      <c r="D30" s="8"/>
      <c r="E30" s="9"/>
      <c r="F30" s="10"/>
      <c r="G30" s="8"/>
      <c r="H30" s="8"/>
      <c r="I30" s="8"/>
      <c r="J30" s="6"/>
      <c r="K30" s="11">
        <f>IFERROR(SUMIFS(PROGRAMA_DETALLE!$E$4:$E$503,PROGRAMA_DETALLE!$A$4:$A$503,A30),0)</f>
        <v>0</v>
      </c>
      <c r="L30" s="12">
        <f>IFERROR(SUMIFS(PROGRAMA_DETALLE!$F$4:$F$503,PROGRAMA_DETALLE!$A$4:$A$503,A30),0)</f>
        <v>0</v>
      </c>
      <c r="M30" s="13" t="str">
        <f>IF(A30="","",IFERROR(SUMIFS(COMPRAS_HILO!$D$4:$D$203,COMPRAS_HILO!$B$4:$B$203,A30),0))</f>
        <v/>
      </c>
      <c r="N30" s="14" t="str">
        <f>IF(A30="","",IFERROR(SUMIFS(COMPRAS_HILO!$H$4:$H$203,COMPRAS_HILO!$B$4:$B$203,A30),0))</f>
        <v/>
      </c>
      <c r="O30" s="15" t="str">
        <f>IFERROR(IF(SUMPRODUCT((COMPRAS_HILO!$B$4:$B$203=A30)*1)=0,"",LOOKUP(2,1/((COMPRAS_HILO!$B$4:$B$203=A30)*(COMPRAS_HILO!$J$4:$J$203&lt;&gt;"")),COMPRAS_HILO!$J$4:$J$203)),"")</f>
        <v/>
      </c>
      <c r="P30" s="16"/>
      <c r="Q30" s="17" t="str">
        <f>IF(A30="","",IFERROR(SUMIFS(PROGRAMA_DETALLE!$H$4:$H$503,PROGRAMA_DETALLE!$A$4:$A$503,A30),0))</f>
        <v/>
      </c>
      <c r="R30" s="17" t="str">
        <f>IF(A30="","",IFERROR(SUMIFS(PROGRAMA_DETALLE!$I$4:$I$503,PROGRAMA_DETALLE!$A$4:$A$503,A30),0))</f>
        <v/>
      </c>
      <c r="S30" s="10"/>
      <c r="T30" s="17">
        <f t="shared" si="1"/>
        <v>0</v>
      </c>
      <c r="U30" s="18">
        <f t="shared" si="2"/>
        <v>0</v>
      </c>
      <c r="V30" s="19" t="str">
        <f>IF(A30="","",IFERROR(SUMIFS(PROGRAMA_DETALLE!$R$4:$R$503,PROGRAMA_DETALLE!$A$4:$A$503,A30),0))</f>
        <v/>
      </c>
      <c r="W30" s="19" t="str">
        <f>IF(A30="","",IFERROR(SUMIFS(PROGRAMA_DETALLE!$S$4:$S$503,PROGRAMA_DETALLE!$A$4:$A$503,A30),0))</f>
        <v/>
      </c>
      <c r="X30" s="19">
        <f t="shared" si="3"/>
        <v>0</v>
      </c>
      <c r="Y30" s="20">
        <f t="shared" si="4"/>
        <v>0</v>
      </c>
      <c r="Z30" s="21">
        <f t="shared" si="5"/>
        <v>0</v>
      </c>
      <c r="AA30" s="22">
        <f t="shared" si="6"/>
        <v>0</v>
      </c>
      <c r="AB30" s="23">
        <f>IFERROR(W30*DASHBOARD!$C$2,0)</f>
        <v>0</v>
      </c>
      <c r="AC30" s="24"/>
      <c r="AD30" s="7"/>
      <c r="AE30" s="25">
        <f>IFERROR(N30+IFERROR(SUMIFS(PROGRAMA_DETALLE!$M$4:$M$503,PROGRAMA_DETALLE!$A$4:$A$503,A30),0)+IFERROR(SUMIFS(PROGRAMA_DETALLE!$Z$4:$Z$503,PROGRAMA_DETALLE!$A$4:$A$503,A30),0)+AB30,0)</f>
        <v>0</v>
      </c>
      <c r="AF30" s="25">
        <f t="shared" si="7"/>
        <v>0</v>
      </c>
      <c r="AG30" s="26">
        <f t="shared" si="8"/>
        <v>0</v>
      </c>
    </row>
    <row r="31" ht="15.75" customHeight="1">
      <c r="A31" s="6"/>
      <c r="B31" s="7"/>
      <c r="C31" s="6"/>
      <c r="D31" s="8"/>
      <c r="E31" s="9"/>
      <c r="F31" s="10"/>
      <c r="G31" s="8"/>
      <c r="H31" s="8"/>
      <c r="I31" s="8"/>
      <c r="J31" s="6"/>
      <c r="K31" s="11">
        <f>IFERROR(SUMIFS(PROGRAMA_DETALLE!$E$4:$E$503,PROGRAMA_DETALLE!$A$4:$A$503,A31),0)</f>
        <v>0</v>
      </c>
      <c r="L31" s="12">
        <f>IFERROR(SUMIFS(PROGRAMA_DETALLE!$F$4:$F$503,PROGRAMA_DETALLE!$A$4:$A$503,A31),0)</f>
        <v>0</v>
      </c>
      <c r="M31" s="13" t="str">
        <f>IF(A31="","",IFERROR(SUMIFS(COMPRAS_HILO!$D$4:$D$203,COMPRAS_HILO!$B$4:$B$203,A31),0))</f>
        <v/>
      </c>
      <c r="N31" s="14" t="str">
        <f>IF(A31="","",IFERROR(SUMIFS(COMPRAS_HILO!$H$4:$H$203,COMPRAS_HILO!$B$4:$B$203,A31),0))</f>
        <v/>
      </c>
      <c r="O31" s="15" t="str">
        <f>IFERROR(IF(SUMPRODUCT((COMPRAS_HILO!$B$4:$B$203=A31)*1)=0,"",LOOKUP(2,1/((COMPRAS_HILO!$B$4:$B$203=A31)*(COMPRAS_HILO!$J$4:$J$203&lt;&gt;"")),COMPRAS_HILO!$J$4:$J$203)),"")</f>
        <v/>
      </c>
      <c r="P31" s="16"/>
      <c r="Q31" s="17" t="str">
        <f>IF(A31="","",IFERROR(SUMIFS(PROGRAMA_DETALLE!$H$4:$H$503,PROGRAMA_DETALLE!$A$4:$A$503,A31),0))</f>
        <v/>
      </c>
      <c r="R31" s="17" t="str">
        <f>IF(A31="","",IFERROR(SUMIFS(PROGRAMA_DETALLE!$I$4:$I$503,PROGRAMA_DETALLE!$A$4:$A$503,A31),0))</f>
        <v/>
      </c>
      <c r="S31" s="10"/>
      <c r="T31" s="17">
        <f t="shared" si="1"/>
        <v>0</v>
      </c>
      <c r="U31" s="18">
        <f t="shared" si="2"/>
        <v>0</v>
      </c>
      <c r="V31" s="19" t="str">
        <f>IF(A31="","",IFERROR(SUMIFS(PROGRAMA_DETALLE!$R$4:$R$503,PROGRAMA_DETALLE!$A$4:$A$503,A31),0))</f>
        <v/>
      </c>
      <c r="W31" s="19" t="str">
        <f>IF(A31="","",IFERROR(SUMIFS(PROGRAMA_DETALLE!$S$4:$S$503,PROGRAMA_DETALLE!$A$4:$A$503,A31),0))</f>
        <v/>
      </c>
      <c r="X31" s="19">
        <f t="shared" si="3"/>
        <v>0</v>
      </c>
      <c r="Y31" s="20">
        <f t="shared" si="4"/>
        <v>0</v>
      </c>
      <c r="Z31" s="21">
        <f t="shared" si="5"/>
        <v>0</v>
      </c>
      <c r="AA31" s="22">
        <f t="shared" si="6"/>
        <v>0</v>
      </c>
      <c r="AB31" s="23">
        <f>IFERROR(W31*DASHBOARD!$C$2,0)</f>
        <v>0</v>
      </c>
      <c r="AC31" s="24"/>
      <c r="AD31" s="7"/>
      <c r="AE31" s="25">
        <f>IFERROR(N31+IFERROR(SUMIFS(PROGRAMA_DETALLE!$M$4:$M$503,PROGRAMA_DETALLE!$A$4:$A$503,A31),0)+IFERROR(SUMIFS(PROGRAMA_DETALLE!$Z$4:$Z$503,PROGRAMA_DETALLE!$A$4:$A$503,A31),0)+AB31,0)</f>
        <v>0</v>
      </c>
      <c r="AF31" s="25">
        <f t="shared" si="7"/>
        <v>0</v>
      </c>
      <c r="AG31" s="26">
        <f t="shared" si="8"/>
        <v>0</v>
      </c>
    </row>
    <row r="32" ht="15.75" customHeight="1">
      <c r="A32" s="6"/>
      <c r="B32" s="7"/>
      <c r="C32" s="6"/>
      <c r="D32" s="8"/>
      <c r="E32" s="9"/>
      <c r="F32" s="10"/>
      <c r="G32" s="8"/>
      <c r="H32" s="8"/>
      <c r="I32" s="8"/>
      <c r="J32" s="6"/>
      <c r="K32" s="11">
        <f>IFERROR(SUMIFS(PROGRAMA_DETALLE!$E$4:$E$503,PROGRAMA_DETALLE!$A$4:$A$503,A32),0)</f>
        <v>0</v>
      </c>
      <c r="L32" s="12">
        <f>IFERROR(SUMIFS(PROGRAMA_DETALLE!$F$4:$F$503,PROGRAMA_DETALLE!$A$4:$A$503,A32),0)</f>
        <v>0</v>
      </c>
      <c r="M32" s="13" t="str">
        <f>IF(A32="","",IFERROR(SUMIFS(COMPRAS_HILO!$D$4:$D$203,COMPRAS_HILO!$B$4:$B$203,A32),0))</f>
        <v/>
      </c>
      <c r="N32" s="14" t="str">
        <f>IF(A32="","",IFERROR(SUMIFS(COMPRAS_HILO!$H$4:$H$203,COMPRAS_HILO!$B$4:$B$203,A32),0))</f>
        <v/>
      </c>
      <c r="O32" s="15" t="str">
        <f>IFERROR(IF(SUMPRODUCT((COMPRAS_HILO!$B$4:$B$203=A32)*1)=0,"",LOOKUP(2,1/((COMPRAS_HILO!$B$4:$B$203=A32)*(COMPRAS_HILO!$J$4:$J$203&lt;&gt;"")),COMPRAS_HILO!$J$4:$J$203)),"")</f>
        <v/>
      </c>
      <c r="P32" s="16"/>
      <c r="Q32" s="17" t="str">
        <f>IF(A32="","",IFERROR(SUMIFS(PROGRAMA_DETALLE!$H$4:$H$503,PROGRAMA_DETALLE!$A$4:$A$503,A32),0))</f>
        <v/>
      </c>
      <c r="R32" s="17" t="str">
        <f>IF(A32="","",IFERROR(SUMIFS(PROGRAMA_DETALLE!$I$4:$I$503,PROGRAMA_DETALLE!$A$4:$A$503,A32),0))</f>
        <v/>
      </c>
      <c r="S32" s="10"/>
      <c r="T32" s="17">
        <f t="shared" si="1"/>
        <v>0</v>
      </c>
      <c r="U32" s="18">
        <f t="shared" si="2"/>
        <v>0</v>
      </c>
      <c r="V32" s="19" t="str">
        <f>IF(A32="","",IFERROR(SUMIFS(PROGRAMA_DETALLE!$R$4:$R$503,PROGRAMA_DETALLE!$A$4:$A$503,A32),0))</f>
        <v/>
      </c>
      <c r="W32" s="19" t="str">
        <f>IF(A32="","",IFERROR(SUMIFS(PROGRAMA_DETALLE!$S$4:$S$503,PROGRAMA_DETALLE!$A$4:$A$503,A32),0))</f>
        <v/>
      </c>
      <c r="X32" s="19">
        <f t="shared" si="3"/>
        <v>0</v>
      </c>
      <c r="Y32" s="20">
        <f t="shared" si="4"/>
        <v>0</v>
      </c>
      <c r="Z32" s="21">
        <f t="shared" si="5"/>
        <v>0</v>
      </c>
      <c r="AA32" s="22">
        <f t="shared" si="6"/>
        <v>0</v>
      </c>
      <c r="AB32" s="23">
        <f>IFERROR(W32*DASHBOARD!$C$2,0)</f>
        <v>0</v>
      </c>
      <c r="AC32" s="24"/>
      <c r="AD32" s="7"/>
      <c r="AE32" s="25">
        <f>IFERROR(N32+IFERROR(SUMIFS(PROGRAMA_DETALLE!$M$4:$M$503,PROGRAMA_DETALLE!$A$4:$A$503,A32),0)+IFERROR(SUMIFS(PROGRAMA_DETALLE!$Z$4:$Z$503,PROGRAMA_DETALLE!$A$4:$A$503,A32),0)+AB32,0)</f>
        <v>0</v>
      </c>
      <c r="AF32" s="25">
        <f t="shared" si="7"/>
        <v>0</v>
      </c>
      <c r="AG32" s="26">
        <f t="shared" si="8"/>
        <v>0</v>
      </c>
    </row>
    <row r="33" ht="15.75" customHeight="1">
      <c r="A33" s="6"/>
      <c r="B33" s="7"/>
      <c r="C33" s="6"/>
      <c r="D33" s="8"/>
      <c r="E33" s="9"/>
      <c r="F33" s="10"/>
      <c r="G33" s="8"/>
      <c r="H33" s="8"/>
      <c r="I33" s="8"/>
      <c r="J33" s="6"/>
      <c r="K33" s="11">
        <f>IFERROR(SUMIFS(PROGRAMA_DETALLE!$E$4:$E$503,PROGRAMA_DETALLE!$A$4:$A$503,A33),0)</f>
        <v>0</v>
      </c>
      <c r="L33" s="12">
        <f>IFERROR(SUMIFS(PROGRAMA_DETALLE!$F$4:$F$503,PROGRAMA_DETALLE!$A$4:$A$503,A33),0)</f>
        <v>0</v>
      </c>
      <c r="M33" s="13" t="str">
        <f>IF(A33="","",IFERROR(SUMIFS(COMPRAS_HILO!$D$4:$D$203,COMPRAS_HILO!$B$4:$B$203,A33),0))</f>
        <v/>
      </c>
      <c r="N33" s="14" t="str">
        <f>IF(A33="","",IFERROR(SUMIFS(COMPRAS_HILO!$H$4:$H$203,COMPRAS_HILO!$B$4:$B$203,A33),0))</f>
        <v/>
      </c>
      <c r="O33" s="15" t="str">
        <f>IFERROR(IF(SUMPRODUCT((COMPRAS_HILO!$B$4:$B$203=A33)*1)=0,"",LOOKUP(2,1/((COMPRAS_HILO!$B$4:$B$203=A33)*(COMPRAS_HILO!$J$4:$J$203&lt;&gt;"")),COMPRAS_HILO!$J$4:$J$203)),"")</f>
        <v/>
      </c>
      <c r="P33" s="16"/>
      <c r="Q33" s="17" t="str">
        <f>IF(A33="","",IFERROR(SUMIFS(PROGRAMA_DETALLE!$H$4:$H$503,PROGRAMA_DETALLE!$A$4:$A$503,A33),0))</f>
        <v/>
      </c>
      <c r="R33" s="17" t="str">
        <f>IF(A33="","",IFERROR(SUMIFS(PROGRAMA_DETALLE!$I$4:$I$503,PROGRAMA_DETALLE!$A$4:$A$503,A33),0))</f>
        <v/>
      </c>
      <c r="S33" s="10"/>
      <c r="T33" s="17">
        <f t="shared" si="1"/>
        <v>0</v>
      </c>
      <c r="U33" s="18">
        <f t="shared" si="2"/>
        <v>0</v>
      </c>
      <c r="V33" s="19" t="str">
        <f>IF(A33="","",IFERROR(SUMIFS(PROGRAMA_DETALLE!$R$4:$R$503,PROGRAMA_DETALLE!$A$4:$A$503,A33),0))</f>
        <v/>
      </c>
      <c r="W33" s="19" t="str">
        <f>IF(A33="","",IFERROR(SUMIFS(PROGRAMA_DETALLE!$S$4:$S$503,PROGRAMA_DETALLE!$A$4:$A$503,A33),0))</f>
        <v/>
      </c>
      <c r="X33" s="19">
        <f t="shared" si="3"/>
        <v>0</v>
      </c>
      <c r="Y33" s="20">
        <f t="shared" si="4"/>
        <v>0</v>
      </c>
      <c r="Z33" s="21">
        <f t="shared" si="5"/>
        <v>0</v>
      </c>
      <c r="AA33" s="22">
        <f t="shared" si="6"/>
        <v>0</v>
      </c>
      <c r="AB33" s="23">
        <f>IFERROR(W33*DASHBOARD!$C$2,0)</f>
        <v>0</v>
      </c>
      <c r="AC33" s="24"/>
      <c r="AD33" s="7"/>
      <c r="AE33" s="25">
        <f>IFERROR(N33+IFERROR(SUMIFS(PROGRAMA_DETALLE!$M$4:$M$503,PROGRAMA_DETALLE!$A$4:$A$503,A33),0)+IFERROR(SUMIFS(PROGRAMA_DETALLE!$Z$4:$Z$503,PROGRAMA_DETALLE!$A$4:$A$503,A33),0)+AB33,0)</f>
        <v>0</v>
      </c>
      <c r="AF33" s="25">
        <f t="shared" si="7"/>
        <v>0</v>
      </c>
      <c r="AG33" s="26">
        <f t="shared" si="8"/>
        <v>0</v>
      </c>
    </row>
    <row r="34" ht="15.75" customHeight="1">
      <c r="A34" s="6"/>
      <c r="B34" s="7"/>
      <c r="C34" s="6"/>
      <c r="D34" s="8"/>
      <c r="E34" s="9"/>
      <c r="F34" s="10"/>
      <c r="G34" s="8"/>
      <c r="H34" s="8"/>
      <c r="I34" s="8"/>
      <c r="J34" s="6"/>
      <c r="K34" s="11">
        <f>IFERROR(SUMIFS(PROGRAMA_DETALLE!$E$4:$E$503,PROGRAMA_DETALLE!$A$4:$A$503,A34),0)</f>
        <v>0</v>
      </c>
      <c r="L34" s="12">
        <f>IFERROR(SUMIFS(PROGRAMA_DETALLE!$F$4:$F$503,PROGRAMA_DETALLE!$A$4:$A$503,A34),0)</f>
        <v>0</v>
      </c>
      <c r="M34" s="13" t="str">
        <f>IF(A34="","",IFERROR(SUMIFS(COMPRAS_HILO!$D$4:$D$203,COMPRAS_HILO!$B$4:$B$203,A34),0))</f>
        <v/>
      </c>
      <c r="N34" s="14" t="str">
        <f>IF(A34="","",IFERROR(SUMIFS(COMPRAS_HILO!$H$4:$H$203,COMPRAS_HILO!$B$4:$B$203,A34),0))</f>
        <v/>
      </c>
      <c r="O34" s="15" t="str">
        <f>IFERROR(IF(SUMPRODUCT((COMPRAS_HILO!$B$4:$B$203=A34)*1)=0,"",LOOKUP(2,1/((COMPRAS_HILO!$B$4:$B$203=A34)*(COMPRAS_HILO!$J$4:$J$203&lt;&gt;"")),COMPRAS_HILO!$J$4:$J$203)),"")</f>
        <v/>
      </c>
      <c r="P34" s="16"/>
      <c r="Q34" s="17" t="str">
        <f>IF(A34="","",IFERROR(SUMIFS(PROGRAMA_DETALLE!$H$4:$H$503,PROGRAMA_DETALLE!$A$4:$A$503,A34),0))</f>
        <v/>
      </c>
      <c r="R34" s="17" t="str">
        <f>IF(A34="","",IFERROR(SUMIFS(PROGRAMA_DETALLE!$I$4:$I$503,PROGRAMA_DETALLE!$A$4:$A$503,A34),0))</f>
        <v/>
      </c>
      <c r="S34" s="10"/>
      <c r="T34" s="17">
        <f t="shared" si="1"/>
        <v>0</v>
      </c>
      <c r="U34" s="18">
        <f t="shared" si="2"/>
        <v>0</v>
      </c>
      <c r="V34" s="19" t="str">
        <f>IF(A34="","",IFERROR(SUMIFS(PROGRAMA_DETALLE!$R$4:$R$503,PROGRAMA_DETALLE!$A$4:$A$503,A34),0))</f>
        <v/>
      </c>
      <c r="W34" s="19" t="str">
        <f>IF(A34="","",IFERROR(SUMIFS(PROGRAMA_DETALLE!$S$4:$S$503,PROGRAMA_DETALLE!$A$4:$A$503,A34),0))</f>
        <v/>
      </c>
      <c r="X34" s="19">
        <f t="shared" si="3"/>
        <v>0</v>
      </c>
      <c r="Y34" s="20">
        <f t="shared" si="4"/>
        <v>0</v>
      </c>
      <c r="Z34" s="21">
        <f t="shared" si="5"/>
        <v>0</v>
      </c>
      <c r="AA34" s="22">
        <f t="shared" si="6"/>
        <v>0</v>
      </c>
      <c r="AB34" s="23">
        <f>IFERROR(W34*DASHBOARD!$C$2,0)</f>
        <v>0</v>
      </c>
      <c r="AC34" s="24"/>
      <c r="AD34" s="7"/>
      <c r="AE34" s="25">
        <f>IFERROR(N34+IFERROR(SUMIFS(PROGRAMA_DETALLE!$M$4:$M$503,PROGRAMA_DETALLE!$A$4:$A$503,A34),0)+IFERROR(SUMIFS(PROGRAMA_DETALLE!$Z$4:$Z$503,PROGRAMA_DETALLE!$A$4:$A$503,A34),0)+AB34,0)</f>
        <v>0</v>
      </c>
      <c r="AF34" s="25">
        <f t="shared" si="7"/>
        <v>0</v>
      </c>
      <c r="AG34" s="26">
        <f t="shared" si="8"/>
        <v>0</v>
      </c>
    </row>
    <row r="35" ht="15.75" customHeight="1">
      <c r="A35" s="6"/>
      <c r="B35" s="7"/>
      <c r="C35" s="6"/>
      <c r="D35" s="8"/>
      <c r="E35" s="9"/>
      <c r="F35" s="10"/>
      <c r="G35" s="8"/>
      <c r="H35" s="8"/>
      <c r="I35" s="8"/>
      <c r="J35" s="6"/>
      <c r="K35" s="11">
        <f>IFERROR(SUMIFS(PROGRAMA_DETALLE!$E$4:$E$503,PROGRAMA_DETALLE!$A$4:$A$503,A35),0)</f>
        <v>0</v>
      </c>
      <c r="L35" s="12">
        <f>IFERROR(SUMIFS(PROGRAMA_DETALLE!$F$4:$F$503,PROGRAMA_DETALLE!$A$4:$A$503,A35),0)</f>
        <v>0</v>
      </c>
      <c r="M35" s="13" t="str">
        <f>IF(A35="","",IFERROR(SUMIFS(COMPRAS_HILO!$D$4:$D$203,COMPRAS_HILO!$B$4:$B$203,A35),0))</f>
        <v/>
      </c>
      <c r="N35" s="14" t="str">
        <f>IF(A35="","",IFERROR(SUMIFS(COMPRAS_HILO!$H$4:$H$203,COMPRAS_HILO!$B$4:$B$203,A35),0))</f>
        <v/>
      </c>
      <c r="O35" s="15" t="str">
        <f>IFERROR(IF(SUMPRODUCT((COMPRAS_HILO!$B$4:$B$203=A35)*1)=0,"",LOOKUP(2,1/((COMPRAS_HILO!$B$4:$B$203=A35)*(COMPRAS_HILO!$J$4:$J$203&lt;&gt;"")),COMPRAS_HILO!$J$4:$J$203)),"")</f>
        <v/>
      </c>
      <c r="P35" s="16"/>
      <c r="Q35" s="17" t="str">
        <f>IF(A35="","",IFERROR(SUMIFS(PROGRAMA_DETALLE!$H$4:$H$503,PROGRAMA_DETALLE!$A$4:$A$503,A35),0))</f>
        <v/>
      </c>
      <c r="R35" s="17" t="str">
        <f>IF(A35="","",IFERROR(SUMIFS(PROGRAMA_DETALLE!$I$4:$I$503,PROGRAMA_DETALLE!$A$4:$A$503,A35),0))</f>
        <v/>
      </c>
      <c r="S35" s="10"/>
      <c r="T35" s="17">
        <f t="shared" si="1"/>
        <v>0</v>
      </c>
      <c r="U35" s="18">
        <f t="shared" si="2"/>
        <v>0</v>
      </c>
      <c r="V35" s="19" t="str">
        <f>IF(A35="","",IFERROR(SUMIFS(PROGRAMA_DETALLE!$R$4:$R$503,PROGRAMA_DETALLE!$A$4:$A$503,A35),0))</f>
        <v/>
      </c>
      <c r="W35" s="19" t="str">
        <f>IF(A35="","",IFERROR(SUMIFS(PROGRAMA_DETALLE!$S$4:$S$503,PROGRAMA_DETALLE!$A$4:$A$503,A35),0))</f>
        <v/>
      </c>
      <c r="X35" s="19">
        <f t="shared" si="3"/>
        <v>0</v>
      </c>
      <c r="Y35" s="20">
        <f t="shared" si="4"/>
        <v>0</v>
      </c>
      <c r="Z35" s="21">
        <f t="shared" si="5"/>
        <v>0</v>
      </c>
      <c r="AA35" s="22">
        <f t="shared" si="6"/>
        <v>0</v>
      </c>
      <c r="AB35" s="23">
        <f>IFERROR(W35*DASHBOARD!$C$2,0)</f>
        <v>0</v>
      </c>
      <c r="AC35" s="24"/>
      <c r="AD35" s="7"/>
      <c r="AE35" s="25">
        <f>IFERROR(N35+IFERROR(SUMIFS(PROGRAMA_DETALLE!$M$4:$M$503,PROGRAMA_DETALLE!$A$4:$A$503,A35),0)+IFERROR(SUMIFS(PROGRAMA_DETALLE!$Z$4:$Z$503,PROGRAMA_DETALLE!$A$4:$A$503,A35),0)+AB35,0)</f>
        <v>0</v>
      </c>
      <c r="AF35" s="25">
        <f t="shared" si="7"/>
        <v>0</v>
      </c>
      <c r="AG35" s="26">
        <f t="shared" si="8"/>
        <v>0</v>
      </c>
    </row>
    <row r="36" ht="15.75" customHeight="1">
      <c r="A36" s="6"/>
      <c r="B36" s="7"/>
      <c r="C36" s="6"/>
      <c r="D36" s="8"/>
      <c r="E36" s="9"/>
      <c r="F36" s="10"/>
      <c r="G36" s="8"/>
      <c r="H36" s="8"/>
      <c r="I36" s="8"/>
      <c r="J36" s="6"/>
      <c r="K36" s="11">
        <f>IFERROR(SUMIFS(PROGRAMA_DETALLE!$E$4:$E$503,PROGRAMA_DETALLE!$A$4:$A$503,A36),0)</f>
        <v>0</v>
      </c>
      <c r="L36" s="12">
        <f>IFERROR(SUMIFS(PROGRAMA_DETALLE!$F$4:$F$503,PROGRAMA_DETALLE!$A$4:$A$503,A36),0)</f>
        <v>0</v>
      </c>
      <c r="M36" s="13" t="str">
        <f>IF(A36="","",IFERROR(SUMIFS(COMPRAS_HILO!$D$4:$D$203,COMPRAS_HILO!$B$4:$B$203,A36),0))</f>
        <v/>
      </c>
      <c r="N36" s="14" t="str">
        <f>IF(A36="","",IFERROR(SUMIFS(COMPRAS_HILO!$H$4:$H$203,COMPRAS_HILO!$B$4:$B$203,A36),0))</f>
        <v/>
      </c>
      <c r="O36" s="15" t="str">
        <f>IFERROR(IF(SUMPRODUCT((COMPRAS_HILO!$B$4:$B$203=A36)*1)=0,"",LOOKUP(2,1/((COMPRAS_HILO!$B$4:$B$203=A36)*(COMPRAS_HILO!$J$4:$J$203&lt;&gt;"")),COMPRAS_HILO!$J$4:$J$203)),"")</f>
        <v/>
      </c>
      <c r="P36" s="16"/>
      <c r="Q36" s="17" t="str">
        <f>IF(A36="","",IFERROR(SUMIFS(PROGRAMA_DETALLE!$H$4:$H$503,PROGRAMA_DETALLE!$A$4:$A$503,A36),0))</f>
        <v/>
      </c>
      <c r="R36" s="17" t="str">
        <f>IF(A36="","",IFERROR(SUMIFS(PROGRAMA_DETALLE!$I$4:$I$503,PROGRAMA_DETALLE!$A$4:$A$503,A36),0))</f>
        <v/>
      </c>
      <c r="S36" s="10"/>
      <c r="T36" s="17">
        <f t="shared" si="1"/>
        <v>0</v>
      </c>
      <c r="U36" s="18">
        <f t="shared" si="2"/>
        <v>0</v>
      </c>
      <c r="V36" s="19" t="str">
        <f>IF(A36="","",IFERROR(SUMIFS(PROGRAMA_DETALLE!$R$4:$R$503,PROGRAMA_DETALLE!$A$4:$A$503,A36),0))</f>
        <v/>
      </c>
      <c r="W36" s="19" t="str">
        <f>IF(A36="","",IFERROR(SUMIFS(PROGRAMA_DETALLE!$S$4:$S$503,PROGRAMA_DETALLE!$A$4:$A$503,A36),0))</f>
        <v/>
      </c>
      <c r="X36" s="19">
        <f t="shared" si="3"/>
        <v>0</v>
      </c>
      <c r="Y36" s="20">
        <f t="shared" si="4"/>
        <v>0</v>
      </c>
      <c r="Z36" s="21">
        <f t="shared" si="5"/>
        <v>0</v>
      </c>
      <c r="AA36" s="22">
        <f t="shared" si="6"/>
        <v>0</v>
      </c>
      <c r="AB36" s="23">
        <f>IFERROR(W36*DASHBOARD!$C$2,0)</f>
        <v>0</v>
      </c>
      <c r="AC36" s="24"/>
      <c r="AD36" s="7"/>
      <c r="AE36" s="25">
        <f>IFERROR(N36+IFERROR(SUMIFS(PROGRAMA_DETALLE!$M$4:$M$503,PROGRAMA_DETALLE!$A$4:$A$503,A36),0)+IFERROR(SUMIFS(PROGRAMA_DETALLE!$Z$4:$Z$503,PROGRAMA_DETALLE!$A$4:$A$503,A36),0)+AB36,0)</f>
        <v>0</v>
      </c>
      <c r="AF36" s="25">
        <f t="shared" si="7"/>
        <v>0</v>
      </c>
      <c r="AG36" s="26">
        <f t="shared" si="8"/>
        <v>0</v>
      </c>
    </row>
    <row r="37" ht="15.75" customHeight="1">
      <c r="A37" s="6"/>
      <c r="B37" s="7"/>
      <c r="C37" s="6"/>
      <c r="D37" s="8"/>
      <c r="E37" s="9"/>
      <c r="F37" s="10"/>
      <c r="G37" s="8"/>
      <c r="H37" s="8"/>
      <c r="I37" s="8"/>
      <c r="J37" s="6"/>
      <c r="K37" s="11">
        <f>IFERROR(SUMIFS(PROGRAMA_DETALLE!$E$4:$E$503,PROGRAMA_DETALLE!$A$4:$A$503,A37),0)</f>
        <v>0</v>
      </c>
      <c r="L37" s="12">
        <f>IFERROR(SUMIFS(PROGRAMA_DETALLE!$F$4:$F$503,PROGRAMA_DETALLE!$A$4:$A$503,A37),0)</f>
        <v>0</v>
      </c>
      <c r="M37" s="13" t="str">
        <f>IF(A37="","",IFERROR(SUMIFS(COMPRAS_HILO!$D$4:$D$203,COMPRAS_HILO!$B$4:$B$203,A37),0))</f>
        <v/>
      </c>
      <c r="N37" s="14" t="str">
        <f>IF(A37="","",IFERROR(SUMIFS(COMPRAS_HILO!$H$4:$H$203,COMPRAS_HILO!$B$4:$B$203,A37),0))</f>
        <v/>
      </c>
      <c r="O37" s="15" t="str">
        <f>IFERROR(IF(SUMPRODUCT((COMPRAS_HILO!$B$4:$B$203=A37)*1)=0,"",LOOKUP(2,1/((COMPRAS_HILO!$B$4:$B$203=A37)*(COMPRAS_HILO!$J$4:$J$203&lt;&gt;"")),COMPRAS_HILO!$J$4:$J$203)),"")</f>
        <v/>
      </c>
      <c r="P37" s="16"/>
      <c r="Q37" s="17" t="str">
        <f>IF(A37="","",IFERROR(SUMIFS(PROGRAMA_DETALLE!$H$4:$H$503,PROGRAMA_DETALLE!$A$4:$A$503,A37),0))</f>
        <v/>
      </c>
      <c r="R37" s="17" t="str">
        <f>IF(A37="","",IFERROR(SUMIFS(PROGRAMA_DETALLE!$I$4:$I$503,PROGRAMA_DETALLE!$A$4:$A$503,A37),0))</f>
        <v/>
      </c>
      <c r="S37" s="10"/>
      <c r="T37" s="17">
        <f t="shared" si="1"/>
        <v>0</v>
      </c>
      <c r="U37" s="18">
        <f t="shared" si="2"/>
        <v>0</v>
      </c>
      <c r="V37" s="19" t="str">
        <f>IF(A37="","",IFERROR(SUMIFS(PROGRAMA_DETALLE!$R$4:$R$503,PROGRAMA_DETALLE!$A$4:$A$503,A37),0))</f>
        <v/>
      </c>
      <c r="W37" s="19" t="str">
        <f>IF(A37="","",IFERROR(SUMIFS(PROGRAMA_DETALLE!$S$4:$S$503,PROGRAMA_DETALLE!$A$4:$A$503,A37),0))</f>
        <v/>
      </c>
      <c r="X37" s="19">
        <f t="shared" si="3"/>
        <v>0</v>
      </c>
      <c r="Y37" s="20">
        <f t="shared" si="4"/>
        <v>0</v>
      </c>
      <c r="Z37" s="21">
        <f t="shared" si="5"/>
        <v>0</v>
      </c>
      <c r="AA37" s="22">
        <f t="shared" si="6"/>
        <v>0</v>
      </c>
      <c r="AB37" s="23">
        <f>IFERROR(W37*DASHBOARD!$C$2,0)</f>
        <v>0</v>
      </c>
      <c r="AC37" s="24"/>
      <c r="AD37" s="7"/>
      <c r="AE37" s="25">
        <f>IFERROR(N37+IFERROR(SUMIFS(PROGRAMA_DETALLE!$M$4:$M$503,PROGRAMA_DETALLE!$A$4:$A$503,A37),0)+IFERROR(SUMIFS(PROGRAMA_DETALLE!$Z$4:$Z$503,PROGRAMA_DETALLE!$A$4:$A$503,A37),0)+AB37,0)</f>
        <v>0</v>
      </c>
      <c r="AF37" s="25">
        <f t="shared" si="7"/>
        <v>0</v>
      </c>
      <c r="AG37" s="26">
        <f t="shared" si="8"/>
        <v>0</v>
      </c>
    </row>
    <row r="38" ht="15.75" customHeight="1">
      <c r="A38" s="6"/>
      <c r="B38" s="7"/>
      <c r="C38" s="6"/>
      <c r="D38" s="8"/>
      <c r="E38" s="9"/>
      <c r="F38" s="10"/>
      <c r="G38" s="8"/>
      <c r="H38" s="8"/>
      <c r="I38" s="8"/>
      <c r="J38" s="6"/>
      <c r="K38" s="11">
        <f>IFERROR(SUMIFS(PROGRAMA_DETALLE!$E$4:$E$503,PROGRAMA_DETALLE!$A$4:$A$503,A38),0)</f>
        <v>0</v>
      </c>
      <c r="L38" s="12">
        <f>IFERROR(SUMIFS(PROGRAMA_DETALLE!$F$4:$F$503,PROGRAMA_DETALLE!$A$4:$A$503,A38),0)</f>
        <v>0</v>
      </c>
      <c r="M38" s="13" t="str">
        <f>IF(A38="","",IFERROR(SUMIFS(COMPRAS_HILO!$D$4:$D$203,COMPRAS_HILO!$B$4:$B$203,A38),0))</f>
        <v/>
      </c>
      <c r="N38" s="14" t="str">
        <f>IF(A38="","",IFERROR(SUMIFS(COMPRAS_HILO!$H$4:$H$203,COMPRAS_HILO!$B$4:$B$203,A38),0))</f>
        <v/>
      </c>
      <c r="O38" s="15" t="str">
        <f>IFERROR(IF(SUMPRODUCT((COMPRAS_HILO!$B$4:$B$203=A38)*1)=0,"",LOOKUP(2,1/((COMPRAS_HILO!$B$4:$B$203=A38)*(COMPRAS_HILO!$J$4:$J$203&lt;&gt;"")),COMPRAS_HILO!$J$4:$J$203)),"")</f>
        <v/>
      </c>
      <c r="P38" s="16"/>
      <c r="Q38" s="17" t="str">
        <f>IF(A38="","",IFERROR(SUMIFS(PROGRAMA_DETALLE!$H$4:$H$503,PROGRAMA_DETALLE!$A$4:$A$503,A38),0))</f>
        <v/>
      </c>
      <c r="R38" s="17" t="str">
        <f>IF(A38="","",IFERROR(SUMIFS(PROGRAMA_DETALLE!$I$4:$I$503,PROGRAMA_DETALLE!$A$4:$A$503,A38),0))</f>
        <v/>
      </c>
      <c r="S38" s="10"/>
      <c r="T38" s="17">
        <f t="shared" si="1"/>
        <v>0</v>
      </c>
      <c r="U38" s="18">
        <f t="shared" si="2"/>
        <v>0</v>
      </c>
      <c r="V38" s="19" t="str">
        <f>IF(A38="","",IFERROR(SUMIFS(PROGRAMA_DETALLE!$R$4:$R$503,PROGRAMA_DETALLE!$A$4:$A$503,A38),0))</f>
        <v/>
      </c>
      <c r="W38" s="19" t="str">
        <f>IF(A38="","",IFERROR(SUMIFS(PROGRAMA_DETALLE!$S$4:$S$503,PROGRAMA_DETALLE!$A$4:$A$503,A38),0))</f>
        <v/>
      </c>
      <c r="X38" s="19">
        <f t="shared" si="3"/>
        <v>0</v>
      </c>
      <c r="Y38" s="20">
        <f t="shared" si="4"/>
        <v>0</v>
      </c>
      <c r="Z38" s="21">
        <f t="shared" si="5"/>
        <v>0</v>
      </c>
      <c r="AA38" s="22">
        <f t="shared" si="6"/>
        <v>0</v>
      </c>
      <c r="AB38" s="23">
        <f>IFERROR(W38*DASHBOARD!$C$2,0)</f>
        <v>0</v>
      </c>
      <c r="AC38" s="24"/>
      <c r="AD38" s="7"/>
      <c r="AE38" s="25">
        <f>IFERROR(N38+IFERROR(SUMIFS(PROGRAMA_DETALLE!$M$4:$M$503,PROGRAMA_DETALLE!$A$4:$A$503,A38),0)+IFERROR(SUMIFS(PROGRAMA_DETALLE!$Z$4:$Z$503,PROGRAMA_DETALLE!$A$4:$A$503,A38),0)+AB38,0)</f>
        <v>0</v>
      </c>
      <c r="AF38" s="25">
        <f t="shared" si="7"/>
        <v>0</v>
      </c>
      <c r="AG38" s="26">
        <f t="shared" si="8"/>
        <v>0</v>
      </c>
    </row>
    <row r="39" ht="15.75" customHeight="1">
      <c r="A39" s="6"/>
      <c r="B39" s="7"/>
      <c r="C39" s="6"/>
      <c r="D39" s="8"/>
      <c r="E39" s="9"/>
      <c r="F39" s="10"/>
      <c r="G39" s="8"/>
      <c r="H39" s="8"/>
      <c r="I39" s="8"/>
      <c r="J39" s="6"/>
      <c r="K39" s="11">
        <f>IFERROR(SUMIFS(PROGRAMA_DETALLE!$E$4:$E$503,PROGRAMA_DETALLE!$A$4:$A$503,A39),0)</f>
        <v>0</v>
      </c>
      <c r="L39" s="12">
        <f>IFERROR(SUMIFS(PROGRAMA_DETALLE!$F$4:$F$503,PROGRAMA_DETALLE!$A$4:$A$503,A39),0)</f>
        <v>0</v>
      </c>
      <c r="M39" s="13" t="str">
        <f>IF(A39="","",IFERROR(SUMIFS(COMPRAS_HILO!$D$4:$D$203,COMPRAS_HILO!$B$4:$B$203,A39),0))</f>
        <v/>
      </c>
      <c r="N39" s="14" t="str">
        <f>IF(A39="","",IFERROR(SUMIFS(COMPRAS_HILO!$H$4:$H$203,COMPRAS_HILO!$B$4:$B$203,A39),0))</f>
        <v/>
      </c>
      <c r="O39" s="15" t="str">
        <f>IFERROR(IF(SUMPRODUCT((COMPRAS_HILO!$B$4:$B$203=A39)*1)=0,"",LOOKUP(2,1/((COMPRAS_HILO!$B$4:$B$203=A39)*(COMPRAS_HILO!$J$4:$J$203&lt;&gt;"")),COMPRAS_HILO!$J$4:$J$203)),"")</f>
        <v/>
      </c>
      <c r="P39" s="16"/>
      <c r="Q39" s="17" t="str">
        <f>IF(A39="","",IFERROR(SUMIFS(PROGRAMA_DETALLE!$H$4:$H$503,PROGRAMA_DETALLE!$A$4:$A$503,A39),0))</f>
        <v/>
      </c>
      <c r="R39" s="17" t="str">
        <f>IF(A39="","",IFERROR(SUMIFS(PROGRAMA_DETALLE!$I$4:$I$503,PROGRAMA_DETALLE!$A$4:$A$503,A39),0))</f>
        <v/>
      </c>
      <c r="S39" s="10"/>
      <c r="T39" s="17">
        <f t="shared" si="1"/>
        <v>0</v>
      </c>
      <c r="U39" s="18">
        <f t="shared" si="2"/>
        <v>0</v>
      </c>
      <c r="V39" s="19" t="str">
        <f>IF(A39="","",IFERROR(SUMIFS(PROGRAMA_DETALLE!$R$4:$R$503,PROGRAMA_DETALLE!$A$4:$A$503,A39),0))</f>
        <v/>
      </c>
      <c r="W39" s="19" t="str">
        <f>IF(A39="","",IFERROR(SUMIFS(PROGRAMA_DETALLE!$S$4:$S$503,PROGRAMA_DETALLE!$A$4:$A$503,A39),0))</f>
        <v/>
      </c>
      <c r="X39" s="19">
        <f t="shared" si="3"/>
        <v>0</v>
      </c>
      <c r="Y39" s="20">
        <f t="shared" si="4"/>
        <v>0</v>
      </c>
      <c r="Z39" s="21">
        <f t="shared" si="5"/>
        <v>0</v>
      </c>
      <c r="AA39" s="22">
        <f t="shared" si="6"/>
        <v>0</v>
      </c>
      <c r="AB39" s="23">
        <f>IFERROR(W39*DASHBOARD!$C$2,0)</f>
        <v>0</v>
      </c>
      <c r="AC39" s="24"/>
      <c r="AD39" s="7"/>
      <c r="AE39" s="25">
        <f>IFERROR(N39+IFERROR(SUMIFS(PROGRAMA_DETALLE!$M$4:$M$503,PROGRAMA_DETALLE!$A$4:$A$503,A39),0)+IFERROR(SUMIFS(PROGRAMA_DETALLE!$Z$4:$Z$503,PROGRAMA_DETALLE!$A$4:$A$503,A39),0)+AB39,0)</f>
        <v>0</v>
      </c>
      <c r="AF39" s="25">
        <f t="shared" si="7"/>
        <v>0</v>
      </c>
      <c r="AG39" s="26">
        <f t="shared" si="8"/>
        <v>0</v>
      </c>
    </row>
    <row r="40" ht="15.75" customHeight="1">
      <c r="A40" s="6"/>
      <c r="B40" s="7"/>
      <c r="C40" s="6"/>
      <c r="D40" s="8"/>
      <c r="E40" s="9"/>
      <c r="F40" s="10"/>
      <c r="G40" s="8"/>
      <c r="H40" s="8"/>
      <c r="I40" s="8"/>
      <c r="J40" s="6"/>
      <c r="K40" s="11">
        <f>IFERROR(SUMIFS(PROGRAMA_DETALLE!$E$4:$E$503,PROGRAMA_DETALLE!$A$4:$A$503,A40),0)</f>
        <v>0</v>
      </c>
      <c r="L40" s="12">
        <f>IFERROR(SUMIFS(PROGRAMA_DETALLE!$F$4:$F$503,PROGRAMA_DETALLE!$A$4:$A$503,A40),0)</f>
        <v>0</v>
      </c>
      <c r="M40" s="13" t="str">
        <f>IF(A40="","",IFERROR(SUMIFS(COMPRAS_HILO!$D$4:$D$203,COMPRAS_HILO!$B$4:$B$203,A40),0))</f>
        <v/>
      </c>
      <c r="N40" s="14" t="str">
        <f>IF(A40="","",IFERROR(SUMIFS(COMPRAS_HILO!$H$4:$H$203,COMPRAS_HILO!$B$4:$B$203,A40),0))</f>
        <v/>
      </c>
      <c r="O40" s="15" t="str">
        <f>IFERROR(IF(SUMPRODUCT((COMPRAS_HILO!$B$4:$B$203=A40)*1)=0,"",LOOKUP(2,1/((COMPRAS_HILO!$B$4:$B$203=A40)*(COMPRAS_HILO!$J$4:$J$203&lt;&gt;"")),COMPRAS_HILO!$J$4:$J$203)),"")</f>
        <v/>
      </c>
      <c r="P40" s="16"/>
      <c r="Q40" s="17" t="str">
        <f>IF(A40="","",IFERROR(SUMIFS(PROGRAMA_DETALLE!$H$4:$H$503,PROGRAMA_DETALLE!$A$4:$A$503,A40),0))</f>
        <v/>
      </c>
      <c r="R40" s="17" t="str">
        <f>IF(A40="","",IFERROR(SUMIFS(PROGRAMA_DETALLE!$I$4:$I$503,PROGRAMA_DETALLE!$A$4:$A$503,A40),0))</f>
        <v/>
      </c>
      <c r="S40" s="10"/>
      <c r="T40" s="17">
        <f t="shared" si="1"/>
        <v>0</v>
      </c>
      <c r="U40" s="18">
        <f t="shared" si="2"/>
        <v>0</v>
      </c>
      <c r="V40" s="19" t="str">
        <f>IF(A40="","",IFERROR(SUMIFS(PROGRAMA_DETALLE!$R$4:$R$503,PROGRAMA_DETALLE!$A$4:$A$503,A40),0))</f>
        <v/>
      </c>
      <c r="W40" s="19" t="str">
        <f>IF(A40="","",IFERROR(SUMIFS(PROGRAMA_DETALLE!$S$4:$S$503,PROGRAMA_DETALLE!$A$4:$A$503,A40),0))</f>
        <v/>
      </c>
      <c r="X40" s="19">
        <f t="shared" si="3"/>
        <v>0</v>
      </c>
      <c r="Y40" s="20">
        <f t="shared" si="4"/>
        <v>0</v>
      </c>
      <c r="Z40" s="21">
        <f t="shared" si="5"/>
        <v>0</v>
      </c>
      <c r="AA40" s="22">
        <f t="shared" si="6"/>
        <v>0</v>
      </c>
      <c r="AB40" s="23">
        <f>IFERROR(W40*DASHBOARD!$C$2,0)</f>
        <v>0</v>
      </c>
      <c r="AC40" s="24"/>
      <c r="AD40" s="7"/>
      <c r="AE40" s="25">
        <f>IFERROR(N40+IFERROR(SUMIFS(PROGRAMA_DETALLE!$M$4:$M$503,PROGRAMA_DETALLE!$A$4:$A$503,A40),0)+IFERROR(SUMIFS(PROGRAMA_DETALLE!$Z$4:$Z$503,PROGRAMA_DETALLE!$A$4:$A$503,A40),0)+AB40,0)</f>
        <v>0</v>
      </c>
      <c r="AF40" s="25">
        <f t="shared" si="7"/>
        <v>0</v>
      </c>
      <c r="AG40" s="26">
        <f t="shared" si="8"/>
        <v>0</v>
      </c>
    </row>
    <row r="41" ht="15.75" customHeight="1">
      <c r="A41" s="6"/>
      <c r="B41" s="7"/>
      <c r="C41" s="6"/>
      <c r="D41" s="8"/>
      <c r="E41" s="9"/>
      <c r="F41" s="10"/>
      <c r="G41" s="8"/>
      <c r="H41" s="8"/>
      <c r="I41" s="8"/>
      <c r="J41" s="6"/>
      <c r="K41" s="11">
        <f>IFERROR(SUMIFS(PROGRAMA_DETALLE!$E$4:$E$503,PROGRAMA_DETALLE!$A$4:$A$503,A41),0)</f>
        <v>0</v>
      </c>
      <c r="L41" s="12">
        <f>IFERROR(SUMIFS(PROGRAMA_DETALLE!$F$4:$F$503,PROGRAMA_DETALLE!$A$4:$A$503,A41),0)</f>
        <v>0</v>
      </c>
      <c r="M41" s="13" t="str">
        <f>IF(A41="","",IFERROR(SUMIFS(COMPRAS_HILO!$D$4:$D$203,COMPRAS_HILO!$B$4:$B$203,A41),0))</f>
        <v/>
      </c>
      <c r="N41" s="14" t="str">
        <f>IF(A41="","",IFERROR(SUMIFS(COMPRAS_HILO!$H$4:$H$203,COMPRAS_HILO!$B$4:$B$203,A41),0))</f>
        <v/>
      </c>
      <c r="O41" s="15" t="str">
        <f>IFERROR(IF(SUMPRODUCT((COMPRAS_HILO!$B$4:$B$203=A41)*1)=0,"",LOOKUP(2,1/((COMPRAS_HILO!$B$4:$B$203=A41)*(COMPRAS_HILO!$J$4:$J$203&lt;&gt;"")),COMPRAS_HILO!$J$4:$J$203)),"")</f>
        <v/>
      </c>
      <c r="P41" s="16"/>
      <c r="Q41" s="17" t="str">
        <f>IF(A41="","",IFERROR(SUMIFS(PROGRAMA_DETALLE!$H$4:$H$503,PROGRAMA_DETALLE!$A$4:$A$503,A41),0))</f>
        <v/>
      </c>
      <c r="R41" s="17" t="str">
        <f>IF(A41="","",IFERROR(SUMIFS(PROGRAMA_DETALLE!$I$4:$I$503,PROGRAMA_DETALLE!$A$4:$A$503,A41),0))</f>
        <v/>
      </c>
      <c r="S41" s="10"/>
      <c r="T41" s="17">
        <f t="shared" si="1"/>
        <v>0</v>
      </c>
      <c r="U41" s="18">
        <f t="shared" si="2"/>
        <v>0</v>
      </c>
      <c r="V41" s="19" t="str">
        <f>IF(A41="","",IFERROR(SUMIFS(PROGRAMA_DETALLE!$R$4:$R$503,PROGRAMA_DETALLE!$A$4:$A$503,A41),0))</f>
        <v/>
      </c>
      <c r="W41" s="19" t="str">
        <f>IF(A41="","",IFERROR(SUMIFS(PROGRAMA_DETALLE!$S$4:$S$503,PROGRAMA_DETALLE!$A$4:$A$503,A41),0))</f>
        <v/>
      </c>
      <c r="X41" s="19">
        <f t="shared" si="3"/>
        <v>0</v>
      </c>
      <c r="Y41" s="20">
        <f t="shared" si="4"/>
        <v>0</v>
      </c>
      <c r="Z41" s="21">
        <f t="shared" si="5"/>
        <v>0</v>
      </c>
      <c r="AA41" s="22">
        <f t="shared" si="6"/>
        <v>0</v>
      </c>
      <c r="AB41" s="23">
        <f>IFERROR(W41*DASHBOARD!$C$2,0)</f>
        <v>0</v>
      </c>
      <c r="AC41" s="24"/>
      <c r="AD41" s="7"/>
      <c r="AE41" s="25">
        <f>IFERROR(N41+IFERROR(SUMIFS(PROGRAMA_DETALLE!$M$4:$M$503,PROGRAMA_DETALLE!$A$4:$A$503,A41),0)+IFERROR(SUMIFS(PROGRAMA_DETALLE!$Z$4:$Z$503,PROGRAMA_DETALLE!$A$4:$A$503,A41),0)+AB41,0)</f>
        <v>0</v>
      </c>
      <c r="AF41" s="25">
        <f t="shared" si="7"/>
        <v>0</v>
      </c>
      <c r="AG41" s="26">
        <f t="shared" si="8"/>
        <v>0</v>
      </c>
    </row>
    <row r="42" ht="15.75" customHeight="1">
      <c r="A42" s="6"/>
      <c r="B42" s="7"/>
      <c r="C42" s="6"/>
      <c r="D42" s="8"/>
      <c r="E42" s="9"/>
      <c r="F42" s="10"/>
      <c r="G42" s="8"/>
      <c r="H42" s="8"/>
      <c r="I42" s="8"/>
      <c r="J42" s="6"/>
      <c r="K42" s="11">
        <f>IFERROR(SUMIFS(PROGRAMA_DETALLE!$E$4:$E$503,PROGRAMA_DETALLE!$A$4:$A$503,A42),0)</f>
        <v>0</v>
      </c>
      <c r="L42" s="12">
        <f>IFERROR(SUMIFS(PROGRAMA_DETALLE!$F$4:$F$503,PROGRAMA_DETALLE!$A$4:$A$503,A42),0)</f>
        <v>0</v>
      </c>
      <c r="M42" s="13" t="str">
        <f>IF(A42="","",IFERROR(SUMIFS(COMPRAS_HILO!$D$4:$D$203,COMPRAS_HILO!$B$4:$B$203,A42),0))</f>
        <v/>
      </c>
      <c r="N42" s="14" t="str">
        <f>IF(A42="","",IFERROR(SUMIFS(COMPRAS_HILO!$H$4:$H$203,COMPRAS_HILO!$B$4:$B$203,A42),0))</f>
        <v/>
      </c>
      <c r="O42" s="15" t="str">
        <f>IFERROR(IF(SUMPRODUCT((COMPRAS_HILO!$B$4:$B$203=A42)*1)=0,"",LOOKUP(2,1/((COMPRAS_HILO!$B$4:$B$203=A42)*(COMPRAS_HILO!$J$4:$J$203&lt;&gt;"")),COMPRAS_HILO!$J$4:$J$203)),"")</f>
        <v/>
      </c>
      <c r="P42" s="16"/>
      <c r="Q42" s="17" t="str">
        <f>IF(A42="","",IFERROR(SUMIFS(PROGRAMA_DETALLE!$H$4:$H$503,PROGRAMA_DETALLE!$A$4:$A$503,A42),0))</f>
        <v/>
      </c>
      <c r="R42" s="17" t="str">
        <f>IF(A42="","",IFERROR(SUMIFS(PROGRAMA_DETALLE!$I$4:$I$503,PROGRAMA_DETALLE!$A$4:$A$503,A42),0))</f>
        <v/>
      </c>
      <c r="S42" s="10"/>
      <c r="T42" s="17">
        <f t="shared" si="1"/>
        <v>0</v>
      </c>
      <c r="U42" s="18">
        <f t="shared" si="2"/>
        <v>0</v>
      </c>
      <c r="V42" s="19" t="str">
        <f>IF(A42="","",IFERROR(SUMIFS(PROGRAMA_DETALLE!$R$4:$R$503,PROGRAMA_DETALLE!$A$4:$A$503,A42),0))</f>
        <v/>
      </c>
      <c r="W42" s="19" t="str">
        <f>IF(A42="","",IFERROR(SUMIFS(PROGRAMA_DETALLE!$S$4:$S$503,PROGRAMA_DETALLE!$A$4:$A$503,A42),0))</f>
        <v/>
      </c>
      <c r="X42" s="19">
        <f t="shared" si="3"/>
        <v>0</v>
      </c>
      <c r="Y42" s="20">
        <f t="shared" si="4"/>
        <v>0</v>
      </c>
      <c r="Z42" s="21">
        <f t="shared" si="5"/>
        <v>0</v>
      </c>
      <c r="AA42" s="22">
        <f t="shared" si="6"/>
        <v>0</v>
      </c>
      <c r="AB42" s="23">
        <f>IFERROR(W42*DASHBOARD!$C$2,0)</f>
        <v>0</v>
      </c>
      <c r="AC42" s="24"/>
      <c r="AD42" s="7"/>
      <c r="AE42" s="25">
        <f>IFERROR(N42+IFERROR(SUMIFS(PROGRAMA_DETALLE!$M$4:$M$503,PROGRAMA_DETALLE!$A$4:$A$503,A42),0)+IFERROR(SUMIFS(PROGRAMA_DETALLE!$Z$4:$Z$503,PROGRAMA_DETALLE!$A$4:$A$503,A42),0)+AB42,0)</f>
        <v>0</v>
      </c>
      <c r="AF42" s="25">
        <f t="shared" si="7"/>
        <v>0</v>
      </c>
      <c r="AG42" s="26">
        <f t="shared" si="8"/>
        <v>0</v>
      </c>
    </row>
    <row r="43" ht="15.75" customHeight="1">
      <c r="A43" s="6"/>
      <c r="B43" s="7"/>
      <c r="C43" s="6"/>
      <c r="D43" s="8"/>
      <c r="E43" s="9"/>
      <c r="F43" s="10"/>
      <c r="G43" s="8"/>
      <c r="H43" s="8"/>
      <c r="I43" s="8"/>
      <c r="J43" s="6"/>
      <c r="K43" s="11">
        <f>IFERROR(SUMIFS(PROGRAMA_DETALLE!$E$4:$E$503,PROGRAMA_DETALLE!$A$4:$A$503,A43),0)</f>
        <v>0</v>
      </c>
      <c r="L43" s="12">
        <f>IFERROR(SUMIFS(PROGRAMA_DETALLE!$F$4:$F$503,PROGRAMA_DETALLE!$A$4:$A$503,A43),0)</f>
        <v>0</v>
      </c>
      <c r="M43" s="13" t="str">
        <f>IF(A43="","",IFERROR(SUMIFS(COMPRAS_HILO!$D$4:$D$203,COMPRAS_HILO!$B$4:$B$203,A43),0))</f>
        <v/>
      </c>
      <c r="N43" s="14" t="str">
        <f>IF(A43="","",IFERROR(SUMIFS(COMPRAS_HILO!$H$4:$H$203,COMPRAS_HILO!$B$4:$B$203,A43),0))</f>
        <v/>
      </c>
      <c r="O43" s="15" t="str">
        <f>IFERROR(IF(SUMPRODUCT((COMPRAS_HILO!$B$4:$B$203=A43)*1)=0,"",LOOKUP(2,1/((COMPRAS_HILO!$B$4:$B$203=A43)*(COMPRAS_HILO!$J$4:$J$203&lt;&gt;"")),COMPRAS_HILO!$J$4:$J$203)),"")</f>
        <v/>
      </c>
      <c r="P43" s="16"/>
      <c r="Q43" s="17" t="str">
        <f>IF(A43="","",IFERROR(SUMIFS(PROGRAMA_DETALLE!$H$4:$H$503,PROGRAMA_DETALLE!$A$4:$A$503,A43),0))</f>
        <v/>
      </c>
      <c r="R43" s="17" t="str">
        <f>IF(A43="","",IFERROR(SUMIFS(PROGRAMA_DETALLE!$I$4:$I$503,PROGRAMA_DETALLE!$A$4:$A$503,A43),0))</f>
        <v/>
      </c>
      <c r="S43" s="10"/>
      <c r="T43" s="17">
        <f t="shared" si="1"/>
        <v>0</v>
      </c>
      <c r="U43" s="18">
        <f t="shared" si="2"/>
        <v>0</v>
      </c>
      <c r="V43" s="19" t="str">
        <f>IF(A43="","",IFERROR(SUMIFS(PROGRAMA_DETALLE!$R$4:$R$503,PROGRAMA_DETALLE!$A$4:$A$503,A43),0))</f>
        <v/>
      </c>
      <c r="W43" s="19" t="str">
        <f>IF(A43="","",IFERROR(SUMIFS(PROGRAMA_DETALLE!$S$4:$S$503,PROGRAMA_DETALLE!$A$4:$A$503,A43),0))</f>
        <v/>
      </c>
      <c r="X43" s="19">
        <f t="shared" si="3"/>
        <v>0</v>
      </c>
      <c r="Y43" s="20">
        <f t="shared" si="4"/>
        <v>0</v>
      </c>
      <c r="Z43" s="21">
        <f t="shared" si="5"/>
        <v>0</v>
      </c>
      <c r="AA43" s="22">
        <f t="shared" si="6"/>
        <v>0</v>
      </c>
      <c r="AB43" s="23">
        <f>IFERROR(W43*DASHBOARD!$C$2,0)</f>
        <v>0</v>
      </c>
      <c r="AC43" s="24"/>
      <c r="AD43" s="7"/>
      <c r="AE43" s="25">
        <f>IFERROR(N43+IFERROR(SUMIFS(PROGRAMA_DETALLE!$M$4:$M$503,PROGRAMA_DETALLE!$A$4:$A$503,A43),0)+IFERROR(SUMIFS(PROGRAMA_DETALLE!$Z$4:$Z$503,PROGRAMA_DETALLE!$A$4:$A$503,A43),0)+AB43,0)</f>
        <v>0</v>
      </c>
      <c r="AF43" s="25">
        <f t="shared" si="7"/>
        <v>0</v>
      </c>
      <c r="AG43" s="26">
        <f t="shared" si="8"/>
        <v>0</v>
      </c>
    </row>
    <row r="44" ht="15.75" customHeight="1">
      <c r="A44" s="6"/>
      <c r="B44" s="7"/>
      <c r="C44" s="6"/>
      <c r="D44" s="8"/>
      <c r="E44" s="9"/>
      <c r="F44" s="10"/>
      <c r="G44" s="8"/>
      <c r="H44" s="8"/>
      <c r="I44" s="8"/>
      <c r="J44" s="6"/>
      <c r="K44" s="11">
        <f>IFERROR(SUMIFS(PROGRAMA_DETALLE!$E$4:$E$503,PROGRAMA_DETALLE!$A$4:$A$503,A44),0)</f>
        <v>0</v>
      </c>
      <c r="L44" s="12">
        <f>IFERROR(SUMIFS(PROGRAMA_DETALLE!$F$4:$F$503,PROGRAMA_DETALLE!$A$4:$A$503,A44),0)</f>
        <v>0</v>
      </c>
      <c r="M44" s="13" t="str">
        <f>IF(A44="","",IFERROR(SUMIFS(COMPRAS_HILO!$D$4:$D$203,COMPRAS_HILO!$B$4:$B$203,A44),0))</f>
        <v/>
      </c>
      <c r="N44" s="14" t="str">
        <f>IF(A44="","",IFERROR(SUMIFS(COMPRAS_HILO!$H$4:$H$203,COMPRAS_HILO!$B$4:$B$203,A44),0))</f>
        <v/>
      </c>
      <c r="O44" s="15" t="str">
        <f>IFERROR(IF(SUMPRODUCT((COMPRAS_HILO!$B$4:$B$203=A44)*1)=0,"",LOOKUP(2,1/((COMPRAS_HILO!$B$4:$B$203=A44)*(COMPRAS_HILO!$J$4:$J$203&lt;&gt;"")),COMPRAS_HILO!$J$4:$J$203)),"")</f>
        <v/>
      </c>
      <c r="P44" s="16"/>
      <c r="Q44" s="17" t="str">
        <f>IF(A44="","",IFERROR(SUMIFS(PROGRAMA_DETALLE!$H$4:$H$503,PROGRAMA_DETALLE!$A$4:$A$503,A44),0))</f>
        <v/>
      </c>
      <c r="R44" s="17" t="str">
        <f>IF(A44="","",IFERROR(SUMIFS(PROGRAMA_DETALLE!$I$4:$I$503,PROGRAMA_DETALLE!$A$4:$A$503,A44),0))</f>
        <v/>
      </c>
      <c r="S44" s="10"/>
      <c r="T44" s="17">
        <f t="shared" si="1"/>
        <v>0</v>
      </c>
      <c r="U44" s="18">
        <f t="shared" si="2"/>
        <v>0</v>
      </c>
      <c r="V44" s="19" t="str">
        <f>IF(A44="","",IFERROR(SUMIFS(PROGRAMA_DETALLE!$R$4:$R$503,PROGRAMA_DETALLE!$A$4:$A$503,A44),0))</f>
        <v/>
      </c>
      <c r="W44" s="19" t="str">
        <f>IF(A44="","",IFERROR(SUMIFS(PROGRAMA_DETALLE!$S$4:$S$503,PROGRAMA_DETALLE!$A$4:$A$503,A44),0))</f>
        <v/>
      </c>
      <c r="X44" s="19">
        <f t="shared" si="3"/>
        <v>0</v>
      </c>
      <c r="Y44" s="20">
        <f t="shared" si="4"/>
        <v>0</v>
      </c>
      <c r="Z44" s="21">
        <f t="shared" si="5"/>
        <v>0</v>
      </c>
      <c r="AA44" s="22">
        <f t="shared" si="6"/>
        <v>0</v>
      </c>
      <c r="AB44" s="23">
        <f>IFERROR(W44*DASHBOARD!$C$2,0)</f>
        <v>0</v>
      </c>
      <c r="AC44" s="24"/>
      <c r="AD44" s="7"/>
      <c r="AE44" s="25">
        <f>IFERROR(N44+IFERROR(SUMIFS(PROGRAMA_DETALLE!$M$4:$M$503,PROGRAMA_DETALLE!$A$4:$A$503,A44),0)+IFERROR(SUMIFS(PROGRAMA_DETALLE!$Z$4:$Z$503,PROGRAMA_DETALLE!$A$4:$A$503,A44),0)+AB44,0)</f>
        <v>0</v>
      </c>
      <c r="AF44" s="25">
        <f t="shared" si="7"/>
        <v>0</v>
      </c>
      <c r="AG44" s="26">
        <f t="shared" si="8"/>
        <v>0</v>
      </c>
    </row>
    <row r="45" ht="15.75" customHeight="1">
      <c r="A45" s="6"/>
      <c r="B45" s="7"/>
      <c r="C45" s="6"/>
      <c r="D45" s="8"/>
      <c r="E45" s="9"/>
      <c r="F45" s="10"/>
      <c r="G45" s="8"/>
      <c r="H45" s="8"/>
      <c r="I45" s="8"/>
      <c r="J45" s="6"/>
      <c r="K45" s="11">
        <f>IFERROR(SUMIFS(PROGRAMA_DETALLE!$E$4:$E$503,PROGRAMA_DETALLE!$A$4:$A$503,A45),0)</f>
        <v>0</v>
      </c>
      <c r="L45" s="12">
        <f>IFERROR(SUMIFS(PROGRAMA_DETALLE!$F$4:$F$503,PROGRAMA_DETALLE!$A$4:$A$503,A45),0)</f>
        <v>0</v>
      </c>
      <c r="M45" s="13" t="str">
        <f>IF(A45="","",IFERROR(SUMIFS(COMPRAS_HILO!$D$4:$D$203,COMPRAS_HILO!$B$4:$B$203,A45),0))</f>
        <v/>
      </c>
      <c r="N45" s="14" t="str">
        <f>IF(A45="","",IFERROR(SUMIFS(COMPRAS_HILO!$H$4:$H$203,COMPRAS_HILO!$B$4:$B$203,A45),0))</f>
        <v/>
      </c>
      <c r="O45" s="15" t="str">
        <f>IFERROR(IF(SUMPRODUCT((COMPRAS_HILO!$B$4:$B$203=A45)*1)=0,"",LOOKUP(2,1/((COMPRAS_HILO!$B$4:$B$203=A45)*(COMPRAS_HILO!$J$4:$J$203&lt;&gt;"")),COMPRAS_HILO!$J$4:$J$203)),"")</f>
        <v/>
      </c>
      <c r="P45" s="16"/>
      <c r="Q45" s="17" t="str">
        <f>IF(A45="","",IFERROR(SUMIFS(PROGRAMA_DETALLE!$H$4:$H$503,PROGRAMA_DETALLE!$A$4:$A$503,A45),0))</f>
        <v/>
      </c>
      <c r="R45" s="17" t="str">
        <f>IF(A45="","",IFERROR(SUMIFS(PROGRAMA_DETALLE!$I$4:$I$503,PROGRAMA_DETALLE!$A$4:$A$503,A45),0))</f>
        <v/>
      </c>
      <c r="S45" s="10"/>
      <c r="T45" s="17">
        <f t="shared" si="1"/>
        <v>0</v>
      </c>
      <c r="U45" s="18">
        <f t="shared" si="2"/>
        <v>0</v>
      </c>
      <c r="V45" s="19" t="str">
        <f>IF(A45="","",IFERROR(SUMIFS(PROGRAMA_DETALLE!$R$4:$R$503,PROGRAMA_DETALLE!$A$4:$A$503,A45),0))</f>
        <v/>
      </c>
      <c r="W45" s="19" t="str">
        <f>IF(A45="","",IFERROR(SUMIFS(PROGRAMA_DETALLE!$S$4:$S$503,PROGRAMA_DETALLE!$A$4:$A$503,A45),0))</f>
        <v/>
      </c>
      <c r="X45" s="19">
        <f t="shared" si="3"/>
        <v>0</v>
      </c>
      <c r="Y45" s="20">
        <f t="shared" si="4"/>
        <v>0</v>
      </c>
      <c r="Z45" s="21">
        <f t="shared" si="5"/>
        <v>0</v>
      </c>
      <c r="AA45" s="22">
        <f t="shared" si="6"/>
        <v>0</v>
      </c>
      <c r="AB45" s="23">
        <f>IFERROR(W45*DASHBOARD!$C$2,0)</f>
        <v>0</v>
      </c>
      <c r="AC45" s="24"/>
      <c r="AD45" s="7"/>
      <c r="AE45" s="25">
        <f>IFERROR(N45+IFERROR(SUMIFS(PROGRAMA_DETALLE!$M$4:$M$503,PROGRAMA_DETALLE!$A$4:$A$503,A45),0)+IFERROR(SUMIFS(PROGRAMA_DETALLE!$Z$4:$Z$503,PROGRAMA_DETALLE!$A$4:$A$503,A45),0)+AB45,0)</f>
        <v>0</v>
      </c>
      <c r="AF45" s="25">
        <f t="shared" si="7"/>
        <v>0</v>
      </c>
      <c r="AG45" s="26">
        <f t="shared" si="8"/>
        <v>0</v>
      </c>
    </row>
    <row r="46" ht="15.75" customHeight="1">
      <c r="A46" s="6"/>
      <c r="B46" s="7"/>
      <c r="C46" s="6"/>
      <c r="D46" s="8"/>
      <c r="E46" s="9"/>
      <c r="F46" s="10"/>
      <c r="G46" s="8"/>
      <c r="H46" s="8"/>
      <c r="I46" s="8"/>
      <c r="J46" s="6"/>
      <c r="K46" s="11">
        <f>IFERROR(SUMIFS(PROGRAMA_DETALLE!$E$4:$E$503,PROGRAMA_DETALLE!$A$4:$A$503,A46),0)</f>
        <v>0</v>
      </c>
      <c r="L46" s="12">
        <f>IFERROR(SUMIFS(PROGRAMA_DETALLE!$F$4:$F$503,PROGRAMA_DETALLE!$A$4:$A$503,A46),0)</f>
        <v>0</v>
      </c>
      <c r="M46" s="13" t="str">
        <f>IF(A46="","",IFERROR(SUMIFS(COMPRAS_HILO!$D$4:$D$203,COMPRAS_HILO!$B$4:$B$203,A46),0))</f>
        <v/>
      </c>
      <c r="N46" s="14" t="str">
        <f>IF(A46="","",IFERROR(SUMIFS(COMPRAS_HILO!$H$4:$H$203,COMPRAS_HILO!$B$4:$B$203,A46),0))</f>
        <v/>
      </c>
      <c r="O46" s="15" t="str">
        <f>IFERROR(IF(SUMPRODUCT((COMPRAS_HILO!$B$4:$B$203=A46)*1)=0,"",LOOKUP(2,1/((COMPRAS_HILO!$B$4:$B$203=A46)*(COMPRAS_HILO!$J$4:$J$203&lt;&gt;"")),COMPRAS_HILO!$J$4:$J$203)),"")</f>
        <v/>
      </c>
      <c r="P46" s="16"/>
      <c r="Q46" s="17" t="str">
        <f>IF(A46="","",IFERROR(SUMIFS(PROGRAMA_DETALLE!$H$4:$H$503,PROGRAMA_DETALLE!$A$4:$A$503,A46),0))</f>
        <v/>
      </c>
      <c r="R46" s="17" t="str">
        <f>IF(A46="","",IFERROR(SUMIFS(PROGRAMA_DETALLE!$I$4:$I$503,PROGRAMA_DETALLE!$A$4:$A$503,A46),0))</f>
        <v/>
      </c>
      <c r="S46" s="10"/>
      <c r="T46" s="17">
        <f t="shared" si="1"/>
        <v>0</v>
      </c>
      <c r="U46" s="18">
        <f t="shared" si="2"/>
        <v>0</v>
      </c>
      <c r="V46" s="19" t="str">
        <f>IF(A46="","",IFERROR(SUMIFS(PROGRAMA_DETALLE!$R$4:$R$503,PROGRAMA_DETALLE!$A$4:$A$503,A46),0))</f>
        <v/>
      </c>
      <c r="W46" s="19" t="str">
        <f>IF(A46="","",IFERROR(SUMIFS(PROGRAMA_DETALLE!$S$4:$S$503,PROGRAMA_DETALLE!$A$4:$A$503,A46),0))</f>
        <v/>
      </c>
      <c r="X46" s="19">
        <f t="shared" si="3"/>
        <v>0</v>
      </c>
      <c r="Y46" s="20">
        <f t="shared" si="4"/>
        <v>0</v>
      </c>
      <c r="Z46" s="21">
        <f t="shared" si="5"/>
        <v>0</v>
      </c>
      <c r="AA46" s="22">
        <f t="shared" si="6"/>
        <v>0</v>
      </c>
      <c r="AB46" s="23">
        <f>IFERROR(W46*DASHBOARD!$C$2,0)</f>
        <v>0</v>
      </c>
      <c r="AC46" s="24"/>
      <c r="AD46" s="7"/>
      <c r="AE46" s="25">
        <f>IFERROR(N46+IFERROR(SUMIFS(PROGRAMA_DETALLE!$M$4:$M$503,PROGRAMA_DETALLE!$A$4:$A$503,A46),0)+IFERROR(SUMIFS(PROGRAMA_DETALLE!$Z$4:$Z$503,PROGRAMA_DETALLE!$A$4:$A$503,A46),0)+AB46,0)</f>
        <v>0</v>
      </c>
      <c r="AF46" s="25">
        <f t="shared" si="7"/>
        <v>0</v>
      </c>
      <c r="AG46" s="26">
        <f t="shared" si="8"/>
        <v>0</v>
      </c>
    </row>
    <row r="47" ht="15.75" customHeight="1">
      <c r="A47" s="6"/>
      <c r="B47" s="7"/>
      <c r="C47" s="6"/>
      <c r="D47" s="8"/>
      <c r="E47" s="9"/>
      <c r="F47" s="10"/>
      <c r="G47" s="8"/>
      <c r="H47" s="8"/>
      <c r="I47" s="8"/>
      <c r="J47" s="6"/>
      <c r="K47" s="11">
        <f>IFERROR(SUMIFS(PROGRAMA_DETALLE!$E$4:$E$503,PROGRAMA_DETALLE!$A$4:$A$503,A47),0)</f>
        <v>0</v>
      </c>
      <c r="L47" s="12">
        <f>IFERROR(SUMIFS(PROGRAMA_DETALLE!$F$4:$F$503,PROGRAMA_DETALLE!$A$4:$A$503,A47),0)</f>
        <v>0</v>
      </c>
      <c r="M47" s="13" t="str">
        <f>IF(A47="","",IFERROR(SUMIFS(COMPRAS_HILO!$D$4:$D$203,COMPRAS_HILO!$B$4:$B$203,A47),0))</f>
        <v/>
      </c>
      <c r="N47" s="14" t="str">
        <f>IF(A47="","",IFERROR(SUMIFS(COMPRAS_HILO!$H$4:$H$203,COMPRAS_HILO!$B$4:$B$203,A47),0))</f>
        <v/>
      </c>
      <c r="O47" s="15" t="str">
        <f>IFERROR(IF(SUMPRODUCT((COMPRAS_HILO!$B$4:$B$203=A47)*1)=0,"",LOOKUP(2,1/((COMPRAS_HILO!$B$4:$B$203=A47)*(COMPRAS_HILO!$J$4:$J$203&lt;&gt;"")),COMPRAS_HILO!$J$4:$J$203)),"")</f>
        <v/>
      </c>
      <c r="P47" s="16"/>
      <c r="Q47" s="17" t="str">
        <f>IF(A47="","",IFERROR(SUMIFS(PROGRAMA_DETALLE!$H$4:$H$503,PROGRAMA_DETALLE!$A$4:$A$503,A47),0))</f>
        <v/>
      </c>
      <c r="R47" s="17" t="str">
        <f>IF(A47="","",IFERROR(SUMIFS(PROGRAMA_DETALLE!$I$4:$I$503,PROGRAMA_DETALLE!$A$4:$A$503,A47),0))</f>
        <v/>
      </c>
      <c r="S47" s="10"/>
      <c r="T47" s="17">
        <f t="shared" si="1"/>
        <v>0</v>
      </c>
      <c r="U47" s="18">
        <f t="shared" si="2"/>
        <v>0</v>
      </c>
      <c r="V47" s="19" t="str">
        <f>IF(A47="","",IFERROR(SUMIFS(PROGRAMA_DETALLE!$R$4:$R$503,PROGRAMA_DETALLE!$A$4:$A$503,A47),0))</f>
        <v/>
      </c>
      <c r="W47" s="19" t="str">
        <f>IF(A47="","",IFERROR(SUMIFS(PROGRAMA_DETALLE!$S$4:$S$503,PROGRAMA_DETALLE!$A$4:$A$503,A47),0))</f>
        <v/>
      </c>
      <c r="X47" s="19">
        <f t="shared" si="3"/>
        <v>0</v>
      </c>
      <c r="Y47" s="20">
        <f t="shared" si="4"/>
        <v>0</v>
      </c>
      <c r="Z47" s="21">
        <f t="shared" si="5"/>
        <v>0</v>
      </c>
      <c r="AA47" s="22">
        <f t="shared" si="6"/>
        <v>0</v>
      </c>
      <c r="AB47" s="23">
        <f>IFERROR(W47*DASHBOARD!$C$2,0)</f>
        <v>0</v>
      </c>
      <c r="AC47" s="24"/>
      <c r="AD47" s="7"/>
      <c r="AE47" s="25">
        <f>IFERROR(N47+IFERROR(SUMIFS(PROGRAMA_DETALLE!$M$4:$M$503,PROGRAMA_DETALLE!$A$4:$A$503,A47),0)+IFERROR(SUMIFS(PROGRAMA_DETALLE!$Z$4:$Z$503,PROGRAMA_DETALLE!$A$4:$A$503,A47),0)+AB47,0)</f>
        <v>0</v>
      </c>
      <c r="AF47" s="25">
        <f t="shared" si="7"/>
        <v>0</v>
      </c>
      <c r="AG47" s="26">
        <f t="shared" si="8"/>
        <v>0</v>
      </c>
    </row>
    <row r="48" ht="15.75" customHeight="1">
      <c r="A48" s="6"/>
      <c r="B48" s="7"/>
      <c r="C48" s="6"/>
      <c r="D48" s="8"/>
      <c r="E48" s="9"/>
      <c r="F48" s="10"/>
      <c r="G48" s="8"/>
      <c r="H48" s="8"/>
      <c r="I48" s="8"/>
      <c r="J48" s="6"/>
      <c r="K48" s="11">
        <f>IFERROR(SUMIFS(PROGRAMA_DETALLE!$E$4:$E$503,PROGRAMA_DETALLE!$A$4:$A$503,A48),0)</f>
        <v>0</v>
      </c>
      <c r="L48" s="12">
        <f>IFERROR(SUMIFS(PROGRAMA_DETALLE!$F$4:$F$503,PROGRAMA_DETALLE!$A$4:$A$503,A48),0)</f>
        <v>0</v>
      </c>
      <c r="M48" s="13" t="str">
        <f>IF(A48="","",IFERROR(SUMIFS(COMPRAS_HILO!$D$4:$D$203,COMPRAS_HILO!$B$4:$B$203,A48),0))</f>
        <v/>
      </c>
      <c r="N48" s="14" t="str">
        <f>IF(A48="","",IFERROR(SUMIFS(COMPRAS_HILO!$H$4:$H$203,COMPRAS_HILO!$B$4:$B$203,A48),0))</f>
        <v/>
      </c>
      <c r="O48" s="15" t="str">
        <f>IFERROR(IF(SUMPRODUCT((COMPRAS_HILO!$B$4:$B$203=A48)*1)=0,"",LOOKUP(2,1/((COMPRAS_HILO!$B$4:$B$203=A48)*(COMPRAS_HILO!$J$4:$J$203&lt;&gt;"")),COMPRAS_HILO!$J$4:$J$203)),"")</f>
        <v/>
      </c>
      <c r="P48" s="16"/>
      <c r="Q48" s="17" t="str">
        <f>IF(A48="","",IFERROR(SUMIFS(PROGRAMA_DETALLE!$H$4:$H$503,PROGRAMA_DETALLE!$A$4:$A$503,A48),0))</f>
        <v/>
      </c>
      <c r="R48" s="17" t="str">
        <f>IF(A48="","",IFERROR(SUMIFS(PROGRAMA_DETALLE!$I$4:$I$503,PROGRAMA_DETALLE!$A$4:$A$503,A48),0))</f>
        <v/>
      </c>
      <c r="S48" s="10"/>
      <c r="T48" s="17">
        <f t="shared" si="1"/>
        <v>0</v>
      </c>
      <c r="U48" s="18">
        <f t="shared" si="2"/>
        <v>0</v>
      </c>
      <c r="V48" s="19" t="str">
        <f>IF(A48="","",IFERROR(SUMIFS(PROGRAMA_DETALLE!$R$4:$R$503,PROGRAMA_DETALLE!$A$4:$A$503,A48),0))</f>
        <v/>
      </c>
      <c r="W48" s="19" t="str">
        <f>IF(A48="","",IFERROR(SUMIFS(PROGRAMA_DETALLE!$S$4:$S$503,PROGRAMA_DETALLE!$A$4:$A$503,A48),0))</f>
        <v/>
      </c>
      <c r="X48" s="19">
        <f t="shared" si="3"/>
        <v>0</v>
      </c>
      <c r="Y48" s="20">
        <f t="shared" si="4"/>
        <v>0</v>
      </c>
      <c r="Z48" s="21">
        <f t="shared" si="5"/>
        <v>0</v>
      </c>
      <c r="AA48" s="22">
        <f t="shared" si="6"/>
        <v>0</v>
      </c>
      <c r="AB48" s="23">
        <f>IFERROR(W48*DASHBOARD!$C$2,0)</f>
        <v>0</v>
      </c>
      <c r="AC48" s="24"/>
      <c r="AD48" s="7"/>
      <c r="AE48" s="25">
        <f>IFERROR(N48+IFERROR(SUMIFS(PROGRAMA_DETALLE!$M$4:$M$503,PROGRAMA_DETALLE!$A$4:$A$503,A48),0)+IFERROR(SUMIFS(PROGRAMA_DETALLE!$Z$4:$Z$503,PROGRAMA_DETALLE!$A$4:$A$503,A48),0)+AB48,0)</f>
        <v>0</v>
      </c>
      <c r="AF48" s="25">
        <f t="shared" si="7"/>
        <v>0</v>
      </c>
      <c r="AG48" s="26">
        <f t="shared" si="8"/>
        <v>0</v>
      </c>
    </row>
    <row r="49" ht="15.75" customHeight="1">
      <c r="A49" s="6"/>
      <c r="B49" s="7"/>
      <c r="C49" s="6"/>
      <c r="D49" s="8"/>
      <c r="E49" s="9"/>
      <c r="F49" s="10"/>
      <c r="G49" s="8"/>
      <c r="H49" s="8"/>
      <c r="I49" s="8"/>
      <c r="J49" s="6"/>
      <c r="K49" s="11">
        <f>IFERROR(SUMIFS(PROGRAMA_DETALLE!$E$4:$E$503,PROGRAMA_DETALLE!$A$4:$A$503,A49),0)</f>
        <v>0</v>
      </c>
      <c r="L49" s="12">
        <f>IFERROR(SUMIFS(PROGRAMA_DETALLE!$F$4:$F$503,PROGRAMA_DETALLE!$A$4:$A$503,A49),0)</f>
        <v>0</v>
      </c>
      <c r="M49" s="13" t="str">
        <f>IF(A49="","",IFERROR(SUMIFS(COMPRAS_HILO!$D$4:$D$203,COMPRAS_HILO!$B$4:$B$203,A49),0))</f>
        <v/>
      </c>
      <c r="N49" s="14" t="str">
        <f>IF(A49="","",IFERROR(SUMIFS(COMPRAS_HILO!$H$4:$H$203,COMPRAS_HILO!$B$4:$B$203,A49),0))</f>
        <v/>
      </c>
      <c r="O49" s="15" t="str">
        <f>IFERROR(IF(SUMPRODUCT((COMPRAS_HILO!$B$4:$B$203=A49)*1)=0,"",LOOKUP(2,1/((COMPRAS_HILO!$B$4:$B$203=A49)*(COMPRAS_HILO!$J$4:$J$203&lt;&gt;"")),COMPRAS_HILO!$J$4:$J$203)),"")</f>
        <v/>
      </c>
      <c r="P49" s="16"/>
      <c r="Q49" s="17" t="str">
        <f>IF(A49="","",IFERROR(SUMIFS(PROGRAMA_DETALLE!$H$4:$H$503,PROGRAMA_DETALLE!$A$4:$A$503,A49),0))</f>
        <v/>
      </c>
      <c r="R49" s="17" t="str">
        <f>IF(A49="","",IFERROR(SUMIFS(PROGRAMA_DETALLE!$I$4:$I$503,PROGRAMA_DETALLE!$A$4:$A$503,A49),0))</f>
        <v/>
      </c>
      <c r="S49" s="10"/>
      <c r="T49" s="17">
        <f t="shared" si="1"/>
        <v>0</v>
      </c>
      <c r="U49" s="18">
        <f t="shared" si="2"/>
        <v>0</v>
      </c>
      <c r="V49" s="19" t="str">
        <f>IF(A49="","",IFERROR(SUMIFS(PROGRAMA_DETALLE!$R$4:$R$503,PROGRAMA_DETALLE!$A$4:$A$503,A49),0))</f>
        <v/>
      </c>
      <c r="W49" s="19" t="str">
        <f>IF(A49="","",IFERROR(SUMIFS(PROGRAMA_DETALLE!$S$4:$S$503,PROGRAMA_DETALLE!$A$4:$A$503,A49),0))</f>
        <v/>
      </c>
      <c r="X49" s="19">
        <f t="shared" si="3"/>
        <v>0</v>
      </c>
      <c r="Y49" s="20">
        <f t="shared" si="4"/>
        <v>0</v>
      </c>
      <c r="Z49" s="21">
        <f t="shared" si="5"/>
        <v>0</v>
      </c>
      <c r="AA49" s="22">
        <f t="shared" si="6"/>
        <v>0</v>
      </c>
      <c r="AB49" s="23">
        <f>IFERROR(W49*DASHBOARD!$C$2,0)</f>
        <v>0</v>
      </c>
      <c r="AC49" s="24"/>
      <c r="AD49" s="7"/>
      <c r="AE49" s="25">
        <f>IFERROR(N49+IFERROR(SUMIFS(PROGRAMA_DETALLE!$M$4:$M$503,PROGRAMA_DETALLE!$A$4:$A$503,A49),0)+IFERROR(SUMIFS(PROGRAMA_DETALLE!$Z$4:$Z$503,PROGRAMA_DETALLE!$A$4:$A$503,A49),0)+AB49,0)</f>
        <v>0</v>
      </c>
      <c r="AF49" s="25">
        <f t="shared" si="7"/>
        <v>0</v>
      </c>
      <c r="AG49" s="26">
        <f t="shared" si="8"/>
        <v>0</v>
      </c>
    </row>
    <row r="50" ht="15.75" customHeight="1">
      <c r="A50" s="6"/>
      <c r="B50" s="7"/>
      <c r="C50" s="6"/>
      <c r="D50" s="8"/>
      <c r="E50" s="9"/>
      <c r="F50" s="10"/>
      <c r="G50" s="8"/>
      <c r="H50" s="8"/>
      <c r="I50" s="8"/>
      <c r="J50" s="6"/>
      <c r="K50" s="11">
        <f>IFERROR(SUMIFS(PROGRAMA_DETALLE!$E$4:$E$503,PROGRAMA_DETALLE!$A$4:$A$503,A50),0)</f>
        <v>0</v>
      </c>
      <c r="L50" s="12">
        <f>IFERROR(SUMIFS(PROGRAMA_DETALLE!$F$4:$F$503,PROGRAMA_DETALLE!$A$4:$A$503,A50),0)</f>
        <v>0</v>
      </c>
      <c r="M50" s="13" t="str">
        <f>IF(A50="","",IFERROR(SUMIFS(COMPRAS_HILO!$D$4:$D$203,COMPRAS_HILO!$B$4:$B$203,A50),0))</f>
        <v/>
      </c>
      <c r="N50" s="14" t="str">
        <f>IF(A50="","",IFERROR(SUMIFS(COMPRAS_HILO!$H$4:$H$203,COMPRAS_HILO!$B$4:$B$203,A50),0))</f>
        <v/>
      </c>
      <c r="O50" s="15" t="str">
        <f>IFERROR(IF(SUMPRODUCT((COMPRAS_HILO!$B$4:$B$203=A50)*1)=0,"",LOOKUP(2,1/((COMPRAS_HILO!$B$4:$B$203=A50)*(COMPRAS_HILO!$J$4:$J$203&lt;&gt;"")),COMPRAS_HILO!$J$4:$J$203)),"")</f>
        <v/>
      </c>
      <c r="P50" s="16"/>
      <c r="Q50" s="17" t="str">
        <f>IF(A50="","",IFERROR(SUMIFS(PROGRAMA_DETALLE!$H$4:$H$503,PROGRAMA_DETALLE!$A$4:$A$503,A50),0))</f>
        <v/>
      </c>
      <c r="R50" s="17" t="str">
        <f>IF(A50="","",IFERROR(SUMIFS(PROGRAMA_DETALLE!$I$4:$I$503,PROGRAMA_DETALLE!$A$4:$A$503,A50),0))</f>
        <v/>
      </c>
      <c r="S50" s="10"/>
      <c r="T50" s="17">
        <f t="shared" si="1"/>
        <v>0</v>
      </c>
      <c r="U50" s="18">
        <f t="shared" si="2"/>
        <v>0</v>
      </c>
      <c r="V50" s="19" t="str">
        <f>IF(A50="","",IFERROR(SUMIFS(PROGRAMA_DETALLE!$R$4:$R$503,PROGRAMA_DETALLE!$A$4:$A$503,A50),0))</f>
        <v/>
      </c>
      <c r="W50" s="19" t="str">
        <f>IF(A50="","",IFERROR(SUMIFS(PROGRAMA_DETALLE!$S$4:$S$503,PROGRAMA_DETALLE!$A$4:$A$503,A50),0))</f>
        <v/>
      </c>
      <c r="X50" s="19">
        <f t="shared" si="3"/>
        <v>0</v>
      </c>
      <c r="Y50" s="20">
        <f t="shared" si="4"/>
        <v>0</v>
      </c>
      <c r="Z50" s="21">
        <f t="shared" si="5"/>
        <v>0</v>
      </c>
      <c r="AA50" s="22">
        <f t="shared" si="6"/>
        <v>0</v>
      </c>
      <c r="AB50" s="23">
        <f>IFERROR(W50*DASHBOARD!$C$2,0)</f>
        <v>0</v>
      </c>
      <c r="AC50" s="24"/>
      <c r="AD50" s="7"/>
      <c r="AE50" s="25">
        <f>IFERROR(N50+IFERROR(SUMIFS(PROGRAMA_DETALLE!$M$4:$M$503,PROGRAMA_DETALLE!$A$4:$A$503,A50),0)+IFERROR(SUMIFS(PROGRAMA_DETALLE!$Z$4:$Z$503,PROGRAMA_DETALLE!$A$4:$A$503,A50),0)+AB50,0)</f>
        <v>0</v>
      </c>
      <c r="AF50" s="25">
        <f t="shared" si="7"/>
        <v>0</v>
      </c>
      <c r="AG50" s="26">
        <f t="shared" si="8"/>
        <v>0</v>
      </c>
    </row>
    <row r="51" ht="15.75" customHeight="1">
      <c r="A51" s="6"/>
      <c r="B51" s="7"/>
      <c r="C51" s="6"/>
      <c r="D51" s="8"/>
      <c r="E51" s="9"/>
      <c r="F51" s="10"/>
      <c r="G51" s="8"/>
      <c r="H51" s="8"/>
      <c r="I51" s="8"/>
      <c r="J51" s="6"/>
      <c r="K51" s="11">
        <f>IFERROR(SUMIFS(PROGRAMA_DETALLE!$E$4:$E$503,PROGRAMA_DETALLE!$A$4:$A$503,A51),0)</f>
        <v>0</v>
      </c>
      <c r="L51" s="12">
        <f>IFERROR(SUMIFS(PROGRAMA_DETALLE!$F$4:$F$503,PROGRAMA_DETALLE!$A$4:$A$503,A51),0)</f>
        <v>0</v>
      </c>
      <c r="M51" s="13" t="str">
        <f>IF(A51="","",IFERROR(SUMIFS(COMPRAS_HILO!$D$4:$D$203,COMPRAS_HILO!$B$4:$B$203,A51),0))</f>
        <v/>
      </c>
      <c r="N51" s="14" t="str">
        <f>IF(A51="","",IFERROR(SUMIFS(COMPRAS_HILO!$H$4:$H$203,COMPRAS_HILO!$B$4:$B$203,A51),0))</f>
        <v/>
      </c>
      <c r="O51" s="15" t="str">
        <f>IFERROR(IF(SUMPRODUCT((COMPRAS_HILO!$B$4:$B$203=A51)*1)=0,"",LOOKUP(2,1/((COMPRAS_HILO!$B$4:$B$203=A51)*(COMPRAS_HILO!$J$4:$J$203&lt;&gt;"")),COMPRAS_HILO!$J$4:$J$203)),"")</f>
        <v/>
      </c>
      <c r="P51" s="16"/>
      <c r="Q51" s="17" t="str">
        <f>IF(A51="","",IFERROR(SUMIFS(PROGRAMA_DETALLE!$H$4:$H$503,PROGRAMA_DETALLE!$A$4:$A$503,A51),0))</f>
        <v/>
      </c>
      <c r="R51" s="17" t="str">
        <f>IF(A51="","",IFERROR(SUMIFS(PROGRAMA_DETALLE!$I$4:$I$503,PROGRAMA_DETALLE!$A$4:$A$503,A51),0))</f>
        <v/>
      </c>
      <c r="S51" s="10"/>
      <c r="T51" s="17">
        <f t="shared" si="1"/>
        <v>0</v>
      </c>
      <c r="U51" s="18">
        <f t="shared" si="2"/>
        <v>0</v>
      </c>
      <c r="V51" s="19" t="str">
        <f>IF(A51="","",IFERROR(SUMIFS(PROGRAMA_DETALLE!$R$4:$R$503,PROGRAMA_DETALLE!$A$4:$A$503,A51),0))</f>
        <v/>
      </c>
      <c r="W51" s="19" t="str">
        <f>IF(A51="","",IFERROR(SUMIFS(PROGRAMA_DETALLE!$S$4:$S$503,PROGRAMA_DETALLE!$A$4:$A$503,A51),0))</f>
        <v/>
      </c>
      <c r="X51" s="19">
        <f t="shared" si="3"/>
        <v>0</v>
      </c>
      <c r="Y51" s="20">
        <f t="shared" si="4"/>
        <v>0</v>
      </c>
      <c r="Z51" s="21">
        <f t="shared" si="5"/>
        <v>0</v>
      </c>
      <c r="AA51" s="22">
        <f t="shared" si="6"/>
        <v>0</v>
      </c>
      <c r="AB51" s="23">
        <f>IFERROR(W51*DASHBOARD!$C$2,0)</f>
        <v>0</v>
      </c>
      <c r="AC51" s="24"/>
      <c r="AD51" s="7"/>
      <c r="AE51" s="25">
        <f>IFERROR(N51+IFERROR(SUMIFS(PROGRAMA_DETALLE!$M$4:$M$503,PROGRAMA_DETALLE!$A$4:$A$503,A51),0)+IFERROR(SUMIFS(PROGRAMA_DETALLE!$Z$4:$Z$503,PROGRAMA_DETALLE!$A$4:$A$503,A51),0)+AB51,0)</f>
        <v>0</v>
      </c>
      <c r="AF51" s="25">
        <f t="shared" si="7"/>
        <v>0</v>
      </c>
      <c r="AG51" s="26">
        <f t="shared" si="8"/>
        <v>0</v>
      </c>
    </row>
    <row r="52" ht="15.75" customHeight="1">
      <c r="A52" s="6"/>
      <c r="B52" s="7"/>
      <c r="C52" s="6"/>
      <c r="D52" s="8"/>
      <c r="E52" s="9"/>
      <c r="F52" s="10"/>
      <c r="G52" s="8"/>
      <c r="H52" s="8"/>
      <c r="I52" s="8"/>
      <c r="J52" s="6"/>
      <c r="K52" s="11">
        <f>IFERROR(SUMIFS(PROGRAMA_DETALLE!$E$4:$E$503,PROGRAMA_DETALLE!$A$4:$A$503,A52),0)</f>
        <v>0</v>
      </c>
      <c r="L52" s="12">
        <f>IFERROR(SUMIFS(PROGRAMA_DETALLE!$F$4:$F$503,PROGRAMA_DETALLE!$A$4:$A$503,A52),0)</f>
        <v>0</v>
      </c>
      <c r="M52" s="13" t="str">
        <f>IF(A52="","",IFERROR(SUMIFS(COMPRAS_HILO!$D$4:$D$203,COMPRAS_HILO!$B$4:$B$203,A52),0))</f>
        <v/>
      </c>
      <c r="N52" s="14" t="str">
        <f>IF(A52="","",IFERROR(SUMIFS(COMPRAS_HILO!$H$4:$H$203,COMPRAS_HILO!$B$4:$B$203,A52),0))</f>
        <v/>
      </c>
      <c r="O52" s="15" t="str">
        <f>IFERROR(IF(SUMPRODUCT((COMPRAS_HILO!$B$4:$B$203=A52)*1)=0,"",LOOKUP(2,1/((COMPRAS_HILO!$B$4:$B$203=A52)*(COMPRAS_HILO!$J$4:$J$203&lt;&gt;"")),COMPRAS_HILO!$J$4:$J$203)),"")</f>
        <v/>
      </c>
      <c r="P52" s="16"/>
      <c r="Q52" s="17" t="str">
        <f>IF(A52="","",IFERROR(SUMIFS(PROGRAMA_DETALLE!$H$4:$H$503,PROGRAMA_DETALLE!$A$4:$A$503,A52),0))</f>
        <v/>
      </c>
      <c r="R52" s="17" t="str">
        <f>IF(A52="","",IFERROR(SUMIFS(PROGRAMA_DETALLE!$I$4:$I$503,PROGRAMA_DETALLE!$A$4:$A$503,A52),0))</f>
        <v/>
      </c>
      <c r="S52" s="10"/>
      <c r="T52" s="17">
        <f t="shared" si="1"/>
        <v>0</v>
      </c>
      <c r="U52" s="18">
        <f t="shared" si="2"/>
        <v>0</v>
      </c>
      <c r="V52" s="19" t="str">
        <f>IF(A52="","",IFERROR(SUMIFS(PROGRAMA_DETALLE!$R$4:$R$503,PROGRAMA_DETALLE!$A$4:$A$503,A52),0))</f>
        <v/>
      </c>
      <c r="W52" s="19" t="str">
        <f>IF(A52="","",IFERROR(SUMIFS(PROGRAMA_DETALLE!$S$4:$S$503,PROGRAMA_DETALLE!$A$4:$A$503,A52),0))</f>
        <v/>
      </c>
      <c r="X52" s="19">
        <f t="shared" si="3"/>
        <v>0</v>
      </c>
      <c r="Y52" s="20">
        <f t="shared" si="4"/>
        <v>0</v>
      </c>
      <c r="Z52" s="21">
        <f t="shared" si="5"/>
        <v>0</v>
      </c>
      <c r="AA52" s="22">
        <f t="shared" si="6"/>
        <v>0</v>
      </c>
      <c r="AB52" s="23">
        <f>IFERROR(W52*DASHBOARD!$C$2,0)</f>
        <v>0</v>
      </c>
      <c r="AC52" s="24"/>
      <c r="AD52" s="7"/>
      <c r="AE52" s="25">
        <f>IFERROR(N52+IFERROR(SUMIFS(PROGRAMA_DETALLE!$M$4:$M$503,PROGRAMA_DETALLE!$A$4:$A$503,A52),0)+IFERROR(SUMIFS(PROGRAMA_DETALLE!$Z$4:$Z$503,PROGRAMA_DETALLE!$A$4:$A$503,A52),0)+AB52,0)</f>
        <v>0</v>
      </c>
      <c r="AF52" s="25">
        <f t="shared" si="7"/>
        <v>0</v>
      </c>
      <c r="AG52" s="26">
        <f t="shared" si="8"/>
        <v>0</v>
      </c>
    </row>
    <row r="53" ht="15.75" customHeight="1">
      <c r="A53" s="6"/>
      <c r="B53" s="7"/>
      <c r="C53" s="6"/>
      <c r="D53" s="8"/>
      <c r="E53" s="9"/>
      <c r="F53" s="10"/>
      <c r="G53" s="8"/>
      <c r="H53" s="8"/>
      <c r="I53" s="8"/>
      <c r="J53" s="6"/>
      <c r="K53" s="11">
        <f>IFERROR(SUMIFS(PROGRAMA_DETALLE!$E$4:$E$503,PROGRAMA_DETALLE!$A$4:$A$503,A53),0)</f>
        <v>0</v>
      </c>
      <c r="L53" s="12">
        <f>IFERROR(SUMIFS(PROGRAMA_DETALLE!$F$4:$F$503,PROGRAMA_DETALLE!$A$4:$A$503,A53),0)</f>
        <v>0</v>
      </c>
      <c r="M53" s="13" t="str">
        <f>IF(A53="","",IFERROR(SUMIFS(COMPRAS_HILO!$D$4:$D$203,COMPRAS_HILO!$B$4:$B$203,A53),0))</f>
        <v/>
      </c>
      <c r="N53" s="14" t="str">
        <f>IF(A53="","",IFERROR(SUMIFS(COMPRAS_HILO!$H$4:$H$203,COMPRAS_HILO!$B$4:$B$203,A53),0))</f>
        <v/>
      </c>
      <c r="O53" s="15" t="str">
        <f>IFERROR(IF(SUMPRODUCT((COMPRAS_HILO!$B$4:$B$203=A53)*1)=0,"",LOOKUP(2,1/((COMPRAS_HILO!$B$4:$B$203=A53)*(COMPRAS_HILO!$J$4:$J$203&lt;&gt;"")),COMPRAS_HILO!$J$4:$J$203)),"")</f>
        <v/>
      </c>
      <c r="P53" s="16"/>
      <c r="Q53" s="17" t="str">
        <f>IF(A53="","",IFERROR(SUMIFS(PROGRAMA_DETALLE!$H$4:$H$503,PROGRAMA_DETALLE!$A$4:$A$503,A53),0))</f>
        <v/>
      </c>
      <c r="R53" s="17" t="str">
        <f>IF(A53="","",IFERROR(SUMIFS(PROGRAMA_DETALLE!$I$4:$I$503,PROGRAMA_DETALLE!$A$4:$A$503,A53),0))</f>
        <v/>
      </c>
      <c r="S53" s="10"/>
      <c r="T53" s="17">
        <f t="shared" si="1"/>
        <v>0</v>
      </c>
      <c r="U53" s="18">
        <f t="shared" si="2"/>
        <v>0</v>
      </c>
      <c r="V53" s="19" t="str">
        <f>IF(A53="","",IFERROR(SUMIFS(PROGRAMA_DETALLE!$R$4:$R$503,PROGRAMA_DETALLE!$A$4:$A$503,A53),0))</f>
        <v/>
      </c>
      <c r="W53" s="19" t="str">
        <f>IF(A53="","",IFERROR(SUMIFS(PROGRAMA_DETALLE!$S$4:$S$503,PROGRAMA_DETALLE!$A$4:$A$503,A53),0))</f>
        <v/>
      </c>
      <c r="X53" s="19">
        <f t="shared" si="3"/>
        <v>0</v>
      </c>
      <c r="Y53" s="20">
        <f t="shared" si="4"/>
        <v>0</v>
      </c>
      <c r="Z53" s="21">
        <f t="shared" si="5"/>
        <v>0</v>
      </c>
      <c r="AA53" s="22">
        <f t="shared" si="6"/>
        <v>0</v>
      </c>
      <c r="AB53" s="23">
        <f>IFERROR(W53*DASHBOARD!$C$2,0)</f>
        <v>0</v>
      </c>
      <c r="AC53" s="24"/>
      <c r="AD53" s="7"/>
      <c r="AE53" s="25">
        <f>IFERROR(N53+IFERROR(SUMIFS(PROGRAMA_DETALLE!$M$4:$M$503,PROGRAMA_DETALLE!$A$4:$A$503,A53),0)+IFERROR(SUMIFS(PROGRAMA_DETALLE!$Z$4:$Z$503,PROGRAMA_DETALLE!$A$4:$A$503,A53),0)+AB53,0)</f>
        <v>0</v>
      </c>
      <c r="AF53" s="25">
        <f t="shared" si="7"/>
        <v>0</v>
      </c>
      <c r="AG53" s="26">
        <f t="shared" si="8"/>
        <v>0</v>
      </c>
    </row>
    <row r="54" ht="15.75" customHeight="1">
      <c r="A54" s="6"/>
      <c r="B54" s="7"/>
      <c r="C54" s="6"/>
      <c r="D54" s="8"/>
      <c r="E54" s="9"/>
      <c r="F54" s="10"/>
      <c r="G54" s="8"/>
      <c r="H54" s="8"/>
      <c r="I54" s="8"/>
      <c r="J54" s="6"/>
      <c r="K54" s="11">
        <f>IFERROR(SUMIFS(PROGRAMA_DETALLE!$E$4:$E$503,PROGRAMA_DETALLE!$A$4:$A$503,A54),0)</f>
        <v>0</v>
      </c>
      <c r="L54" s="12">
        <f>IFERROR(SUMIFS(PROGRAMA_DETALLE!$F$4:$F$503,PROGRAMA_DETALLE!$A$4:$A$503,A54),0)</f>
        <v>0</v>
      </c>
      <c r="M54" s="13" t="str">
        <f>IF(A54="","",IFERROR(SUMIFS(COMPRAS_HILO!$D$4:$D$203,COMPRAS_HILO!$B$4:$B$203,A54),0))</f>
        <v/>
      </c>
      <c r="N54" s="14" t="str">
        <f>IF(A54="","",IFERROR(SUMIFS(COMPRAS_HILO!$H$4:$H$203,COMPRAS_HILO!$B$4:$B$203,A54),0))</f>
        <v/>
      </c>
      <c r="O54" s="15" t="str">
        <f>IFERROR(IF(SUMPRODUCT((COMPRAS_HILO!$B$4:$B$203=A54)*1)=0,"",LOOKUP(2,1/((COMPRAS_HILO!$B$4:$B$203=A54)*(COMPRAS_HILO!$J$4:$J$203&lt;&gt;"")),COMPRAS_HILO!$J$4:$J$203)),"")</f>
        <v/>
      </c>
      <c r="P54" s="16"/>
      <c r="Q54" s="17" t="str">
        <f>IF(A54="","",IFERROR(SUMIFS(PROGRAMA_DETALLE!$H$4:$H$503,PROGRAMA_DETALLE!$A$4:$A$503,A54),0))</f>
        <v/>
      </c>
      <c r="R54" s="17" t="str">
        <f>IF(A54="","",IFERROR(SUMIFS(PROGRAMA_DETALLE!$I$4:$I$503,PROGRAMA_DETALLE!$A$4:$A$503,A54),0))</f>
        <v/>
      </c>
      <c r="S54" s="10"/>
      <c r="T54" s="17">
        <f t="shared" si="1"/>
        <v>0</v>
      </c>
      <c r="U54" s="18">
        <f t="shared" si="2"/>
        <v>0</v>
      </c>
      <c r="V54" s="19" t="str">
        <f>IF(A54="","",IFERROR(SUMIFS(PROGRAMA_DETALLE!$R$4:$R$503,PROGRAMA_DETALLE!$A$4:$A$503,A54),0))</f>
        <v/>
      </c>
      <c r="W54" s="19" t="str">
        <f>IF(A54="","",IFERROR(SUMIFS(PROGRAMA_DETALLE!$S$4:$S$503,PROGRAMA_DETALLE!$A$4:$A$503,A54),0))</f>
        <v/>
      </c>
      <c r="X54" s="19">
        <f t="shared" si="3"/>
        <v>0</v>
      </c>
      <c r="Y54" s="20">
        <f t="shared" si="4"/>
        <v>0</v>
      </c>
      <c r="Z54" s="21">
        <f t="shared" si="5"/>
        <v>0</v>
      </c>
      <c r="AA54" s="22">
        <f t="shared" si="6"/>
        <v>0</v>
      </c>
      <c r="AB54" s="23">
        <f>IFERROR(W54*DASHBOARD!$C$2,0)</f>
        <v>0</v>
      </c>
      <c r="AC54" s="24"/>
      <c r="AD54" s="7"/>
      <c r="AE54" s="25">
        <f>IFERROR(N54+IFERROR(SUMIFS(PROGRAMA_DETALLE!$M$4:$M$503,PROGRAMA_DETALLE!$A$4:$A$503,A54),0)+IFERROR(SUMIFS(PROGRAMA_DETALLE!$Z$4:$Z$503,PROGRAMA_DETALLE!$A$4:$A$503,A54),0)+AB54,0)</f>
        <v>0</v>
      </c>
      <c r="AF54" s="25">
        <f t="shared" si="7"/>
        <v>0</v>
      </c>
      <c r="AG54" s="26">
        <f t="shared" si="8"/>
        <v>0</v>
      </c>
    </row>
    <row r="55" ht="15.75" customHeight="1">
      <c r="A55" s="6"/>
      <c r="B55" s="7"/>
      <c r="C55" s="6"/>
      <c r="D55" s="8"/>
      <c r="E55" s="9"/>
      <c r="F55" s="10"/>
      <c r="G55" s="8"/>
      <c r="H55" s="8"/>
      <c r="I55" s="8"/>
      <c r="J55" s="6"/>
      <c r="K55" s="11">
        <f>IFERROR(SUMIFS(PROGRAMA_DETALLE!$E$4:$E$503,PROGRAMA_DETALLE!$A$4:$A$503,A55),0)</f>
        <v>0</v>
      </c>
      <c r="L55" s="12">
        <f>IFERROR(SUMIFS(PROGRAMA_DETALLE!$F$4:$F$503,PROGRAMA_DETALLE!$A$4:$A$503,A55),0)</f>
        <v>0</v>
      </c>
      <c r="M55" s="13" t="str">
        <f>IF(A55="","",IFERROR(SUMIFS(COMPRAS_HILO!$D$4:$D$203,COMPRAS_HILO!$B$4:$B$203,A55),0))</f>
        <v/>
      </c>
      <c r="N55" s="14" t="str">
        <f>IF(A55="","",IFERROR(SUMIFS(COMPRAS_HILO!$H$4:$H$203,COMPRAS_HILO!$B$4:$B$203,A55),0))</f>
        <v/>
      </c>
      <c r="O55" s="15" t="str">
        <f>IFERROR(IF(SUMPRODUCT((COMPRAS_HILO!$B$4:$B$203=A55)*1)=0,"",LOOKUP(2,1/((COMPRAS_HILO!$B$4:$B$203=A55)*(COMPRAS_HILO!$J$4:$J$203&lt;&gt;"")),COMPRAS_HILO!$J$4:$J$203)),"")</f>
        <v/>
      </c>
      <c r="P55" s="16"/>
      <c r="Q55" s="17" t="str">
        <f>IF(A55="","",IFERROR(SUMIFS(PROGRAMA_DETALLE!$H$4:$H$503,PROGRAMA_DETALLE!$A$4:$A$503,A55),0))</f>
        <v/>
      </c>
      <c r="R55" s="17" t="str">
        <f>IF(A55="","",IFERROR(SUMIFS(PROGRAMA_DETALLE!$I$4:$I$503,PROGRAMA_DETALLE!$A$4:$A$503,A55),0))</f>
        <v/>
      </c>
      <c r="S55" s="10"/>
      <c r="T55" s="17">
        <f t="shared" si="1"/>
        <v>0</v>
      </c>
      <c r="U55" s="18">
        <f t="shared" si="2"/>
        <v>0</v>
      </c>
      <c r="V55" s="19" t="str">
        <f>IF(A55="","",IFERROR(SUMIFS(PROGRAMA_DETALLE!$R$4:$R$503,PROGRAMA_DETALLE!$A$4:$A$503,A55),0))</f>
        <v/>
      </c>
      <c r="W55" s="19" t="str">
        <f>IF(A55="","",IFERROR(SUMIFS(PROGRAMA_DETALLE!$S$4:$S$503,PROGRAMA_DETALLE!$A$4:$A$503,A55),0))</f>
        <v/>
      </c>
      <c r="X55" s="19">
        <f t="shared" si="3"/>
        <v>0</v>
      </c>
      <c r="Y55" s="20">
        <f t="shared" si="4"/>
        <v>0</v>
      </c>
      <c r="Z55" s="21">
        <f t="shared" si="5"/>
        <v>0</v>
      </c>
      <c r="AA55" s="22">
        <f t="shared" si="6"/>
        <v>0</v>
      </c>
      <c r="AB55" s="23">
        <f>IFERROR(W55*DASHBOARD!$C$2,0)</f>
        <v>0</v>
      </c>
      <c r="AC55" s="24"/>
      <c r="AD55" s="7"/>
      <c r="AE55" s="25">
        <f>IFERROR(N55+IFERROR(SUMIFS(PROGRAMA_DETALLE!$M$4:$M$503,PROGRAMA_DETALLE!$A$4:$A$503,A55),0)+IFERROR(SUMIFS(PROGRAMA_DETALLE!$Z$4:$Z$503,PROGRAMA_DETALLE!$A$4:$A$503,A55),0)+AB55,0)</f>
        <v>0</v>
      </c>
      <c r="AF55" s="25">
        <f t="shared" si="7"/>
        <v>0</v>
      </c>
      <c r="AG55" s="26">
        <f t="shared" si="8"/>
        <v>0</v>
      </c>
    </row>
    <row r="56" ht="15.75" customHeight="1">
      <c r="A56" s="6"/>
      <c r="B56" s="7"/>
      <c r="C56" s="6"/>
      <c r="D56" s="8"/>
      <c r="E56" s="9"/>
      <c r="F56" s="10"/>
      <c r="G56" s="8"/>
      <c r="H56" s="8"/>
      <c r="I56" s="8"/>
      <c r="J56" s="6"/>
      <c r="K56" s="11">
        <f>IFERROR(SUMIFS(PROGRAMA_DETALLE!$E$4:$E$503,PROGRAMA_DETALLE!$A$4:$A$503,A56),0)</f>
        <v>0</v>
      </c>
      <c r="L56" s="12">
        <f>IFERROR(SUMIFS(PROGRAMA_DETALLE!$F$4:$F$503,PROGRAMA_DETALLE!$A$4:$A$503,A56),0)</f>
        <v>0</v>
      </c>
      <c r="M56" s="13" t="str">
        <f>IF(A56="","",IFERROR(SUMIFS(COMPRAS_HILO!$D$4:$D$203,COMPRAS_HILO!$B$4:$B$203,A56),0))</f>
        <v/>
      </c>
      <c r="N56" s="14" t="str">
        <f>IF(A56="","",IFERROR(SUMIFS(COMPRAS_HILO!$H$4:$H$203,COMPRAS_HILO!$B$4:$B$203,A56),0))</f>
        <v/>
      </c>
      <c r="O56" s="15" t="str">
        <f>IFERROR(IF(SUMPRODUCT((COMPRAS_HILO!$B$4:$B$203=A56)*1)=0,"",LOOKUP(2,1/((COMPRAS_HILO!$B$4:$B$203=A56)*(COMPRAS_HILO!$J$4:$J$203&lt;&gt;"")),COMPRAS_HILO!$J$4:$J$203)),"")</f>
        <v/>
      </c>
      <c r="P56" s="16"/>
      <c r="Q56" s="17" t="str">
        <f>IF(A56="","",IFERROR(SUMIFS(PROGRAMA_DETALLE!$H$4:$H$503,PROGRAMA_DETALLE!$A$4:$A$503,A56),0))</f>
        <v/>
      </c>
      <c r="R56" s="17" t="str">
        <f>IF(A56="","",IFERROR(SUMIFS(PROGRAMA_DETALLE!$I$4:$I$503,PROGRAMA_DETALLE!$A$4:$A$503,A56),0))</f>
        <v/>
      </c>
      <c r="S56" s="10"/>
      <c r="T56" s="17">
        <f t="shared" si="1"/>
        <v>0</v>
      </c>
      <c r="U56" s="18">
        <f t="shared" si="2"/>
        <v>0</v>
      </c>
      <c r="V56" s="19" t="str">
        <f>IF(A56="","",IFERROR(SUMIFS(PROGRAMA_DETALLE!$R$4:$R$503,PROGRAMA_DETALLE!$A$4:$A$503,A56),0))</f>
        <v/>
      </c>
      <c r="W56" s="19" t="str">
        <f>IF(A56="","",IFERROR(SUMIFS(PROGRAMA_DETALLE!$S$4:$S$503,PROGRAMA_DETALLE!$A$4:$A$503,A56),0))</f>
        <v/>
      </c>
      <c r="X56" s="19">
        <f t="shared" si="3"/>
        <v>0</v>
      </c>
      <c r="Y56" s="20">
        <f t="shared" si="4"/>
        <v>0</v>
      </c>
      <c r="Z56" s="21">
        <f t="shared" si="5"/>
        <v>0</v>
      </c>
      <c r="AA56" s="22">
        <f t="shared" si="6"/>
        <v>0</v>
      </c>
      <c r="AB56" s="23">
        <f>IFERROR(W56*DASHBOARD!$C$2,0)</f>
        <v>0</v>
      </c>
      <c r="AC56" s="24"/>
      <c r="AD56" s="7"/>
      <c r="AE56" s="25">
        <f>IFERROR(N56+IFERROR(SUMIFS(PROGRAMA_DETALLE!$M$4:$M$503,PROGRAMA_DETALLE!$A$4:$A$503,A56),0)+IFERROR(SUMIFS(PROGRAMA_DETALLE!$Z$4:$Z$503,PROGRAMA_DETALLE!$A$4:$A$503,A56),0)+AB56,0)</f>
        <v>0</v>
      </c>
      <c r="AF56" s="25">
        <f t="shared" si="7"/>
        <v>0</v>
      </c>
      <c r="AG56" s="26">
        <f t="shared" si="8"/>
        <v>0</v>
      </c>
    </row>
    <row r="57" ht="15.75" customHeight="1">
      <c r="A57" s="6"/>
      <c r="B57" s="7"/>
      <c r="C57" s="6"/>
      <c r="D57" s="8"/>
      <c r="E57" s="9"/>
      <c r="F57" s="10"/>
      <c r="G57" s="8"/>
      <c r="H57" s="8"/>
      <c r="I57" s="8"/>
      <c r="J57" s="6"/>
      <c r="K57" s="11">
        <f>IFERROR(SUMIFS(PROGRAMA_DETALLE!$E$4:$E$503,PROGRAMA_DETALLE!$A$4:$A$503,A57),0)</f>
        <v>0</v>
      </c>
      <c r="L57" s="12">
        <f>IFERROR(SUMIFS(PROGRAMA_DETALLE!$F$4:$F$503,PROGRAMA_DETALLE!$A$4:$A$503,A57),0)</f>
        <v>0</v>
      </c>
      <c r="M57" s="13" t="str">
        <f>IF(A57="","",IFERROR(SUMIFS(COMPRAS_HILO!$D$4:$D$203,COMPRAS_HILO!$B$4:$B$203,A57),0))</f>
        <v/>
      </c>
      <c r="N57" s="14" t="str">
        <f>IF(A57="","",IFERROR(SUMIFS(COMPRAS_HILO!$H$4:$H$203,COMPRAS_HILO!$B$4:$B$203,A57),0))</f>
        <v/>
      </c>
      <c r="O57" s="15" t="str">
        <f>IFERROR(IF(SUMPRODUCT((COMPRAS_HILO!$B$4:$B$203=A57)*1)=0,"",LOOKUP(2,1/((COMPRAS_HILO!$B$4:$B$203=A57)*(COMPRAS_HILO!$J$4:$J$203&lt;&gt;"")),COMPRAS_HILO!$J$4:$J$203)),"")</f>
        <v/>
      </c>
      <c r="P57" s="16"/>
      <c r="Q57" s="17" t="str">
        <f>IF(A57="","",IFERROR(SUMIFS(PROGRAMA_DETALLE!$H$4:$H$503,PROGRAMA_DETALLE!$A$4:$A$503,A57),0))</f>
        <v/>
      </c>
      <c r="R57" s="17" t="str">
        <f>IF(A57="","",IFERROR(SUMIFS(PROGRAMA_DETALLE!$I$4:$I$503,PROGRAMA_DETALLE!$A$4:$A$503,A57),0))</f>
        <v/>
      </c>
      <c r="S57" s="10"/>
      <c r="T57" s="17">
        <f t="shared" si="1"/>
        <v>0</v>
      </c>
      <c r="U57" s="18">
        <f t="shared" si="2"/>
        <v>0</v>
      </c>
      <c r="V57" s="19" t="str">
        <f>IF(A57="","",IFERROR(SUMIFS(PROGRAMA_DETALLE!$R$4:$R$503,PROGRAMA_DETALLE!$A$4:$A$503,A57),0))</f>
        <v/>
      </c>
      <c r="W57" s="19" t="str">
        <f>IF(A57="","",IFERROR(SUMIFS(PROGRAMA_DETALLE!$S$4:$S$503,PROGRAMA_DETALLE!$A$4:$A$503,A57),0))</f>
        <v/>
      </c>
      <c r="X57" s="19">
        <f t="shared" si="3"/>
        <v>0</v>
      </c>
      <c r="Y57" s="20">
        <f t="shared" si="4"/>
        <v>0</v>
      </c>
      <c r="Z57" s="21">
        <f t="shared" si="5"/>
        <v>0</v>
      </c>
      <c r="AA57" s="22">
        <f t="shared" si="6"/>
        <v>0</v>
      </c>
      <c r="AB57" s="23">
        <f>IFERROR(W57*DASHBOARD!$C$2,0)</f>
        <v>0</v>
      </c>
      <c r="AC57" s="24"/>
      <c r="AD57" s="7"/>
      <c r="AE57" s="25">
        <f>IFERROR(N57+IFERROR(SUMIFS(PROGRAMA_DETALLE!$M$4:$M$503,PROGRAMA_DETALLE!$A$4:$A$503,A57),0)+IFERROR(SUMIFS(PROGRAMA_DETALLE!$Z$4:$Z$503,PROGRAMA_DETALLE!$A$4:$A$503,A57),0)+AB57,0)</f>
        <v>0</v>
      </c>
      <c r="AF57" s="25">
        <f t="shared" si="7"/>
        <v>0</v>
      </c>
      <c r="AG57" s="26">
        <f t="shared" si="8"/>
        <v>0</v>
      </c>
    </row>
    <row r="58" ht="15.75" customHeight="1">
      <c r="A58" s="6"/>
      <c r="B58" s="7"/>
      <c r="C58" s="6"/>
      <c r="D58" s="8"/>
      <c r="E58" s="9"/>
      <c r="F58" s="10"/>
      <c r="G58" s="8"/>
      <c r="H58" s="8"/>
      <c r="I58" s="8"/>
      <c r="J58" s="6"/>
      <c r="K58" s="11">
        <f>IFERROR(SUMIFS(PROGRAMA_DETALLE!$E$4:$E$503,PROGRAMA_DETALLE!$A$4:$A$503,A58),0)</f>
        <v>0</v>
      </c>
      <c r="L58" s="12">
        <f>IFERROR(SUMIFS(PROGRAMA_DETALLE!$F$4:$F$503,PROGRAMA_DETALLE!$A$4:$A$503,A58),0)</f>
        <v>0</v>
      </c>
      <c r="M58" s="13" t="str">
        <f>IF(A58="","",IFERROR(SUMIFS(COMPRAS_HILO!$D$4:$D$203,COMPRAS_HILO!$B$4:$B$203,A58),0))</f>
        <v/>
      </c>
      <c r="N58" s="14" t="str">
        <f>IF(A58="","",IFERROR(SUMIFS(COMPRAS_HILO!$H$4:$H$203,COMPRAS_HILO!$B$4:$B$203,A58),0))</f>
        <v/>
      </c>
      <c r="O58" s="15" t="str">
        <f>IFERROR(IF(SUMPRODUCT((COMPRAS_HILO!$B$4:$B$203=A58)*1)=0,"",LOOKUP(2,1/((COMPRAS_HILO!$B$4:$B$203=A58)*(COMPRAS_HILO!$J$4:$J$203&lt;&gt;"")),COMPRAS_HILO!$J$4:$J$203)),"")</f>
        <v/>
      </c>
      <c r="P58" s="16"/>
      <c r="Q58" s="17" t="str">
        <f>IF(A58="","",IFERROR(SUMIFS(PROGRAMA_DETALLE!$H$4:$H$503,PROGRAMA_DETALLE!$A$4:$A$503,A58),0))</f>
        <v/>
      </c>
      <c r="R58" s="17" t="str">
        <f>IF(A58="","",IFERROR(SUMIFS(PROGRAMA_DETALLE!$I$4:$I$503,PROGRAMA_DETALLE!$A$4:$A$503,A58),0))</f>
        <v/>
      </c>
      <c r="S58" s="10"/>
      <c r="T58" s="17">
        <f t="shared" si="1"/>
        <v>0</v>
      </c>
      <c r="U58" s="18">
        <f t="shared" si="2"/>
        <v>0</v>
      </c>
      <c r="V58" s="19" t="str">
        <f>IF(A58="","",IFERROR(SUMIFS(PROGRAMA_DETALLE!$R$4:$R$503,PROGRAMA_DETALLE!$A$4:$A$503,A58),0))</f>
        <v/>
      </c>
      <c r="W58" s="19" t="str">
        <f>IF(A58="","",IFERROR(SUMIFS(PROGRAMA_DETALLE!$S$4:$S$503,PROGRAMA_DETALLE!$A$4:$A$503,A58),0))</f>
        <v/>
      </c>
      <c r="X58" s="19">
        <f t="shared" si="3"/>
        <v>0</v>
      </c>
      <c r="Y58" s="20">
        <f t="shared" si="4"/>
        <v>0</v>
      </c>
      <c r="Z58" s="21">
        <f t="shared" si="5"/>
        <v>0</v>
      </c>
      <c r="AA58" s="22">
        <f t="shared" si="6"/>
        <v>0</v>
      </c>
      <c r="AB58" s="23">
        <f>IFERROR(W58*DASHBOARD!$C$2,0)</f>
        <v>0</v>
      </c>
      <c r="AC58" s="24"/>
      <c r="AD58" s="7"/>
      <c r="AE58" s="25">
        <f>IFERROR(N58+IFERROR(SUMIFS(PROGRAMA_DETALLE!$M$4:$M$503,PROGRAMA_DETALLE!$A$4:$A$503,A58),0)+IFERROR(SUMIFS(PROGRAMA_DETALLE!$Z$4:$Z$503,PROGRAMA_DETALLE!$A$4:$A$503,A58),0)+AB58,0)</f>
        <v>0</v>
      </c>
      <c r="AF58" s="25">
        <f t="shared" si="7"/>
        <v>0</v>
      </c>
      <c r="AG58" s="26">
        <f t="shared" si="8"/>
        <v>0</v>
      </c>
    </row>
    <row r="59" ht="15.75" customHeight="1">
      <c r="A59" s="6"/>
      <c r="B59" s="7"/>
      <c r="C59" s="6"/>
      <c r="D59" s="8"/>
      <c r="E59" s="9"/>
      <c r="F59" s="10"/>
      <c r="G59" s="8"/>
      <c r="H59" s="8"/>
      <c r="I59" s="8"/>
      <c r="J59" s="6"/>
      <c r="K59" s="11">
        <f>IFERROR(SUMIFS(PROGRAMA_DETALLE!$E$4:$E$503,PROGRAMA_DETALLE!$A$4:$A$503,A59),0)</f>
        <v>0</v>
      </c>
      <c r="L59" s="12">
        <f>IFERROR(SUMIFS(PROGRAMA_DETALLE!$F$4:$F$503,PROGRAMA_DETALLE!$A$4:$A$503,A59),0)</f>
        <v>0</v>
      </c>
      <c r="M59" s="13" t="str">
        <f>IF(A59="","",IFERROR(SUMIFS(COMPRAS_HILO!$D$4:$D$203,COMPRAS_HILO!$B$4:$B$203,A59),0))</f>
        <v/>
      </c>
      <c r="N59" s="14" t="str">
        <f>IF(A59="","",IFERROR(SUMIFS(COMPRAS_HILO!$H$4:$H$203,COMPRAS_HILO!$B$4:$B$203,A59),0))</f>
        <v/>
      </c>
      <c r="O59" s="15" t="str">
        <f>IFERROR(IF(SUMPRODUCT((COMPRAS_HILO!$B$4:$B$203=A59)*1)=0,"",LOOKUP(2,1/((COMPRAS_HILO!$B$4:$B$203=A59)*(COMPRAS_HILO!$J$4:$J$203&lt;&gt;"")),COMPRAS_HILO!$J$4:$J$203)),"")</f>
        <v/>
      </c>
      <c r="P59" s="16"/>
      <c r="Q59" s="17" t="str">
        <f>IF(A59="","",IFERROR(SUMIFS(PROGRAMA_DETALLE!$H$4:$H$503,PROGRAMA_DETALLE!$A$4:$A$503,A59),0))</f>
        <v/>
      </c>
      <c r="R59" s="17" t="str">
        <f>IF(A59="","",IFERROR(SUMIFS(PROGRAMA_DETALLE!$I$4:$I$503,PROGRAMA_DETALLE!$A$4:$A$503,A59),0))</f>
        <v/>
      </c>
      <c r="S59" s="10"/>
      <c r="T59" s="17">
        <f t="shared" si="1"/>
        <v>0</v>
      </c>
      <c r="U59" s="18">
        <f t="shared" si="2"/>
        <v>0</v>
      </c>
      <c r="V59" s="19" t="str">
        <f>IF(A59="","",IFERROR(SUMIFS(PROGRAMA_DETALLE!$R$4:$R$503,PROGRAMA_DETALLE!$A$4:$A$503,A59),0))</f>
        <v/>
      </c>
      <c r="W59" s="19" t="str">
        <f>IF(A59="","",IFERROR(SUMIFS(PROGRAMA_DETALLE!$S$4:$S$503,PROGRAMA_DETALLE!$A$4:$A$503,A59),0))</f>
        <v/>
      </c>
      <c r="X59" s="19">
        <f t="shared" si="3"/>
        <v>0</v>
      </c>
      <c r="Y59" s="20">
        <f t="shared" si="4"/>
        <v>0</v>
      </c>
      <c r="Z59" s="21">
        <f t="shared" si="5"/>
        <v>0</v>
      </c>
      <c r="AA59" s="22">
        <f t="shared" si="6"/>
        <v>0</v>
      </c>
      <c r="AB59" s="23">
        <f>IFERROR(W59*DASHBOARD!$C$2,0)</f>
        <v>0</v>
      </c>
      <c r="AC59" s="24"/>
      <c r="AD59" s="7"/>
      <c r="AE59" s="25">
        <f>IFERROR(N59+IFERROR(SUMIFS(PROGRAMA_DETALLE!$M$4:$M$503,PROGRAMA_DETALLE!$A$4:$A$503,A59),0)+IFERROR(SUMIFS(PROGRAMA_DETALLE!$Z$4:$Z$503,PROGRAMA_DETALLE!$A$4:$A$503,A59),0)+AB59,0)</f>
        <v>0</v>
      </c>
      <c r="AF59" s="25">
        <f t="shared" si="7"/>
        <v>0</v>
      </c>
      <c r="AG59" s="26">
        <f t="shared" si="8"/>
        <v>0</v>
      </c>
    </row>
    <row r="60" ht="15.75" customHeight="1">
      <c r="A60" s="6"/>
      <c r="B60" s="7"/>
      <c r="C60" s="6"/>
      <c r="D60" s="8"/>
      <c r="E60" s="9"/>
      <c r="F60" s="10"/>
      <c r="G60" s="8"/>
      <c r="H60" s="8"/>
      <c r="I60" s="8"/>
      <c r="J60" s="6"/>
      <c r="K60" s="11">
        <f>IFERROR(SUMIFS(PROGRAMA_DETALLE!$E$4:$E$503,PROGRAMA_DETALLE!$A$4:$A$503,A60),0)</f>
        <v>0</v>
      </c>
      <c r="L60" s="12">
        <f>IFERROR(SUMIFS(PROGRAMA_DETALLE!$F$4:$F$503,PROGRAMA_DETALLE!$A$4:$A$503,A60),0)</f>
        <v>0</v>
      </c>
      <c r="M60" s="13" t="str">
        <f>IF(A60="","",IFERROR(SUMIFS(COMPRAS_HILO!$D$4:$D$203,COMPRAS_HILO!$B$4:$B$203,A60),0))</f>
        <v/>
      </c>
      <c r="N60" s="14" t="str">
        <f>IF(A60="","",IFERROR(SUMIFS(COMPRAS_HILO!$H$4:$H$203,COMPRAS_HILO!$B$4:$B$203,A60),0))</f>
        <v/>
      </c>
      <c r="O60" s="15" t="str">
        <f>IFERROR(IF(SUMPRODUCT((COMPRAS_HILO!$B$4:$B$203=A60)*1)=0,"",LOOKUP(2,1/((COMPRAS_HILO!$B$4:$B$203=A60)*(COMPRAS_HILO!$J$4:$J$203&lt;&gt;"")),COMPRAS_HILO!$J$4:$J$203)),"")</f>
        <v/>
      </c>
      <c r="P60" s="16"/>
      <c r="Q60" s="17" t="str">
        <f>IF(A60="","",IFERROR(SUMIFS(PROGRAMA_DETALLE!$H$4:$H$503,PROGRAMA_DETALLE!$A$4:$A$503,A60),0))</f>
        <v/>
      </c>
      <c r="R60" s="17" t="str">
        <f>IF(A60="","",IFERROR(SUMIFS(PROGRAMA_DETALLE!$I$4:$I$503,PROGRAMA_DETALLE!$A$4:$A$503,A60),0))</f>
        <v/>
      </c>
      <c r="S60" s="10"/>
      <c r="T60" s="17">
        <f t="shared" si="1"/>
        <v>0</v>
      </c>
      <c r="U60" s="18">
        <f t="shared" si="2"/>
        <v>0</v>
      </c>
      <c r="V60" s="19" t="str">
        <f>IF(A60="","",IFERROR(SUMIFS(PROGRAMA_DETALLE!$R$4:$R$503,PROGRAMA_DETALLE!$A$4:$A$503,A60),0))</f>
        <v/>
      </c>
      <c r="W60" s="19" t="str">
        <f>IF(A60="","",IFERROR(SUMIFS(PROGRAMA_DETALLE!$S$4:$S$503,PROGRAMA_DETALLE!$A$4:$A$503,A60),0))</f>
        <v/>
      </c>
      <c r="X60" s="19">
        <f t="shared" si="3"/>
        <v>0</v>
      </c>
      <c r="Y60" s="20">
        <f t="shared" si="4"/>
        <v>0</v>
      </c>
      <c r="Z60" s="21">
        <f t="shared" si="5"/>
        <v>0</v>
      </c>
      <c r="AA60" s="22">
        <f t="shared" si="6"/>
        <v>0</v>
      </c>
      <c r="AB60" s="23">
        <f>IFERROR(W60*DASHBOARD!$C$2,0)</f>
        <v>0</v>
      </c>
      <c r="AC60" s="24"/>
      <c r="AD60" s="7"/>
      <c r="AE60" s="25">
        <f>IFERROR(N60+IFERROR(SUMIFS(PROGRAMA_DETALLE!$M$4:$M$503,PROGRAMA_DETALLE!$A$4:$A$503,A60),0)+IFERROR(SUMIFS(PROGRAMA_DETALLE!$Z$4:$Z$503,PROGRAMA_DETALLE!$A$4:$A$503,A60),0)+AB60,0)</f>
        <v>0</v>
      </c>
      <c r="AF60" s="25">
        <f t="shared" si="7"/>
        <v>0</v>
      </c>
      <c r="AG60" s="26">
        <f t="shared" si="8"/>
        <v>0</v>
      </c>
    </row>
    <row r="61" ht="15.75" customHeight="1">
      <c r="A61" s="6"/>
      <c r="B61" s="7"/>
      <c r="C61" s="6"/>
      <c r="D61" s="8"/>
      <c r="E61" s="9"/>
      <c r="F61" s="10"/>
      <c r="G61" s="8"/>
      <c r="H61" s="8"/>
      <c r="I61" s="8"/>
      <c r="J61" s="6"/>
      <c r="K61" s="11">
        <f>IFERROR(SUMIFS(PROGRAMA_DETALLE!$E$4:$E$503,PROGRAMA_DETALLE!$A$4:$A$503,A61),0)</f>
        <v>0</v>
      </c>
      <c r="L61" s="12">
        <f>IFERROR(SUMIFS(PROGRAMA_DETALLE!$F$4:$F$503,PROGRAMA_DETALLE!$A$4:$A$503,A61),0)</f>
        <v>0</v>
      </c>
      <c r="M61" s="13" t="str">
        <f>IF(A61="","",IFERROR(SUMIFS(COMPRAS_HILO!$D$4:$D$203,COMPRAS_HILO!$B$4:$B$203,A61),0))</f>
        <v/>
      </c>
      <c r="N61" s="14" t="str">
        <f>IF(A61="","",IFERROR(SUMIFS(COMPRAS_HILO!$H$4:$H$203,COMPRAS_HILO!$B$4:$B$203,A61),0))</f>
        <v/>
      </c>
      <c r="O61" s="15" t="str">
        <f>IFERROR(IF(SUMPRODUCT((COMPRAS_HILO!$B$4:$B$203=A61)*1)=0,"",LOOKUP(2,1/((COMPRAS_HILO!$B$4:$B$203=A61)*(COMPRAS_HILO!$J$4:$J$203&lt;&gt;"")),COMPRAS_HILO!$J$4:$J$203)),"")</f>
        <v/>
      </c>
      <c r="P61" s="16"/>
      <c r="Q61" s="17" t="str">
        <f>IF(A61="","",IFERROR(SUMIFS(PROGRAMA_DETALLE!$H$4:$H$503,PROGRAMA_DETALLE!$A$4:$A$503,A61),0))</f>
        <v/>
      </c>
      <c r="R61" s="17" t="str">
        <f>IF(A61="","",IFERROR(SUMIFS(PROGRAMA_DETALLE!$I$4:$I$503,PROGRAMA_DETALLE!$A$4:$A$503,A61),0))</f>
        <v/>
      </c>
      <c r="S61" s="10"/>
      <c r="T61" s="17">
        <f t="shared" si="1"/>
        <v>0</v>
      </c>
      <c r="U61" s="18">
        <f t="shared" si="2"/>
        <v>0</v>
      </c>
      <c r="V61" s="19" t="str">
        <f>IF(A61="","",IFERROR(SUMIFS(PROGRAMA_DETALLE!$R$4:$R$503,PROGRAMA_DETALLE!$A$4:$A$503,A61),0))</f>
        <v/>
      </c>
      <c r="W61" s="19" t="str">
        <f>IF(A61="","",IFERROR(SUMIFS(PROGRAMA_DETALLE!$S$4:$S$503,PROGRAMA_DETALLE!$A$4:$A$503,A61),0))</f>
        <v/>
      </c>
      <c r="X61" s="19">
        <f t="shared" si="3"/>
        <v>0</v>
      </c>
      <c r="Y61" s="20">
        <f t="shared" si="4"/>
        <v>0</v>
      </c>
      <c r="Z61" s="21">
        <f t="shared" si="5"/>
        <v>0</v>
      </c>
      <c r="AA61" s="22">
        <f t="shared" si="6"/>
        <v>0</v>
      </c>
      <c r="AB61" s="23">
        <f>IFERROR(W61*DASHBOARD!$C$2,0)</f>
        <v>0</v>
      </c>
      <c r="AC61" s="24"/>
      <c r="AD61" s="7"/>
      <c r="AE61" s="25">
        <f>IFERROR(N61+IFERROR(SUMIFS(PROGRAMA_DETALLE!$M$4:$M$503,PROGRAMA_DETALLE!$A$4:$A$503,A61),0)+IFERROR(SUMIFS(PROGRAMA_DETALLE!$Z$4:$Z$503,PROGRAMA_DETALLE!$A$4:$A$503,A61),0)+AB61,0)</f>
        <v>0</v>
      </c>
      <c r="AF61" s="25">
        <f t="shared" si="7"/>
        <v>0</v>
      </c>
      <c r="AG61" s="26">
        <f t="shared" si="8"/>
        <v>0</v>
      </c>
    </row>
    <row r="62" ht="15.75" customHeight="1">
      <c r="A62" s="6"/>
      <c r="B62" s="7"/>
      <c r="C62" s="6"/>
      <c r="D62" s="8"/>
      <c r="E62" s="9"/>
      <c r="F62" s="10"/>
      <c r="G62" s="8"/>
      <c r="H62" s="8"/>
      <c r="I62" s="8"/>
      <c r="J62" s="6"/>
      <c r="K62" s="11">
        <f>IFERROR(SUMIFS(PROGRAMA_DETALLE!$E$4:$E$503,PROGRAMA_DETALLE!$A$4:$A$503,A62),0)</f>
        <v>0</v>
      </c>
      <c r="L62" s="12">
        <f>IFERROR(SUMIFS(PROGRAMA_DETALLE!$F$4:$F$503,PROGRAMA_DETALLE!$A$4:$A$503,A62),0)</f>
        <v>0</v>
      </c>
      <c r="M62" s="13" t="str">
        <f>IF(A62="","",IFERROR(SUMIFS(COMPRAS_HILO!$D$4:$D$203,COMPRAS_HILO!$B$4:$B$203,A62),0))</f>
        <v/>
      </c>
      <c r="N62" s="14" t="str">
        <f>IF(A62="","",IFERROR(SUMIFS(COMPRAS_HILO!$H$4:$H$203,COMPRAS_HILO!$B$4:$B$203,A62),0))</f>
        <v/>
      </c>
      <c r="O62" s="15" t="str">
        <f>IFERROR(IF(SUMPRODUCT((COMPRAS_HILO!$B$4:$B$203=A62)*1)=0,"",LOOKUP(2,1/((COMPRAS_HILO!$B$4:$B$203=A62)*(COMPRAS_HILO!$J$4:$J$203&lt;&gt;"")),COMPRAS_HILO!$J$4:$J$203)),"")</f>
        <v/>
      </c>
      <c r="P62" s="16"/>
      <c r="Q62" s="17" t="str">
        <f>IF(A62="","",IFERROR(SUMIFS(PROGRAMA_DETALLE!$H$4:$H$503,PROGRAMA_DETALLE!$A$4:$A$503,A62),0))</f>
        <v/>
      </c>
      <c r="R62" s="17" t="str">
        <f>IF(A62="","",IFERROR(SUMIFS(PROGRAMA_DETALLE!$I$4:$I$503,PROGRAMA_DETALLE!$A$4:$A$503,A62),0))</f>
        <v/>
      </c>
      <c r="S62" s="10"/>
      <c r="T62" s="17">
        <f t="shared" si="1"/>
        <v>0</v>
      </c>
      <c r="U62" s="18">
        <f t="shared" si="2"/>
        <v>0</v>
      </c>
      <c r="V62" s="19" t="str">
        <f>IF(A62="","",IFERROR(SUMIFS(PROGRAMA_DETALLE!$R$4:$R$503,PROGRAMA_DETALLE!$A$4:$A$503,A62),0))</f>
        <v/>
      </c>
      <c r="W62" s="19" t="str">
        <f>IF(A62="","",IFERROR(SUMIFS(PROGRAMA_DETALLE!$S$4:$S$503,PROGRAMA_DETALLE!$A$4:$A$503,A62),0))</f>
        <v/>
      </c>
      <c r="X62" s="19">
        <f t="shared" si="3"/>
        <v>0</v>
      </c>
      <c r="Y62" s="20">
        <f t="shared" si="4"/>
        <v>0</v>
      </c>
      <c r="Z62" s="21">
        <f t="shared" si="5"/>
        <v>0</v>
      </c>
      <c r="AA62" s="22">
        <f t="shared" si="6"/>
        <v>0</v>
      </c>
      <c r="AB62" s="23">
        <f>IFERROR(W62*DASHBOARD!$C$2,0)</f>
        <v>0</v>
      </c>
      <c r="AC62" s="24"/>
      <c r="AD62" s="7"/>
      <c r="AE62" s="25">
        <f>IFERROR(N62+IFERROR(SUMIFS(PROGRAMA_DETALLE!$M$4:$M$503,PROGRAMA_DETALLE!$A$4:$A$503,A62),0)+IFERROR(SUMIFS(PROGRAMA_DETALLE!$Z$4:$Z$503,PROGRAMA_DETALLE!$A$4:$A$503,A62),0)+AB62,0)</f>
        <v>0</v>
      </c>
      <c r="AF62" s="25">
        <f t="shared" si="7"/>
        <v>0</v>
      </c>
      <c r="AG62" s="26">
        <f t="shared" si="8"/>
        <v>0</v>
      </c>
    </row>
    <row r="63" ht="15.75" customHeight="1">
      <c r="A63" s="6"/>
      <c r="B63" s="7"/>
      <c r="C63" s="6"/>
      <c r="D63" s="8"/>
      <c r="E63" s="9"/>
      <c r="F63" s="10"/>
      <c r="G63" s="8"/>
      <c r="H63" s="8"/>
      <c r="I63" s="8"/>
      <c r="J63" s="6"/>
      <c r="K63" s="11">
        <f>IFERROR(SUMIFS(PROGRAMA_DETALLE!$E$4:$E$503,PROGRAMA_DETALLE!$A$4:$A$503,A63),0)</f>
        <v>0</v>
      </c>
      <c r="L63" s="12">
        <f>IFERROR(SUMIFS(PROGRAMA_DETALLE!$F$4:$F$503,PROGRAMA_DETALLE!$A$4:$A$503,A63),0)</f>
        <v>0</v>
      </c>
      <c r="M63" s="13" t="str">
        <f>IF(A63="","",IFERROR(SUMIFS(COMPRAS_HILO!$D$4:$D$203,COMPRAS_HILO!$B$4:$B$203,A63),0))</f>
        <v/>
      </c>
      <c r="N63" s="14" t="str">
        <f>IF(A63="","",IFERROR(SUMIFS(COMPRAS_HILO!$H$4:$H$203,COMPRAS_HILO!$B$4:$B$203,A63),0))</f>
        <v/>
      </c>
      <c r="O63" s="15" t="str">
        <f>IFERROR(IF(SUMPRODUCT((COMPRAS_HILO!$B$4:$B$203=A63)*1)=0,"",LOOKUP(2,1/((COMPRAS_HILO!$B$4:$B$203=A63)*(COMPRAS_HILO!$J$4:$J$203&lt;&gt;"")),COMPRAS_HILO!$J$4:$J$203)),"")</f>
        <v/>
      </c>
      <c r="P63" s="16"/>
      <c r="Q63" s="17" t="str">
        <f>IF(A63="","",IFERROR(SUMIFS(PROGRAMA_DETALLE!$H$4:$H$503,PROGRAMA_DETALLE!$A$4:$A$503,A63),0))</f>
        <v/>
      </c>
      <c r="R63" s="17" t="str">
        <f>IF(A63="","",IFERROR(SUMIFS(PROGRAMA_DETALLE!$I$4:$I$503,PROGRAMA_DETALLE!$A$4:$A$503,A63),0))</f>
        <v/>
      </c>
      <c r="S63" s="10"/>
      <c r="T63" s="17">
        <f t="shared" si="1"/>
        <v>0</v>
      </c>
      <c r="U63" s="18">
        <f t="shared" si="2"/>
        <v>0</v>
      </c>
      <c r="V63" s="19" t="str">
        <f>IF(A63="","",IFERROR(SUMIFS(PROGRAMA_DETALLE!$R$4:$R$503,PROGRAMA_DETALLE!$A$4:$A$503,A63),0))</f>
        <v/>
      </c>
      <c r="W63" s="19" t="str">
        <f>IF(A63="","",IFERROR(SUMIFS(PROGRAMA_DETALLE!$S$4:$S$503,PROGRAMA_DETALLE!$A$4:$A$503,A63),0))</f>
        <v/>
      </c>
      <c r="X63" s="19">
        <f t="shared" si="3"/>
        <v>0</v>
      </c>
      <c r="Y63" s="20">
        <f t="shared" si="4"/>
        <v>0</v>
      </c>
      <c r="Z63" s="21">
        <f t="shared" si="5"/>
        <v>0</v>
      </c>
      <c r="AA63" s="22">
        <f t="shared" si="6"/>
        <v>0</v>
      </c>
      <c r="AB63" s="23">
        <f>IFERROR(W63*DASHBOARD!$C$2,0)</f>
        <v>0</v>
      </c>
      <c r="AC63" s="24"/>
      <c r="AD63" s="7"/>
      <c r="AE63" s="25">
        <f>IFERROR(N63+IFERROR(SUMIFS(PROGRAMA_DETALLE!$M$4:$M$503,PROGRAMA_DETALLE!$A$4:$A$503,A63),0)+IFERROR(SUMIFS(PROGRAMA_DETALLE!$Z$4:$Z$503,PROGRAMA_DETALLE!$A$4:$A$503,A63),0)+AB63,0)</f>
        <v>0</v>
      </c>
      <c r="AF63" s="25">
        <f t="shared" si="7"/>
        <v>0</v>
      </c>
      <c r="AG63" s="26">
        <f t="shared" si="8"/>
        <v>0</v>
      </c>
    </row>
    <row r="64" ht="15.75" customHeight="1">
      <c r="A64" s="6"/>
      <c r="B64" s="7"/>
      <c r="C64" s="6"/>
      <c r="D64" s="8"/>
      <c r="E64" s="9"/>
      <c r="F64" s="10"/>
      <c r="G64" s="8"/>
      <c r="H64" s="8"/>
      <c r="I64" s="8"/>
      <c r="J64" s="6"/>
      <c r="K64" s="11">
        <f>IFERROR(SUMIFS(PROGRAMA_DETALLE!$E$4:$E$503,PROGRAMA_DETALLE!$A$4:$A$503,A64),0)</f>
        <v>0</v>
      </c>
      <c r="L64" s="12">
        <f>IFERROR(SUMIFS(PROGRAMA_DETALLE!$F$4:$F$503,PROGRAMA_DETALLE!$A$4:$A$503,A64),0)</f>
        <v>0</v>
      </c>
      <c r="M64" s="13" t="str">
        <f>IF(A64="","",IFERROR(SUMIFS(COMPRAS_HILO!$D$4:$D$203,COMPRAS_HILO!$B$4:$B$203,A64),0))</f>
        <v/>
      </c>
      <c r="N64" s="14" t="str">
        <f>IF(A64="","",IFERROR(SUMIFS(COMPRAS_HILO!$H$4:$H$203,COMPRAS_HILO!$B$4:$B$203,A64),0))</f>
        <v/>
      </c>
      <c r="O64" s="15" t="str">
        <f>IFERROR(IF(SUMPRODUCT((COMPRAS_HILO!$B$4:$B$203=A64)*1)=0,"",LOOKUP(2,1/((COMPRAS_HILO!$B$4:$B$203=A64)*(COMPRAS_HILO!$J$4:$J$203&lt;&gt;"")),COMPRAS_HILO!$J$4:$J$203)),"")</f>
        <v/>
      </c>
      <c r="P64" s="16"/>
      <c r="Q64" s="17" t="str">
        <f>IF(A64="","",IFERROR(SUMIFS(PROGRAMA_DETALLE!$H$4:$H$503,PROGRAMA_DETALLE!$A$4:$A$503,A64),0))</f>
        <v/>
      </c>
      <c r="R64" s="17" t="str">
        <f>IF(A64="","",IFERROR(SUMIFS(PROGRAMA_DETALLE!$I$4:$I$503,PROGRAMA_DETALLE!$A$4:$A$503,A64),0))</f>
        <v/>
      </c>
      <c r="S64" s="10"/>
      <c r="T64" s="17">
        <f t="shared" si="1"/>
        <v>0</v>
      </c>
      <c r="U64" s="18">
        <f t="shared" si="2"/>
        <v>0</v>
      </c>
      <c r="V64" s="19" t="str">
        <f>IF(A64="","",IFERROR(SUMIFS(PROGRAMA_DETALLE!$R$4:$R$503,PROGRAMA_DETALLE!$A$4:$A$503,A64),0))</f>
        <v/>
      </c>
      <c r="W64" s="19" t="str">
        <f>IF(A64="","",IFERROR(SUMIFS(PROGRAMA_DETALLE!$S$4:$S$503,PROGRAMA_DETALLE!$A$4:$A$503,A64),0))</f>
        <v/>
      </c>
      <c r="X64" s="19">
        <f t="shared" si="3"/>
        <v>0</v>
      </c>
      <c r="Y64" s="20">
        <f t="shared" si="4"/>
        <v>0</v>
      </c>
      <c r="Z64" s="21">
        <f t="shared" si="5"/>
        <v>0</v>
      </c>
      <c r="AA64" s="22">
        <f t="shared" si="6"/>
        <v>0</v>
      </c>
      <c r="AB64" s="23">
        <f>IFERROR(W64*DASHBOARD!$C$2,0)</f>
        <v>0</v>
      </c>
      <c r="AC64" s="24"/>
      <c r="AD64" s="7"/>
      <c r="AE64" s="25">
        <f>IFERROR(N64+IFERROR(SUMIFS(PROGRAMA_DETALLE!$M$4:$M$503,PROGRAMA_DETALLE!$A$4:$A$503,A64),0)+IFERROR(SUMIFS(PROGRAMA_DETALLE!$Z$4:$Z$503,PROGRAMA_DETALLE!$A$4:$A$503,A64),0)+AB64,0)</f>
        <v>0</v>
      </c>
      <c r="AF64" s="25">
        <f t="shared" si="7"/>
        <v>0</v>
      </c>
      <c r="AG64" s="26">
        <f t="shared" si="8"/>
        <v>0</v>
      </c>
    </row>
    <row r="65" ht="15.75" customHeight="1">
      <c r="A65" s="6"/>
      <c r="B65" s="7"/>
      <c r="C65" s="6"/>
      <c r="D65" s="8"/>
      <c r="E65" s="9"/>
      <c r="F65" s="10"/>
      <c r="G65" s="8"/>
      <c r="H65" s="8"/>
      <c r="I65" s="8"/>
      <c r="J65" s="6"/>
      <c r="K65" s="11">
        <f>IFERROR(SUMIFS(PROGRAMA_DETALLE!$E$4:$E$503,PROGRAMA_DETALLE!$A$4:$A$503,A65),0)</f>
        <v>0</v>
      </c>
      <c r="L65" s="12">
        <f>IFERROR(SUMIFS(PROGRAMA_DETALLE!$F$4:$F$503,PROGRAMA_DETALLE!$A$4:$A$503,A65),0)</f>
        <v>0</v>
      </c>
      <c r="M65" s="13" t="str">
        <f>IF(A65="","",IFERROR(SUMIFS(COMPRAS_HILO!$D$4:$D$203,COMPRAS_HILO!$B$4:$B$203,A65),0))</f>
        <v/>
      </c>
      <c r="N65" s="14" t="str">
        <f>IF(A65="","",IFERROR(SUMIFS(COMPRAS_HILO!$H$4:$H$203,COMPRAS_HILO!$B$4:$B$203,A65),0))</f>
        <v/>
      </c>
      <c r="O65" s="15" t="str">
        <f>IFERROR(IF(SUMPRODUCT((COMPRAS_HILO!$B$4:$B$203=A65)*1)=0,"",LOOKUP(2,1/((COMPRAS_HILO!$B$4:$B$203=A65)*(COMPRAS_HILO!$J$4:$J$203&lt;&gt;"")),COMPRAS_HILO!$J$4:$J$203)),"")</f>
        <v/>
      </c>
      <c r="P65" s="16"/>
      <c r="Q65" s="17" t="str">
        <f>IF(A65="","",IFERROR(SUMIFS(PROGRAMA_DETALLE!$H$4:$H$503,PROGRAMA_DETALLE!$A$4:$A$503,A65),0))</f>
        <v/>
      </c>
      <c r="R65" s="17" t="str">
        <f>IF(A65="","",IFERROR(SUMIFS(PROGRAMA_DETALLE!$I$4:$I$503,PROGRAMA_DETALLE!$A$4:$A$503,A65),0))</f>
        <v/>
      </c>
      <c r="S65" s="10"/>
      <c r="T65" s="17">
        <f t="shared" si="1"/>
        <v>0</v>
      </c>
      <c r="U65" s="18">
        <f t="shared" si="2"/>
        <v>0</v>
      </c>
      <c r="V65" s="19" t="str">
        <f>IF(A65="","",IFERROR(SUMIFS(PROGRAMA_DETALLE!$R$4:$R$503,PROGRAMA_DETALLE!$A$4:$A$503,A65),0))</f>
        <v/>
      </c>
      <c r="W65" s="19" t="str">
        <f>IF(A65="","",IFERROR(SUMIFS(PROGRAMA_DETALLE!$S$4:$S$503,PROGRAMA_DETALLE!$A$4:$A$503,A65),0))</f>
        <v/>
      </c>
      <c r="X65" s="19">
        <f t="shared" si="3"/>
        <v>0</v>
      </c>
      <c r="Y65" s="20">
        <f t="shared" si="4"/>
        <v>0</v>
      </c>
      <c r="Z65" s="21">
        <f t="shared" si="5"/>
        <v>0</v>
      </c>
      <c r="AA65" s="22">
        <f t="shared" si="6"/>
        <v>0</v>
      </c>
      <c r="AB65" s="23">
        <f>IFERROR(W65*DASHBOARD!$C$2,0)</f>
        <v>0</v>
      </c>
      <c r="AC65" s="24"/>
      <c r="AD65" s="7"/>
      <c r="AE65" s="25">
        <f>IFERROR(N65+IFERROR(SUMIFS(PROGRAMA_DETALLE!$M$4:$M$503,PROGRAMA_DETALLE!$A$4:$A$503,A65),0)+IFERROR(SUMIFS(PROGRAMA_DETALLE!$Z$4:$Z$503,PROGRAMA_DETALLE!$A$4:$A$503,A65),0)+AB65,0)</f>
        <v>0</v>
      </c>
      <c r="AF65" s="25">
        <f t="shared" si="7"/>
        <v>0</v>
      </c>
      <c r="AG65" s="26">
        <f t="shared" si="8"/>
        <v>0</v>
      </c>
    </row>
    <row r="66" ht="15.75" customHeight="1">
      <c r="A66" s="6"/>
      <c r="B66" s="7"/>
      <c r="C66" s="6"/>
      <c r="D66" s="8"/>
      <c r="E66" s="9"/>
      <c r="F66" s="10"/>
      <c r="G66" s="8"/>
      <c r="H66" s="8"/>
      <c r="I66" s="8"/>
      <c r="J66" s="6"/>
      <c r="K66" s="11">
        <f>IFERROR(SUMIFS(PROGRAMA_DETALLE!$E$4:$E$503,PROGRAMA_DETALLE!$A$4:$A$503,A66),0)</f>
        <v>0</v>
      </c>
      <c r="L66" s="12">
        <f>IFERROR(SUMIFS(PROGRAMA_DETALLE!$F$4:$F$503,PROGRAMA_DETALLE!$A$4:$A$503,A66),0)</f>
        <v>0</v>
      </c>
      <c r="M66" s="13" t="str">
        <f>IF(A66="","",IFERROR(SUMIFS(COMPRAS_HILO!$D$4:$D$203,COMPRAS_HILO!$B$4:$B$203,A66),0))</f>
        <v/>
      </c>
      <c r="N66" s="14" t="str">
        <f>IF(A66="","",IFERROR(SUMIFS(COMPRAS_HILO!$H$4:$H$203,COMPRAS_HILO!$B$4:$B$203,A66),0))</f>
        <v/>
      </c>
      <c r="O66" s="15" t="str">
        <f>IFERROR(IF(SUMPRODUCT((COMPRAS_HILO!$B$4:$B$203=A66)*1)=0,"",LOOKUP(2,1/((COMPRAS_HILO!$B$4:$B$203=A66)*(COMPRAS_HILO!$J$4:$J$203&lt;&gt;"")),COMPRAS_HILO!$J$4:$J$203)),"")</f>
        <v/>
      </c>
      <c r="P66" s="16"/>
      <c r="Q66" s="17" t="str">
        <f>IF(A66="","",IFERROR(SUMIFS(PROGRAMA_DETALLE!$H$4:$H$503,PROGRAMA_DETALLE!$A$4:$A$503,A66),0))</f>
        <v/>
      </c>
      <c r="R66" s="17" t="str">
        <f>IF(A66="","",IFERROR(SUMIFS(PROGRAMA_DETALLE!$I$4:$I$503,PROGRAMA_DETALLE!$A$4:$A$503,A66),0))</f>
        <v/>
      </c>
      <c r="S66" s="10"/>
      <c r="T66" s="17">
        <f t="shared" si="1"/>
        <v>0</v>
      </c>
      <c r="U66" s="18">
        <f t="shared" si="2"/>
        <v>0</v>
      </c>
      <c r="V66" s="19" t="str">
        <f>IF(A66="","",IFERROR(SUMIFS(PROGRAMA_DETALLE!$R$4:$R$503,PROGRAMA_DETALLE!$A$4:$A$503,A66),0))</f>
        <v/>
      </c>
      <c r="W66" s="19" t="str">
        <f>IF(A66="","",IFERROR(SUMIFS(PROGRAMA_DETALLE!$S$4:$S$503,PROGRAMA_DETALLE!$A$4:$A$503,A66),0))</f>
        <v/>
      </c>
      <c r="X66" s="19">
        <f t="shared" si="3"/>
        <v>0</v>
      </c>
      <c r="Y66" s="20">
        <f t="shared" si="4"/>
        <v>0</v>
      </c>
      <c r="Z66" s="21">
        <f t="shared" si="5"/>
        <v>0</v>
      </c>
      <c r="AA66" s="22">
        <f t="shared" si="6"/>
        <v>0</v>
      </c>
      <c r="AB66" s="23">
        <f>IFERROR(W66*DASHBOARD!$C$2,0)</f>
        <v>0</v>
      </c>
      <c r="AC66" s="24"/>
      <c r="AD66" s="7"/>
      <c r="AE66" s="25">
        <f>IFERROR(N66+IFERROR(SUMIFS(PROGRAMA_DETALLE!$M$4:$M$503,PROGRAMA_DETALLE!$A$4:$A$503,A66),0)+IFERROR(SUMIFS(PROGRAMA_DETALLE!$Z$4:$Z$503,PROGRAMA_DETALLE!$A$4:$A$503,A66),0)+AB66,0)</f>
        <v>0</v>
      </c>
      <c r="AF66" s="25">
        <f t="shared" si="7"/>
        <v>0</v>
      </c>
      <c r="AG66" s="26">
        <f t="shared" si="8"/>
        <v>0</v>
      </c>
    </row>
    <row r="67" ht="15.75" customHeight="1">
      <c r="A67" s="6"/>
      <c r="B67" s="7"/>
      <c r="C67" s="6"/>
      <c r="D67" s="8"/>
      <c r="E67" s="9"/>
      <c r="F67" s="10"/>
      <c r="G67" s="8"/>
      <c r="H67" s="8"/>
      <c r="I67" s="8"/>
      <c r="J67" s="6"/>
      <c r="K67" s="11">
        <f>IFERROR(SUMIFS(PROGRAMA_DETALLE!$E$4:$E$503,PROGRAMA_DETALLE!$A$4:$A$503,A67),0)</f>
        <v>0</v>
      </c>
      <c r="L67" s="12">
        <f>IFERROR(SUMIFS(PROGRAMA_DETALLE!$F$4:$F$503,PROGRAMA_DETALLE!$A$4:$A$503,A67),0)</f>
        <v>0</v>
      </c>
      <c r="M67" s="13" t="str">
        <f>IF(A67="","",IFERROR(SUMIFS(COMPRAS_HILO!$D$4:$D$203,COMPRAS_HILO!$B$4:$B$203,A67),0))</f>
        <v/>
      </c>
      <c r="N67" s="14" t="str">
        <f>IF(A67="","",IFERROR(SUMIFS(COMPRAS_HILO!$H$4:$H$203,COMPRAS_HILO!$B$4:$B$203,A67),0))</f>
        <v/>
      </c>
      <c r="O67" s="15" t="str">
        <f>IFERROR(IF(SUMPRODUCT((COMPRAS_HILO!$B$4:$B$203=A67)*1)=0,"",LOOKUP(2,1/((COMPRAS_HILO!$B$4:$B$203=A67)*(COMPRAS_HILO!$J$4:$J$203&lt;&gt;"")),COMPRAS_HILO!$J$4:$J$203)),"")</f>
        <v/>
      </c>
      <c r="P67" s="16"/>
      <c r="Q67" s="17" t="str">
        <f>IF(A67="","",IFERROR(SUMIFS(PROGRAMA_DETALLE!$H$4:$H$503,PROGRAMA_DETALLE!$A$4:$A$503,A67),0))</f>
        <v/>
      </c>
      <c r="R67" s="17" t="str">
        <f>IF(A67="","",IFERROR(SUMIFS(PROGRAMA_DETALLE!$I$4:$I$503,PROGRAMA_DETALLE!$A$4:$A$503,A67),0))</f>
        <v/>
      </c>
      <c r="S67" s="10"/>
      <c r="T67" s="17">
        <f t="shared" si="1"/>
        <v>0</v>
      </c>
      <c r="U67" s="18">
        <f t="shared" si="2"/>
        <v>0</v>
      </c>
      <c r="V67" s="19" t="str">
        <f>IF(A67="","",IFERROR(SUMIFS(PROGRAMA_DETALLE!$R$4:$R$503,PROGRAMA_DETALLE!$A$4:$A$503,A67),0))</f>
        <v/>
      </c>
      <c r="W67" s="19" t="str">
        <f>IF(A67="","",IFERROR(SUMIFS(PROGRAMA_DETALLE!$S$4:$S$503,PROGRAMA_DETALLE!$A$4:$A$503,A67),0))</f>
        <v/>
      </c>
      <c r="X67" s="19">
        <f t="shared" si="3"/>
        <v>0</v>
      </c>
      <c r="Y67" s="20">
        <f t="shared" si="4"/>
        <v>0</v>
      </c>
      <c r="Z67" s="21">
        <f t="shared" si="5"/>
        <v>0</v>
      </c>
      <c r="AA67" s="22">
        <f t="shared" si="6"/>
        <v>0</v>
      </c>
      <c r="AB67" s="23">
        <f>IFERROR(W67*DASHBOARD!$C$2,0)</f>
        <v>0</v>
      </c>
      <c r="AC67" s="24"/>
      <c r="AD67" s="7"/>
      <c r="AE67" s="25">
        <f>IFERROR(N67+IFERROR(SUMIFS(PROGRAMA_DETALLE!$M$4:$M$503,PROGRAMA_DETALLE!$A$4:$A$503,A67),0)+IFERROR(SUMIFS(PROGRAMA_DETALLE!$Z$4:$Z$503,PROGRAMA_DETALLE!$A$4:$A$503,A67),0)+AB67,0)</f>
        <v>0</v>
      </c>
      <c r="AF67" s="25">
        <f t="shared" si="7"/>
        <v>0</v>
      </c>
      <c r="AG67" s="26">
        <f t="shared" si="8"/>
        <v>0</v>
      </c>
    </row>
    <row r="68" ht="15.75" customHeight="1">
      <c r="A68" s="6"/>
      <c r="B68" s="7"/>
      <c r="C68" s="6"/>
      <c r="D68" s="8"/>
      <c r="E68" s="9"/>
      <c r="F68" s="10"/>
      <c r="G68" s="8"/>
      <c r="H68" s="8"/>
      <c r="I68" s="8"/>
      <c r="J68" s="6"/>
      <c r="K68" s="11">
        <f>IFERROR(SUMIFS(PROGRAMA_DETALLE!$E$4:$E$503,PROGRAMA_DETALLE!$A$4:$A$503,A68),0)</f>
        <v>0</v>
      </c>
      <c r="L68" s="12">
        <f>IFERROR(SUMIFS(PROGRAMA_DETALLE!$F$4:$F$503,PROGRAMA_DETALLE!$A$4:$A$503,A68),0)</f>
        <v>0</v>
      </c>
      <c r="M68" s="13" t="str">
        <f>IF(A68="","",IFERROR(SUMIFS(COMPRAS_HILO!$D$4:$D$203,COMPRAS_HILO!$B$4:$B$203,A68),0))</f>
        <v/>
      </c>
      <c r="N68" s="14" t="str">
        <f>IF(A68="","",IFERROR(SUMIFS(COMPRAS_HILO!$H$4:$H$203,COMPRAS_HILO!$B$4:$B$203,A68),0))</f>
        <v/>
      </c>
      <c r="O68" s="15" t="str">
        <f>IFERROR(IF(SUMPRODUCT((COMPRAS_HILO!$B$4:$B$203=A68)*1)=0,"",LOOKUP(2,1/((COMPRAS_HILO!$B$4:$B$203=A68)*(COMPRAS_HILO!$J$4:$J$203&lt;&gt;"")),COMPRAS_HILO!$J$4:$J$203)),"")</f>
        <v/>
      </c>
      <c r="P68" s="16"/>
      <c r="Q68" s="17" t="str">
        <f>IF(A68="","",IFERROR(SUMIFS(PROGRAMA_DETALLE!$H$4:$H$503,PROGRAMA_DETALLE!$A$4:$A$503,A68),0))</f>
        <v/>
      </c>
      <c r="R68" s="17" t="str">
        <f>IF(A68="","",IFERROR(SUMIFS(PROGRAMA_DETALLE!$I$4:$I$503,PROGRAMA_DETALLE!$A$4:$A$503,A68),0))</f>
        <v/>
      </c>
      <c r="S68" s="10"/>
      <c r="T68" s="17">
        <f t="shared" si="1"/>
        <v>0</v>
      </c>
      <c r="U68" s="18">
        <f t="shared" si="2"/>
        <v>0</v>
      </c>
      <c r="V68" s="19" t="str">
        <f>IF(A68="","",IFERROR(SUMIFS(PROGRAMA_DETALLE!$R$4:$R$503,PROGRAMA_DETALLE!$A$4:$A$503,A68),0))</f>
        <v/>
      </c>
      <c r="W68" s="19" t="str">
        <f>IF(A68="","",IFERROR(SUMIFS(PROGRAMA_DETALLE!$S$4:$S$503,PROGRAMA_DETALLE!$A$4:$A$503,A68),0))</f>
        <v/>
      </c>
      <c r="X68" s="19">
        <f t="shared" si="3"/>
        <v>0</v>
      </c>
      <c r="Y68" s="20">
        <f t="shared" si="4"/>
        <v>0</v>
      </c>
      <c r="Z68" s="21">
        <f t="shared" si="5"/>
        <v>0</v>
      </c>
      <c r="AA68" s="22">
        <f t="shared" si="6"/>
        <v>0</v>
      </c>
      <c r="AB68" s="23">
        <f>IFERROR(W68*DASHBOARD!$C$2,0)</f>
        <v>0</v>
      </c>
      <c r="AC68" s="24"/>
      <c r="AD68" s="7"/>
      <c r="AE68" s="25">
        <f>IFERROR(N68+IFERROR(SUMIFS(PROGRAMA_DETALLE!$M$4:$M$503,PROGRAMA_DETALLE!$A$4:$A$503,A68),0)+IFERROR(SUMIFS(PROGRAMA_DETALLE!$Z$4:$Z$503,PROGRAMA_DETALLE!$A$4:$A$503,A68),0)+AB68,0)</f>
        <v>0</v>
      </c>
      <c r="AF68" s="25">
        <f t="shared" si="7"/>
        <v>0</v>
      </c>
      <c r="AG68" s="26">
        <f t="shared" si="8"/>
        <v>0</v>
      </c>
    </row>
    <row r="69" ht="15.75" customHeight="1">
      <c r="A69" s="6"/>
      <c r="B69" s="7"/>
      <c r="C69" s="6"/>
      <c r="D69" s="8"/>
      <c r="E69" s="9"/>
      <c r="F69" s="10"/>
      <c r="G69" s="8"/>
      <c r="H69" s="8"/>
      <c r="I69" s="8"/>
      <c r="J69" s="6"/>
      <c r="K69" s="11">
        <f>IFERROR(SUMIFS(PROGRAMA_DETALLE!$E$4:$E$503,PROGRAMA_DETALLE!$A$4:$A$503,A69),0)</f>
        <v>0</v>
      </c>
      <c r="L69" s="12">
        <f>IFERROR(SUMIFS(PROGRAMA_DETALLE!$F$4:$F$503,PROGRAMA_DETALLE!$A$4:$A$503,A69),0)</f>
        <v>0</v>
      </c>
      <c r="M69" s="13" t="str">
        <f>IF(A69="","",IFERROR(SUMIFS(COMPRAS_HILO!$D$4:$D$203,COMPRAS_HILO!$B$4:$B$203,A69),0))</f>
        <v/>
      </c>
      <c r="N69" s="14" t="str">
        <f>IF(A69="","",IFERROR(SUMIFS(COMPRAS_HILO!$H$4:$H$203,COMPRAS_HILO!$B$4:$B$203,A69),0))</f>
        <v/>
      </c>
      <c r="O69" s="15" t="str">
        <f>IFERROR(IF(SUMPRODUCT((COMPRAS_HILO!$B$4:$B$203=A69)*1)=0,"",LOOKUP(2,1/((COMPRAS_HILO!$B$4:$B$203=A69)*(COMPRAS_HILO!$J$4:$J$203&lt;&gt;"")),COMPRAS_HILO!$J$4:$J$203)),"")</f>
        <v/>
      </c>
      <c r="P69" s="16"/>
      <c r="Q69" s="17" t="str">
        <f>IF(A69="","",IFERROR(SUMIFS(PROGRAMA_DETALLE!$H$4:$H$503,PROGRAMA_DETALLE!$A$4:$A$503,A69),0))</f>
        <v/>
      </c>
      <c r="R69" s="17" t="str">
        <f>IF(A69="","",IFERROR(SUMIFS(PROGRAMA_DETALLE!$I$4:$I$503,PROGRAMA_DETALLE!$A$4:$A$503,A69),0))</f>
        <v/>
      </c>
      <c r="S69" s="10"/>
      <c r="T69" s="17">
        <f t="shared" si="1"/>
        <v>0</v>
      </c>
      <c r="U69" s="18">
        <f t="shared" si="2"/>
        <v>0</v>
      </c>
      <c r="V69" s="19" t="str">
        <f>IF(A69="","",IFERROR(SUMIFS(PROGRAMA_DETALLE!$R$4:$R$503,PROGRAMA_DETALLE!$A$4:$A$503,A69),0))</f>
        <v/>
      </c>
      <c r="W69" s="19" t="str">
        <f>IF(A69="","",IFERROR(SUMIFS(PROGRAMA_DETALLE!$S$4:$S$503,PROGRAMA_DETALLE!$A$4:$A$503,A69),0))</f>
        <v/>
      </c>
      <c r="X69" s="19">
        <f t="shared" si="3"/>
        <v>0</v>
      </c>
      <c r="Y69" s="20">
        <f t="shared" si="4"/>
        <v>0</v>
      </c>
      <c r="Z69" s="21">
        <f t="shared" si="5"/>
        <v>0</v>
      </c>
      <c r="AA69" s="22">
        <f t="shared" si="6"/>
        <v>0</v>
      </c>
      <c r="AB69" s="23">
        <f>IFERROR(W69*DASHBOARD!$C$2,0)</f>
        <v>0</v>
      </c>
      <c r="AC69" s="24"/>
      <c r="AD69" s="7"/>
      <c r="AE69" s="25">
        <f>IFERROR(N69+IFERROR(SUMIFS(PROGRAMA_DETALLE!$M$4:$M$503,PROGRAMA_DETALLE!$A$4:$A$503,A69),0)+IFERROR(SUMIFS(PROGRAMA_DETALLE!$Z$4:$Z$503,PROGRAMA_DETALLE!$A$4:$A$503,A69),0)+AB69,0)</f>
        <v>0</v>
      </c>
      <c r="AF69" s="25">
        <f t="shared" si="7"/>
        <v>0</v>
      </c>
      <c r="AG69" s="26">
        <f t="shared" si="8"/>
        <v>0</v>
      </c>
    </row>
    <row r="70" ht="15.75" customHeight="1">
      <c r="A70" s="6"/>
      <c r="B70" s="7"/>
      <c r="C70" s="6"/>
      <c r="D70" s="8"/>
      <c r="E70" s="9"/>
      <c r="F70" s="10"/>
      <c r="G70" s="8"/>
      <c r="H70" s="8"/>
      <c r="I70" s="8"/>
      <c r="J70" s="6"/>
      <c r="K70" s="11">
        <f>IFERROR(SUMIFS(PROGRAMA_DETALLE!$E$4:$E$503,PROGRAMA_DETALLE!$A$4:$A$503,A70),0)</f>
        <v>0</v>
      </c>
      <c r="L70" s="12">
        <f>IFERROR(SUMIFS(PROGRAMA_DETALLE!$F$4:$F$503,PROGRAMA_DETALLE!$A$4:$A$503,A70),0)</f>
        <v>0</v>
      </c>
      <c r="M70" s="13" t="str">
        <f>IF(A70="","",IFERROR(SUMIFS(COMPRAS_HILO!$D$4:$D$203,COMPRAS_HILO!$B$4:$B$203,A70),0))</f>
        <v/>
      </c>
      <c r="N70" s="14" t="str">
        <f>IF(A70="","",IFERROR(SUMIFS(COMPRAS_HILO!$H$4:$H$203,COMPRAS_HILO!$B$4:$B$203,A70),0))</f>
        <v/>
      </c>
      <c r="O70" s="15" t="str">
        <f>IFERROR(IF(SUMPRODUCT((COMPRAS_HILO!$B$4:$B$203=A70)*1)=0,"",LOOKUP(2,1/((COMPRAS_HILO!$B$4:$B$203=A70)*(COMPRAS_HILO!$J$4:$J$203&lt;&gt;"")),COMPRAS_HILO!$J$4:$J$203)),"")</f>
        <v/>
      </c>
      <c r="P70" s="16"/>
      <c r="Q70" s="17" t="str">
        <f>IF(A70="","",IFERROR(SUMIFS(PROGRAMA_DETALLE!$H$4:$H$503,PROGRAMA_DETALLE!$A$4:$A$503,A70),0))</f>
        <v/>
      </c>
      <c r="R70" s="17" t="str">
        <f>IF(A70="","",IFERROR(SUMIFS(PROGRAMA_DETALLE!$I$4:$I$503,PROGRAMA_DETALLE!$A$4:$A$503,A70),0))</f>
        <v/>
      </c>
      <c r="S70" s="10"/>
      <c r="T70" s="17">
        <f t="shared" si="1"/>
        <v>0</v>
      </c>
      <c r="U70" s="18">
        <f t="shared" si="2"/>
        <v>0</v>
      </c>
      <c r="V70" s="19" t="str">
        <f>IF(A70="","",IFERROR(SUMIFS(PROGRAMA_DETALLE!$R$4:$R$503,PROGRAMA_DETALLE!$A$4:$A$503,A70),0))</f>
        <v/>
      </c>
      <c r="W70" s="19" t="str">
        <f>IF(A70="","",IFERROR(SUMIFS(PROGRAMA_DETALLE!$S$4:$S$503,PROGRAMA_DETALLE!$A$4:$A$503,A70),0))</f>
        <v/>
      </c>
      <c r="X70" s="19">
        <f t="shared" si="3"/>
        <v>0</v>
      </c>
      <c r="Y70" s="20">
        <f t="shared" si="4"/>
        <v>0</v>
      </c>
      <c r="Z70" s="21">
        <f t="shared" si="5"/>
        <v>0</v>
      </c>
      <c r="AA70" s="22">
        <f t="shared" si="6"/>
        <v>0</v>
      </c>
      <c r="AB70" s="23">
        <f>IFERROR(W70*DASHBOARD!$C$2,0)</f>
        <v>0</v>
      </c>
      <c r="AC70" s="24"/>
      <c r="AD70" s="7"/>
      <c r="AE70" s="25">
        <f>IFERROR(N70+IFERROR(SUMIFS(PROGRAMA_DETALLE!$M$4:$M$503,PROGRAMA_DETALLE!$A$4:$A$503,A70),0)+IFERROR(SUMIFS(PROGRAMA_DETALLE!$Z$4:$Z$503,PROGRAMA_DETALLE!$A$4:$A$503,A70),0)+AB70,0)</f>
        <v>0</v>
      </c>
      <c r="AF70" s="25">
        <f t="shared" si="7"/>
        <v>0</v>
      </c>
      <c r="AG70" s="26">
        <f t="shared" si="8"/>
        <v>0</v>
      </c>
    </row>
    <row r="71" ht="15.75" customHeight="1">
      <c r="A71" s="6"/>
      <c r="B71" s="7"/>
      <c r="C71" s="6"/>
      <c r="D71" s="8"/>
      <c r="E71" s="9"/>
      <c r="F71" s="10"/>
      <c r="G71" s="8"/>
      <c r="H71" s="8"/>
      <c r="I71" s="8"/>
      <c r="J71" s="6"/>
      <c r="K71" s="11">
        <f>IFERROR(SUMIFS(PROGRAMA_DETALLE!$E$4:$E$503,PROGRAMA_DETALLE!$A$4:$A$503,A71),0)</f>
        <v>0</v>
      </c>
      <c r="L71" s="12">
        <f>IFERROR(SUMIFS(PROGRAMA_DETALLE!$F$4:$F$503,PROGRAMA_DETALLE!$A$4:$A$503,A71),0)</f>
        <v>0</v>
      </c>
      <c r="M71" s="13" t="str">
        <f>IF(A71="","",IFERROR(SUMIFS(COMPRAS_HILO!$D$4:$D$203,COMPRAS_HILO!$B$4:$B$203,A71),0))</f>
        <v/>
      </c>
      <c r="N71" s="14" t="str">
        <f>IF(A71="","",IFERROR(SUMIFS(COMPRAS_HILO!$H$4:$H$203,COMPRAS_HILO!$B$4:$B$203,A71),0))</f>
        <v/>
      </c>
      <c r="O71" s="15" t="str">
        <f>IFERROR(IF(SUMPRODUCT((COMPRAS_HILO!$B$4:$B$203=A71)*1)=0,"",LOOKUP(2,1/((COMPRAS_HILO!$B$4:$B$203=A71)*(COMPRAS_HILO!$J$4:$J$203&lt;&gt;"")),COMPRAS_HILO!$J$4:$J$203)),"")</f>
        <v/>
      </c>
      <c r="P71" s="16"/>
      <c r="Q71" s="17" t="str">
        <f>IF(A71="","",IFERROR(SUMIFS(PROGRAMA_DETALLE!$H$4:$H$503,PROGRAMA_DETALLE!$A$4:$A$503,A71),0))</f>
        <v/>
      </c>
      <c r="R71" s="17" t="str">
        <f>IF(A71="","",IFERROR(SUMIFS(PROGRAMA_DETALLE!$I$4:$I$503,PROGRAMA_DETALLE!$A$4:$A$503,A71),0))</f>
        <v/>
      </c>
      <c r="S71" s="10"/>
      <c r="T71" s="17">
        <f t="shared" si="1"/>
        <v>0</v>
      </c>
      <c r="U71" s="18">
        <f t="shared" si="2"/>
        <v>0</v>
      </c>
      <c r="V71" s="19" t="str">
        <f>IF(A71="","",IFERROR(SUMIFS(PROGRAMA_DETALLE!$R$4:$R$503,PROGRAMA_DETALLE!$A$4:$A$503,A71),0))</f>
        <v/>
      </c>
      <c r="W71" s="19" t="str">
        <f>IF(A71="","",IFERROR(SUMIFS(PROGRAMA_DETALLE!$S$4:$S$503,PROGRAMA_DETALLE!$A$4:$A$503,A71),0))</f>
        <v/>
      </c>
      <c r="X71" s="19">
        <f t="shared" si="3"/>
        <v>0</v>
      </c>
      <c r="Y71" s="20">
        <f t="shared" si="4"/>
        <v>0</v>
      </c>
      <c r="Z71" s="21">
        <f t="shared" si="5"/>
        <v>0</v>
      </c>
      <c r="AA71" s="22">
        <f t="shared" si="6"/>
        <v>0</v>
      </c>
      <c r="AB71" s="23">
        <f>IFERROR(W71*DASHBOARD!$C$2,0)</f>
        <v>0</v>
      </c>
      <c r="AC71" s="24"/>
      <c r="AD71" s="7"/>
      <c r="AE71" s="25">
        <f>IFERROR(N71+IFERROR(SUMIFS(PROGRAMA_DETALLE!$M$4:$M$503,PROGRAMA_DETALLE!$A$4:$A$503,A71),0)+IFERROR(SUMIFS(PROGRAMA_DETALLE!$Z$4:$Z$503,PROGRAMA_DETALLE!$A$4:$A$503,A71),0)+AB71,0)</f>
        <v>0</v>
      </c>
      <c r="AF71" s="25">
        <f t="shared" si="7"/>
        <v>0</v>
      </c>
      <c r="AG71" s="26">
        <f t="shared" si="8"/>
        <v>0</v>
      </c>
    </row>
    <row r="72" ht="15.75" customHeight="1">
      <c r="A72" s="6"/>
      <c r="B72" s="7"/>
      <c r="C72" s="6"/>
      <c r="D72" s="8"/>
      <c r="E72" s="9"/>
      <c r="F72" s="10"/>
      <c r="G72" s="8"/>
      <c r="H72" s="8"/>
      <c r="I72" s="8"/>
      <c r="J72" s="6"/>
      <c r="K72" s="11">
        <f>IFERROR(SUMIFS(PROGRAMA_DETALLE!$E$4:$E$503,PROGRAMA_DETALLE!$A$4:$A$503,A72),0)</f>
        <v>0</v>
      </c>
      <c r="L72" s="12">
        <f>IFERROR(SUMIFS(PROGRAMA_DETALLE!$F$4:$F$503,PROGRAMA_DETALLE!$A$4:$A$503,A72),0)</f>
        <v>0</v>
      </c>
      <c r="M72" s="13" t="str">
        <f>IF(A72="","",IFERROR(SUMIFS(COMPRAS_HILO!$D$4:$D$203,COMPRAS_HILO!$B$4:$B$203,A72),0))</f>
        <v/>
      </c>
      <c r="N72" s="14" t="str">
        <f>IF(A72="","",IFERROR(SUMIFS(COMPRAS_HILO!$H$4:$H$203,COMPRAS_HILO!$B$4:$B$203,A72),0))</f>
        <v/>
      </c>
      <c r="O72" s="15" t="str">
        <f>IFERROR(IF(SUMPRODUCT((COMPRAS_HILO!$B$4:$B$203=A72)*1)=0,"",LOOKUP(2,1/((COMPRAS_HILO!$B$4:$B$203=A72)*(COMPRAS_HILO!$J$4:$J$203&lt;&gt;"")),COMPRAS_HILO!$J$4:$J$203)),"")</f>
        <v/>
      </c>
      <c r="P72" s="16"/>
      <c r="Q72" s="17" t="str">
        <f>IF(A72="","",IFERROR(SUMIFS(PROGRAMA_DETALLE!$H$4:$H$503,PROGRAMA_DETALLE!$A$4:$A$503,A72),0))</f>
        <v/>
      </c>
      <c r="R72" s="17" t="str">
        <f>IF(A72="","",IFERROR(SUMIFS(PROGRAMA_DETALLE!$I$4:$I$503,PROGRAMA_DETALLE!$A$4:$A$503,A72),0))</f>
        <v/>
      </c>
      <c r="S72" s="10"/>
      <c r="T72" s="17">
        <f t="shared" si="1"/>
        <v>0</v>
      </c>
      <c r="U72" s="18">
        <f t="shared" si="2"/>
        <v>0</v>
      </c>
      <c r="V72" s="19" t="str">
        <f>IF(A72="","",IFERROR(SUMIFS(PROGRAMA_DETALLE!$R$4:$R$503,PROGRAMA_DETALLE!$A$4:$A$503,A72),0))</f>
        <v/>
      </c>
      <c r="W72" s="19" t="str">
        <f>IF(A72="","",IFERROR(SUMIFS(PROGRAMA_DETALLE!$S$4:$S$503,PROGRAMA_DETALLE!$A$4:$A$503,A72),0))</f>
        <v/>
      </c>
      <c r="X72" s="19">
        <f t="shared" si="3"/>
        <v>0</v>
      </c>
      <c r="Y72" s="20">
        <f t="shared" si="4"/>
        <v>0</v>
      </c>
      <c r="Z72" s="21">
        <f t="shared" si="5"/>
        <v>0</v>
      </c>
      <c r="AA72" s="22">
        <f t="shared" si="6"/>
        <v>0</v>
      </c>
      <c r="AB72" s="23">
        <f>IFERROR(W72*DASHBOARD!$C$2,0)</f>
        <v>0</v>
      </c>
      <c r="AC72" s="24"/>
      <c r="AD72" s="7"/>
      <c r="AE72" s="25">
        <f>IFERROR(N72+IFERROR(SUMIFS(PROGRAMA_DETALLE!$M$4:$M$503,PROGRAMA_DETALLE!$A$4:$A$503,A72),0)+IFERROR(SUMIFS(PROGRAMA_DETALLE!$Z$4:$Z$503,PROGRAMA_DETALLE!$A$4:$A$503,A72),0)+AB72,0)</f>
        <v>0</v>
      </c>
      <c r="AF72" s="25">
        <f t="shared" si="7"/>
        <v>0</v>
      </c>
      <c r="AG72" s="26">
        <f t="shared" si="8"/>
        <v>0</v>
      </c>
    </row>
    <row r="73" ht="15.75" customHeight="1">
      <c r="A73" s="6"/>
      <c r="B73" s="7"/>
      <c r="C73" s="6"/>
      <c r="D73" s="8"/>
      <c r="E73" s="9"/>
      <c r="F73" s="10"/>
      <c r="G73" s="8"/>
      <c r="H73" s="8"/>
      <c r="I73" s="8"/>
      <c r="J73" s="6"/>
      <c r="K73" s="11">
        <f>IFERROR(SUMIFS(PROGRAMA_DETALLE!$E$4:$E$503,PROGRAMA_DETALLE!$A$4:$A$503,A73),0)</f>
        <v>0</v>
      </c>
      <c r="L73" s="12">
        <f>IFERROR(SUMIFS(PROGRAMA_DETALLE!$F$4:$F$503,PROGRAMA_DETALLE!$A$4:$A$503,A73),0)</f>
        <v>0</v>
      </c>
      <c r="M73" s="13" t="str">
        <f>IF(A73="","",IFERROR(SUMIFS(COMPRAS_HILO!$D$4:$D$203,COMPRAS_HILO!$B$4:$B$203,A73),0))</f>
        <v/>
      </c>
      <c r="N73" s="14" t="str">
        <f>IF(A73="","",IFERROR(SUMIFS(COMPRAS_HILO!$H$4:$H$203,COMPRAS_HILO!$B$4:$B$203,A73),0))</f>
        <v/>
      </c>
      <c r="O73" s="15" t="str">
        <f>IFERROR(IF(SUMPRODUCT((COMPRAS_HILO!$B$4:$B$203=A73)*1)=0,"",LOOKUP(2,1/((COMPRAS_HILO!$B$4:$B$203=A73)*(COMPRAS_HILO!$J$4:$J$203&lt;&gt;"")),COMPRAS_HILO!$J$4:$J$203)),"")</f>
        <v/>
      </c>
      <c r="P73" s="16"/>
      <c r="Q73" s="17" t="str">
        <f>IF(A73="","",IFERROR(SUMIFS(PROGRAMA_DETALLE!$H$4:$H$503,PROGRAMA_DETALLE!$A$4:$A$503,A73),0))</f>
        <v/>
      </c>
      <c r="R73" s="17" t="str">
        <f>IF(A73="","",IFERROR(SUMIFS(PROGRAMA_DETALLE!$I$4:$I$503,PROGRAMA_DETALLE!$A$4:$A$503,A73),0))</f>
        <v/>
      </c>
      <c r="S73" s="10"/>
      <c r="T73" s="17">
        <f t="shared" si="1"/>
        <v>0</v>
      </c>
      <c r="U73" s="18">
        <f t="shared" si="2"/>
        <v>0</v>
      </c>
      <c r="V73" s="19" t="str">
        <f>IF(A73="","",IFERROR(SUMIFS(PROGRAMA_DETALLE!$R$4:$R$503,PROGRAMA_DETALLE!$A$4:$A$503,A73),0))</f>
        <v/>
      </c>
      <c r="W73" s="19" t="str">
        <f>IF(A73="","",IFERROR(SUMIFS(PROGRAMA_DETALLE!$S$4:$S$503,PROGRAMA_DETALLE!$A$4:$A$503,A73),0))</f>
        <v/>
      </c>
      <c r="X73" s="19">
        <f t="shared" si="3"/>
        <v>0</v>
      </c>
      <c r="Y73" s="20">
        <f t="shared" si="4"/>
        <v>0</v>
      </c>
      <c r="Z73" s="21">
        <f t="shared" si="5"/>
        <v>0</v>
      </c>
      <c r="AA73" s="22">
        <f t="shared" si="6"/>
        <v>0</v>
      </c>
      <c r="AB73" s="23">
        <f>IFERROR(W73*DASHBOARD!$C$2,0)</f>
        <v>0</v>
      </c>
      <c r="AC73" s="24"/>
      <c r="AD73" s="7"/>
      <c r="AE73" s="25">
        <f>IFERROR(N73+IFERROR(SUMIFS(PROGRAMA_DETALLE!$M$4:$M$503,PROGRAMA_DETALLE!$A$4:$A$503,A73),0)+IFERROR(SUMIFS(PROGRAMA_DETALLE!$Z$4:$Z$503,PROGRAMA_DETALLE!$A$4:$A$503,A73),0)+AB73,0)</f>
        <v>0</v>
      </c>
      <c r="AF73" s="25">
        <f t="shared" si="7"/>
        <v>0</v>
      </c>
      <c r="AG73" s="26">
        <f t="shared" si="8"/>
        <v>0</v>
      </c>
    </row>
    <row r="74" ht="15.75" customHeight="1">
      <c r="A74" s="6"/>
      <c r="B74" s="7"/>
      <c r="C74" s="6"/>
      <c r="D74" s="8"/>
      <c r="E74" s="9"/>
      <c r="F74" s="10"/>
      <c r="G74" s="8"/>
      <c r="H74" s="8"/>
      <c r="I74" s="8"/>
      <c r="J74" s="6"/>
      <c r="K74" s="11">
        <f>IFERROR(SUMIFS(PROGRAMA_DETALLE!$E$4:$E$503,PROGRAMA_DETALLE!$A$4:$A$503,A74),0)</f>
        <v>0</v>
      </c>
      <c r="L74" s="12">
        <f>IFERROR(SUMIFS(PROGRAMA_DETALLE!$F$4:$F$503,PROGRAMA_DETALLE!$A$4:$A$503,A74),0)</f>
        <v>0</v>
      </c>
      <c r="M74" s="13" t="str">
        <f>IF(A74="","",IFERROR(SUMIFS(COMPRAS_HILO!$D$4:$D$203,COMPRAS_HILO!$B$4:$B$203,A74),0))</f>
        <v/>
      </c>
      <c r="N74" s="14" t="str">
        <f>IF(A74="","",IFERROR(SUMIFS(COMPRAS_HILO!$H$4:$H$203,COMPRAS_HILO!$B$4:$B$203,A74),0))</f>
        <v/>
      </c>
      <c r="O74" s="15" t="str">
        <f>IFERROR(IF(SUMPRODUCT((COMPRAS_HILO!$B$4:$B$203=A74)*1)=0,"",LOOKUP(2,1/((COMPRAS_HILO!$B$4:$B$203=A74)*(COMPRAS_HILO!$J$4:$J$203&lt;&gt;"")),COMPRAS_HILO!$J$4:$J$203)),"")</f>
        <v/>
      </c>
      <c r="P74" s="16"/>
      <c r="Q74" s="17" t="str">
        <f>IF(A74="","",IFERROR(SUMIFS(PROGRAMA_DETALLE!$H$4:$H$503,PROGRAMA_DETALLE!$A$4:$A$503,A74),0))</f>
        <v/>
      </c>
      <c r="R74" s="17" t="str">
        <f>IF(A74="","",IFERROR(SUMIFS(PROGRAMA_DETALLE!$I$4:$I$503,PROGRAMA_DETALLE!$A$4:$A$503,A74),0))</f>
        <v/>
      </c>
      <c r="S74" s="10"/>
      <c r="T74" s="17">
        <f t="shared" si="1"/>
        <v>0</v>
      </c>
      <c r="U74" s="18">
        <f t="shared" si="2"/>
        <v>0</v>
      </c>
      <c r="V74" s="19" t="str">
        <f>IF(A74="","",IFERROR(SUMIFS(PROGRAMA_DETALLE!$R$4:$R$503,PROGRAMA_DETALLE!$A$4:$A$503,A74),0))</f>
        <v/>
      </c>
      <c r="W74" s="19" t="str">
        <f>IF(A74="","",IFERROR(SUMIFS(PROGRAMA_DETALLE!$S$4:$S$503,PROGRAMA_DETALLE!$A$4:$A$503,A74),0))</f>
        <v/>
      </c>
      <c r="X74" s="19">
        <f t="shared" si="3"/>
        <v>0</v>
      </c>
      <c r="Y74" s="20">
        <f t="shared" si="4"/>
        <v>0</v>
      </c>
      <c r="Z74" s="21">
        <f t="shared" si="5"/>
        <v>0</v>
      </c>
      <c r="AA74" s="22">
        <f t="shared" si="6"/>
        <v>0</v>
      </c>
      <c r="AB74" s="23">
        <f>IFERROR(W74*DASHBOARD!$C$2,0)</f>
        <v>0</v>
      </c>
      <c r="AC74" s="24"/>
      <c r="AD74" s="7"/>
      <c r="AE74" s="25">
        <f>IFERROR(N74+IFERROR(SUMIFS(PROGRAMA_DETALLE!$M$4:$M$503,PROGRAMA_DETALLE!$A$4:$A$503,A74),0)+IFERROR(SUMIFS(PROGRAMA_DETALLE!$Z$4:$Z$503,PROGRAMA_DETALLE!$A$4:$A$503,A74),0)+AB74,0)</f>
        <v>0</v>
      </c>
      <c r="AF74" s="25">
        <f t="shared" si="7"/>
        <v>0</v>
      </c>
      <c r="AG74" s="26">
        <f t="shared" si="8"/>
        <v>0</v>
      </c>
    </row>
    <row r="75" ht="15.75" customHeight="1">
      <c r="A75" s="6"/>
      <c r="B75" s="7"/>
      <c r="C75" s="6"/>
      <c r="D75" s="8"/>
      <c r="E75" s="9"/>
      <c r="F75" s="10"/>
      <c r="G75" s="8"/>
      <c r="H75" s="8"/>
      <c r="I75" s="8"/>
      <c r="J75" s="6"/>
      <c r="K75" s="11">
        <f>IFERROR(SUMIFS(PROGRAMA_DETALLE!$E$4:$E$503,PROGRAMA_DETALLE!$A$4:$A$503,A75),0)</f>
        <v>0</v>
      </c>
      <c r="L75" s="12">
        <f>IFERROR(SUMIFS(PROGRAMA_DETALLE!$F$4:$F$503,PROGRAMA_DETALLE!$A$4:$A$503,A75),0)</f>
        <v>0</v>
      </c>
      <c r="M75" s="13" t="str">
        <f>IF(A75="","",IFERROR(SUMIFS(COMPRAS_HILO!$D$4:$D$203,COMPRAS_HILO!$B$4:$B$203,A75),0))</f>
        <v/>
      </c>
      <c r="N75" s="14" t="str">
        <f>IF(A75="","",IFERROR(SUMIFS(COMPRAS_HILO!$H$4:$H$203,COMPRAS_HILO!$B$4:$B$203,A75),0))</f>
        <v/>
      </c>
      <c r="O75" s="15" t="str">
        <f>IFERROR(IF(SUMPRODUCT((COMPRAS_HILO!$B$4:$B$203=A75)*1)=0,"",LOOKUP(2,1/((COMPRAS_HILO!$B$4:$B$203=A75)*(COMPRAS_HILO!$J$4:$J$203&lt;&gt;"")),COMPRAS_HILO!$J$4:$J$203)),"")</f>
        <v/>
      </c>
      <c r="P75" s="16"/>
      <c r="Q75" s="17" t="str">
        <f>IF(A75="","",IFERROR(SUMIFS(PROGRAMA_DETALLE!$H$4:$H$503,PROGRAMA_DETALLE!$A$4:$A$503,A75),0))</f>
        <v/>
      </c>
      <c r="R75" s="17" t="str">
        <f>IF(A75="","",IFERROR(SUMIFS(PROGRAMA_DETALLE!$I$4:$I$503,PROGRAMA_DETALLE!$A$4:$A$503,A75),0))</f>
        <v/>
      </c>
      <c r="S75" s="10"/>
      <c r="T75" s="17">
        <f t="shared" si="1"/>
        <v>0</v>
      </c>
      <c r="U75" s="18">
        <f t="shared" si="2"/>
        <v>0</v>
      </c>
      <c r="V75" s="19" t="str">
        <f>IF(A75="","",IFERROR(SUMIFS(PROGRAMA_DETALLE!$R$4:$R$503,PROGRAMA_DETALLE!$A$4:$A$503,A75),0))</f>
        <v/>
      </c>
      <c r="W75" s="19" t="str">
        <f>IF(A75="","",IFERROR(SUMIFS(PROGRAMA_DETALLE!$S$4:$S$503,PROGRAMA_DETALLE!$A$4:$A$503,A75),0))</f>
        <v/>
      </c>
      <c r="X75" s="19">
        <f t="shared" si="3"/>
        <v>0</v>
      </c>
      <c r="Y75" s="20">
        <f t="shared" si="4"/>
        <v>0</v>
      </c>
      <c r="Z75" s="21">
        <f t="shared" si="5"/>
        <v>0</v>
      </c>
      <c r="AA75" s="22">
        <f t="shared" si="6"/>
        <v>0</v>
      </c>
      <c r="AB75" s="23">
        <f>IFERROR(W75*DASHBOARD!$C$2,0)</f>
        <v>0</v>
      </c>
      <c r="AC75" s="24"/>
      <c r="AD75" s="7"/>
      <c r="AE75" s="25">
        <f>IFERROR(N75+IFERROR(SUMIFS(PROGRAMA_DETALLE!$M$4:$M$503,PROGRAMA_DETALLE!$A$4:$A$503,A75),0)+IFERROR(SUMIFS(PROGRAMA_DETALLE!$Z$4:$Z$503,PROGRAMA_DETALLE!$A$4:$A$503,A75),0)+AB75,0)</f>
        <v>0</v>
      </c>
      <c r="AF75" s="25">
        <f t="shared" si="7"/>
        <v>0</v>
      </c>
      <c r="AG75" s="26">
        <f t="shared" si="8"/>
        <v>0</v>
      </c>
    </row>
    <row r="76" ht="15.75" customHeight="1">
      <c r="A76" s="6"/>
      <c r="B76" s="7"/>
      <c r="C76" s="6"/>
      <c r="D76" s="8"/>
      <c r="E76" s="9"/>
      <c r="F76" s="10"/>
      <c r="G76" s="8"/>
      <c r="H76" s="8"/>
      <c r="I76" s="8"/>
      <c r="J76" s="6"/>
      <c r="K76" s="11">
        <f>IFERROR(SUMIFS(PROGRAMA_DETALLE!$E$4:$E$503,PROGRAMA_DETALLE!$A$4:$A$503,A76),0)</f>
        <v>0</v>
      </c>
      <c r="L76" s="12">
        <f>IFERROR(SUMIFS(PROGRAMA_DETALLE!$F$4:$F$503,PROGRAMA_DETALLE!$A$4:$A$503,A76),0)</f>
        <v>0</v>
      </c>
      <c r="M76" s="13" t="str">
        <f>IF(A76="","",IFERROR(SUMIFS(COMPRAS_HILO!$D$4:$D$203,COMPRAS_HILO!$B$4:$B$203,A76),0))</f>
        <v/>
      </c>
      <c r="N76" s="14" t="str">
        <f>IF(A76="","",IFERROR(SUMIFS(COMPRAS_HILO!$H$4:$H$203,COMPRAS_HILO!$B$4:$B$203,A76),0))</f>
        <v/>
      </c>
      <c r="O76" s="15" t="str">
        <f>IFERROR(IF(SUMPRODUCT((COMPRAS_HILO!$B$4:$B$203=A76)*1)=0,"",LOOKUP(2,1/((COMPRAS_HILO!$B$4:$B$203=A76)*(COMPRAS_HILO!$J$4:$J$203&lt;&gt;"")),COMPRAS_HILO!$J$4:$J$203)),"")</f>
        <v/>
      </c>
      <c r="P76" s="16"/>
      <c r="Q76" s="17" t="str">
        <f>IF(A76="","",IFERROR(SUMIFS(PROGRAMA_DETALLE!$H$4:$H$503,PROGRAMA_DETALLE!$A$4:$A$503,A76),0))</f>
        <v/>
      </c>
      <c r="R76" s="17" t="str">
        <f>IF(A76="","",IFERROR(SUMIFS(PROGRAMA_DETALLE!$I$4:$I$503,PROGRAMA_DETALLE!$A$4:$A$503,A76),0))</f>
        <v/>
      </c>
      <c r="S76" s="10"/>
      <c r="T76" s="17">
        <f t="shared" si="1"/>
        <v>0</v>
      </c>
      <c r="U76" s="18">
        <f t="shared" si="2"/>
        <v>0</v>
      </c>
      <c r="V76" s="19" t="str">
        <f>IF(A76="","",IFERROR(SUMIFS(PROGRAMA_DETALLE!$R$4:$R$503,PROGRAMA_DETALLE!$A$4:$A$503,A76),0))</f>
        <v/>
      </c>
      <c r="W76" s="19" t="str">
        <f>IF(A76="","",IFERROR(SUMIFS(PROGRAMA_DETALLE!$S$4:$S$503,PROGRAMA_DETALLE!$A$4:$A$503,A76),0))</f>
        <v/>
      </c>
      <c r="X76" s="19">
        <f t="shared" si="3"/>
        <v>0</v>
      </c>
      <c r="Y76" s="20">
        <f t="shared" si="4"/>
        <v>0</v>
      </c>
      <c r="Z76" s="21">
        <f t="shared" si="5"/>
        <v>0</v>
      </c>
      <c r="AA76" s="22">
        <f t="shared" si="6"/>
        <v>0</v>
      </c>
      <c r="AB76" s="23">
        <f>IFERROR(W76*DASHBOARD!$C$2,0)</f>
        <v>0</v>
      </c>
      <c r="AC76" s="24"/>
      <c r="AD76" s="7"/>
      <c r="AE76" s="25">
        <f>IFERROR(N76+IFERROR(SUMIFS(PROGRAMA_DETALLE!$M$4:$M$503,PROGRAMA_DETALLE!$A$4:$A$503,A76),0)+IFERROR(SUMIFS(PROGRAMA_DETALLE!$Z$4:$Z$503,PROGRAMA_DETALLE!$A$4:$A$503,A76),0)+AB76,0)</f>
        <v>0</v>
      </c>
      <c r="AF76" s="25">
        <f t="shared" si="7"/>
        <v>0</v>
      </c>
      <c r="AG76" s="26">
        <f t="shared" si="8"/>
        <v>0</v>
      </c>
    </row>
    <row r="77" ht="15.75" customHeight="1">
      <c r="A77" s="6"/>
      <c r="B77" s="7"/>
      <c r="C77" s="6"/>
      <c r="D77" s="8"/>
      <c r="E77" s="9"/>
      <c r="F77" s="10"/>
      <c r="G77" s="8"/>
      <c r="H77" s="8"/>
      <c r="I77" s="8"/>
      <c r="J77" s="6"/>
      <c r="K77" s="11">
        <f>IFERROR(SUMIFS(PROGRAMA_DETALLE!$E$4:$E$503,PROGRAMA_DETALLE!$A$4:$A$503,A77),0)</f>
        <v>0</v>
      </c>
      <c r="L77" s="12">
        <f>IFERROR(SUMIFS(PROGRAMA_DETALLE!$F$4:$F$503,PROGRAMA_DETALLE!$A$4:$A$503,A77),0)</f>
        <v>0</v>
      </c>
      <c r="M77" s="13" t="str">
        <f>IF(A77="","",IFERROR(SUMIFS(COMPRAS_HILO!$D$4:$D$203,COMPRAS_HILO!$B$4:$B$203,A77),0))</f>
        <v/>
      </c>
      <c r="N77" s="14" t="str">
        <f>IF(A77="","",IFERROR(SUMIFS(COMPRAS_HILO!$H$4:$H$203,COMPRAS_HILO!$B$4:$B$203,A77),0))</f>
        <v/>
      </c>
      <c r="O77" s="15" t="str">
        <f>IFERROR(IF(SUMPRODUCT((COMPRAS_HILO!$B$4:$B$203=A77)*1)=0,"",LOOKUP(2,1/((COMPRAS_HILO!$B$4:$B$203=A77)*(COMPRAS_HILO!$J$4:$J$203&lt;&gt;"")),COMPRAS_HILO!$J$4:$J$203)),"")</f>
        <v/>
      </c>
      <c r="P77" s="16"/>
      <c r="Q77" s="17" t="str">
        <f>IF(A77="","",IFERROR(SUMIFS(PROGRAMA_DETALLE!$H$4:$H$503,PROGRAMA_DETALLE!$A$4:$A$503,A77),0))</f>
        <v/>
      </c>
      <c r="R77" s="17" t="str">
        <f>IF(A77="","",IFERROR(SUMIFS(PROGRAMA_DETALLE!$I$4:$I$503,PROGRAMA_DETALLE!$A$4:$A$503,A77),0))</f>
        <v/>
      </c>
      <c r="S77" s="10"/>
      <c r="T77" s="17">
        <f t="shared" si="1"/>
        <v>0</v>
      </c>
      <c r="U77" s="18">
        <f t="shared" si="2"/>
        <v>0</v>
      </c>
      <c r="V77" s="19" t="str">
        <f>IF(A77="","",IFERROR(SUMIFS(PROGRAMA_DETALLE!$R$4:$R$503,PROGRAMA_DETALLE!$A$4:$A$503,A77),0))</f>
        <v/>
      </c>
      <c r="W77" s="19" t="str">
        <f>IF(A77="","",IFERROR(SUMIFS(PROGRAMA_DETALLE!$S$4:$S$503,PROGRAMA_DETALLE!$A$4:$A$503,A77),0))</f>
        <v/>
      </c>
      <c r="X77" s="19">
        <f t="shared" si="3"/>
        <v>0</v>
      </c>
      <c r="Y77" s="20">
        <f t="shared" si="4"/>
        <v>0</v>
      </c>
      <c r="Z77" s="21">
        <f t="shared" si="5"/>
        <v>0</v>
      </c>
      <c r="AA77" s="22">
        <f t="shared" si="6"/>
        <v>0</v>
      </c>
      <c r="AB77" s="23">
        <f>IFERROR(W77*DASHBOARD!$C$2,0)</f>
        <v>0</v>
      </c>
      <c r="AC77" s="24"/>
      <c r="AD77" s="7"/>
      <c r="AE77" s="25">
        <f>IFERROR(N77+IFERROR(SUMIFS(PROGRAMA_DETALLE!$M$4:$M$503,PROGRAMA_DETALLE!$A$4:$A$503,A77),0)+IFERROR(SUMIFS(PROGRAMA_DETALLE!$Z$4:$Z$503,PROGRAMA_DETALLE!$A$4:$A$503,A77),0)+AB77,0)</f>
        <v>0</v>
      </c>
      <c r="AF77" s="25">
        <f t="shared" si="7"/>
        <v>0</v>
      </c>
      <c r="AG77" s="26">
        <f t="shared" si="8"/>
        <v>0</v>
      </c>
    </row>
    <row r="78" ht="15.75" customHeight="1">
      <c r="A78" s="6"/>
      <c r="B78" s="7"/>
      <c r="C78" s="6"/>
      <c r="D78" s="8"/>
      <c r="E78" s="9"/>
      <c r="F78" s="10"/>
      <c r="G78" s="8"/>
      <c r="H78" s="8"/>
      <c r="I78" s="8"/>
      <c r="J78" s="6"/>
      <c r="K78" s="11">
        <f>IFERROR(SUMIFS(PROGRAMA_DETALLE!$E$4:$E$503,PROGRAMA_DETALLE!$A$4:$A$503,A78),0)</f>
        <v>0</v>
      </c>
      <c r="L78" s="12">
        <f>IFERROR(SUMIFS(PROGRAMA_DETALLE!$F$4:$F$503,PROGRAMA_DETALLE!$A$4:$A$503,A78),0)</f>
        <v>0</v>
      </c>
      <c r="M78" s="13" t="str">
        <f>IF(A78="","",IFERROR(SUMIFS(COMPRAS_HILO!$D$4:$D$203,COMPRAS_HILO!$B$4:$B$203,A78),0))</f>
        <v/>
      </c>
      <c r="N78" s="14" t="str">
        <f>IF(A78="","",IFERROR(SUMIFS(COMPRAS_HILO!$H$4:$H$203,COMPRAS_HILO!$B$4:$B$203,A78),0))</f>
        <v/>
      </c>
      <c r="O78" s="15" t="str">
        <f>IFERROR(IF(SUMPRODUCT((COMPRAS_HILO!$B$4:$B$203=A78)*1)=0,"",LOOKUP(2,1/((COMPRAS_HILO!$B$4:$B$203=A78)*(COMPRAS_HILO!$J$4:$J$203&lt;&gt;"")),COMPRAS_HILO!$J$4:$J$203)),"")</f>
        <v/>
      </c>
      <c r="P78" s="16"/>
      <c r="Q78" s="17" t="str">
        <f>IF(A78="","",IFERROR(SUMIFS(PROGRAMA_DETALLE!$H$4:$H$503,PROGRAMA_DETALLE!$A$4:$A$503,A78),0))</f>
        <v/>
      </c>
      <c r="R78" s="17" t="str">
        <f>IF(A78="","",IFERROR(SUMIFS(PROGRAMA_DETALLE!$I$4:$I$503,PROGRAMA_DETALLE!$A$4:$A$503,A78),0))</f>
        <v/>
      </c>
      <c r="S78" s="10"/>
      <c r="T78" s="17">
        <f t="shared" si="1"/>
        <v>0</v>
      </c>
      <c r="U78" s="18">
        <f t="shared" si="2"/>
        <v>0</v>
      </c>
      <c r="V78" s="19" t="str">
        <f>IF(A78="","",IFERROR(SUMIFS(PROGRAMA_DETALLE!$R$4:$R$503,PROGRAMA_DETALLE!$A$4:$A$503,A78),0))</f>
        <v/>
      </c>
      <c r="W78" s="19" t="str">
        <f>IF(A78="","",IFERROR(SUMIFS(PROGRAMA_DETALLE!$S$4:$S$503,PROGRAMA_DETALLE!$A$4:$A$503,A78),0))</f>
        <v/>
      </c>
      <c r="X78" s="19">
        <f t="shared" si="3"/>
        <v>0</v>
      </c>
      <c r="Y78" s="20">
        <f t="shared" si="4"/>
        <v>0</v>
      </c>
      <c r="Z78" s="21">
        <f t="shared" si="5"/>
        <v>0</v>
      </c>
      <c r="AA78" s="22">
        <f t="shared" si="6"/>
        <v>0</v>
      </c>
      <c r="AB78" s="23">
        <f>IFERROR(W78*DASHBOARD!$C$2,0)</f>
        <v>0</v>
      </c>
      <c r="AC78" s="24"/>
      <c r="AD78" s="7"/>
      <c r="AE78" s="25">
        <f>IFERROR(N78+IFERROR(SUMIFS(PROGRAMA_DETALLE!$M$4:$M$503,PROGRAMA_DETALLE!$A$4:$A$503,A78),0)+IFERROR(SUMIFS(PROGRAMA_DETALLE!$Z$4:$Z$503,PROGRAMA_DETALLE!$A$4:$A$503,A78),0)+AB78,0)</f>
        <v>0</v>
      </c>
      <c r="AF78" s="25">
        <f t="shared" si="7"/>
        <v>0</v>
      </c>
      <c r="AG78" s="26">
        <f t="shared" si="8"/>
        <v>0</v>
      </c>
    </row>
    <row r="79" ht="15.75" customHeight="1">
      <c r="A79" s="6"/>
      <c r="B79" s="7"/>
      <c r="C79" s="6"/>
      <c r="D79" s="8"/>
      <c r="E79" s="9"/>
      <c r="F79" s="10"/>
      <c r="G79" s="8"/>
      <c r="H79" s="8"/>
      <c r="I79" s="8"/>
      <c r="J79" s="6"/>
      <c r="K79" s="11">
        <f>IFERROR(SUMIFS(PROGRAMA_DETALLE!$E$4:$E$503,PROGRAMA_DETALLE!$A$4:$A$503,A79),0)</f>
        <v>0</v>
      </c>
      <c r="L79" s="12">
        <f>IFERROR(SUMIFS(PROGRAMA_DETALLE!$F$4:$F$503,PROGRAMA_DETALLE!$A$4:$A$503,A79),0)</f>
        <v>0</v>
      </c>
      <c r="M79" s="13" t="str">
        <f>IF(A79="","",IFERROR(SUMIFS(COMPRAS_HILO!$D$4:$D$203,COMPRAS_HILO!$B$4:$B$203,A79),0))</f>
        <v/>
      </c>
      <c r="N79" s="14" t="str">
        <f>IF(A79="","",IFERROR(SUMIFS(COMPRAS_HILO!$H$4:$H$203,COMPRAS_HILO!$B$4:$B$203,A79),0))</f>
        <v/>
      </c>
      <c r="O79" s="15" t="str">
        <f>IFERROR(IF(SUMPRODUCT((COMPRAS_HILO!$B$4:$B$203=A79)*1)=0,"",LOOKUP(2,1/((COMPRAS_HILO!$B$4:$B$203=A79)*(COMPRAS_HILO!$J$4:$J$203&lt;&gt;"")),COMPRAS_HILO!$J$4:$J$203)),"")</f>
        <v/>
      </c>
      <c r="P79" s="16"/>
      <c r="Q79" s="17" t="str">
        <f>IF(A79="","",IFERROR(SUMIFS(PROGRAMA_DETALLE!$H$4:$H$503,PROGRAMA_DETALLE!$A$4:$A$503,A79),0))</f>
        <v/>
      </c>
      <c r="R79" s="17" t="str">
        <f>IF(A79="","",IFERROR(SUMIFS(PROGRAMA_DETALLE!$I$4:$I$503,PROGRAMA_DETALLE!$A$4:$A$503,A79),0))</f>
        <v/>
      </c>
      <c r="S79" s="10"/>
      <c r="T79" s="17">
        <f t="shared" si="1"/>
        <v>0</v>
      </c>
      <c r="U79" s="18">
        <f t="shared" si="2"/>
        <v>0</v>
      </c>
      <c r="V79" s="19" t="str">
        <f>IF(A79="","",IFERROR(SUMIFS(PROGRAMA_DETALLE!$R$4:$R$503,PROGRAMA_DETALLE!$A$4:$A$503,A79),0))</f>
        <v/>
      </c>
      <c r="W79" s="19" t="str">
        <f>IF(A79="","",IFERROR(SUMIFS(PROGRAMA_DETALLE!$S$4:$S$503,PROGRAMA_DETALLE!$A$4:$A$503,A79),0))</f>
        <v/>
      </c>
      <c r="X79" s="19">
        <f t="shared" si="3"/>
        <v>0</v>
      </c>
      <c r="Y79" s="20">
        <f t="shared" si="4"/>
        <v>0</v>
      </c>
      <c r="Z79" s="21">
        <f t="shared" si="5"/>
        <v>0</v>
      </c>
      <c r="AA79" s="22">
        <f t="shared" si="6"/>
        <v>0</v>
      </c>
      <c r="AB79" s="23">
        <f>IFERROR(W79*DASHBOARD!$C$2,0)</f>
        <v>0</v>
      </c>
      <c r="AC79" s="24"/>
      <c r="AD79" s="7"/>
      <c r="AE79" s="25">
        <f>IFERROR(N79+IFERROR(SUMIFS(PROGRAMA_DETALLE!$M$4:$M$503,PROGRAMA_DETALLE!$A$4:$A$503,A79),0)+IFERROR(SUMIFS(PROGRAMA_DETALLE!$Z$4:$Z$503,PROGRAMA_DETALLE!$A$4:$A$503,A79),0)+AB79,0)</f>
        <v>0</v>
      </c>
      <c r="AF79" s="25">
        <f t="shared" si="7"/>
        <v>0</v>
      </c>
      <c r="AG79" s="26">
        <f t="shared" si="8"/>
        <v>0</v>
      </c>
    </row>
    <row r="80" ht="15.75" customHeight="1">
      <c r="A80" s="6"/>
      <c r="B80" s="7"/>
      <c r="C80" s="6"/>
      <c r="D80" s="8"/>
      <c r="E80" s="9"/>
      <c r="F80" s="10"/>
      <c r="G80" s="8"/>
      <c r="H80" s="8"/>
      <c r="I80" s="8"/>
      <c r="J80" s="6"/>
      <c r="K80" s="11">
        <f>IFERROR(SUMIFS(PROGRAMA_DETALLE!$E$4:$E$503,PROGRAMA_DETALLE!$A$4:$A$503,A80),0)</f>
        <v>0</v>
      </c>
      <c r="L80" s="12">
        <f>IFERROR(SUMIFS(PROGRAMA_DETALLE!$F$4:$F$503,PROGRAMA_DETALLE!$A$4:$A$503,A80),0)</f>
        <v>0</v>
      </c>
      <c r="M80" s="13" t="str">
        <f>IF(A80="","",IFERROR(SUMIFS(COMPRAS_HILO!$D$4:$D$203,COMPRAS_HILO!$B$4:$B$203,A80),0))</f>
        <v/>
      </c>
      <c r="N80" s="14" t="str">
        <f>IF(A80="","",IFERROR(SUMIFS(COMPRAS_HILO!$H$4:$H$203,COMPRAS_HILO!$B$4:$B$203,A80),0))</f>
        <v/>
      </c>
      <c r="O80" s="15" t="str">
        <f>IFERROR(IF(SUMPRODUCT((COMPRAS_HILO!$B$4:$B$203=A80)*1)=0,"",LOOKUP(2,1/((COMPRAS_HILO!$B$4:$B$203=A80)*(COMPRAS_HILO!$J$4:$J$203&lt;&gt;"")),COMPRAS_HILO!$J$4:$J$203)),"")</f>
        <v/>
      </c>
      <c r="P80" s="16"/>
      <c r="Q80" s="17" t="str">
        <f>IF(A80="","",IFERROR(SUMIFS(PROGRAMA_DETALLE!$H$4:$H$503,PROGRAMA_DETALLE!$A$4:$A$503,A80),0))</f>
        <v/>
      </c>
      <c r="R80" s="17" t="str">
        <f>IF(A80="","",IFERROR(SUMIFS(PROGRAMA_DETALLE!$I$4:$I$503,PROGRAMA_DETALLE!$A$4:$A$503,A80),0))</f>
        <v/>
      </c>
      <c r="S80" s="10"/>
      <c r="T80" s="17">
        <f t="shared" si="1"/>
        <v>0</v>
      </c>
      <c r="U80" s="18">
        <f t="shared" si="2"/>
        <v>0</v>
      </c>
      <c r="V80" s="19" t="str">
        <f>IF(A80="","",IFERROR(SUMIFS(PROGRAMA_DETALLE!$R$4:$R$503,PROGRAMA_DETALLE!$A$4:$A$503,A80),0))</f>
        <v/>
      </c>
      <c r="W80" s="19" t="str">
        <f>IF(A80="","",IFERROR(SUMIFS(PROGRAMA_DETALLE!$S$4:$S$503,PROGRAMA_DETALLE!$A$4:$A$503,A80),0))</f>
        <v/>
      </c>
      <c r="X80" s="19">
        <f t="shared" si="3"/>
        <v>0</v>
      </c>
      <c r="Y80" s="20">
        <f t="shared" si="4"/>
        <v>0</v>
      </c>
      <c r="Z80" s="21">
        <f t="shared" si="5"/>
        <v>0</v>
      </c>
      <c r="AA80" s="22">
        <f t="shared" si="6"/>
        <v>0</v>
      </c>
      <c r="AB80" s="23">
        <f>IFERROR(W80*DASHBOARD!$C$2,0)</f>
        <v>0</v>
      </c>
      <c r="AC80" s="24"/>
      <c r="AD80" s="7"/>
      <c r="AE80" s="25">
        <f>IFERROR(N80+IFERROR(SUMIFS(PROGRAMA_DETALLE!$M$4:$M$503,PROGRAMA_DETALLE!$A$4:$A$503,A80),0)+IFERROR(SUMIFS(PROGRAMA_DETALLE!$Z$4:$Z$503,PROGRAMA_DETALLE!$A$4:$A$503,A80),0)+AB80,0)</f>
        <v>0</v>
      </c>
      <c r="AF80" s="25">
        <f t="shared" si="7"/>
        <v>0</v>
      </c>
      <c r="AG80" s="26">
        <f t="shared" si="8"/>
        <v>0</v>
      </c>
    </row>
    <row r="81" ht="15.75" customHeight="1">
      <c r="A81" s="6"/>
      <c r="B81" s="7"/>
      <c r="C81" s="6"/>
      <c r="D81" s="8"/>
      <c r="E81" s="9"/>
      <c r="F81" s="10"/>
      <c r="G81" s="8"/>
      <c r="H81" s="8"/>
      <c r="I81" s="8"/>
      <c r="J81" s="6"/>
      <c r="K81" s="11">
        <f>IFERROR(SUMIFS(PROGRAMA_DETALLE!$E$4:$E$503,PROGRAMA_DETALLE!$A$4:$A$503,A81),0)</f>
        <v>0</v>
      </c>
      <c r="L81" s="12">
        <f>IFERROR(SUMIFS(PROGRAMA_DETALLE!$F$4:$F$503,PROGRAMA_DETALLE!$A$4:$A$503,A81),0)</f>
        <v>0</v>
      </c>
      <c r="M81" s="13" t="str">
        <f>IF(A81="","",IFERROR(SUMIFS(COMPRAS_HILO!$D$4:$D$203,COMPRAS_HILO!$B$4:$B$203,A81),0))</f>
        <v/>
      </c>
      <c r="N81" s="14" t="str">
        <f>IF(A81="","",IFERROR(SUMIFS(COMPRAS_HILO!$H$4:$H$203,COMPRAS_HILO!$B$4:$B$203,A81),0))</f>
        <v/>
      </c>
      <c r="O81" s="15" t="str">
        <f>IFERROR(IF(SUMPRODUCT((COMPRAS_HILO!$B$4:$B$203=A81)*1)=0,"",LOOKUP(2,1/((COMPRAS_HILO!$B$4:$B$203=A81)*(COMPRAS_HILO!$J$4:$J$203&lt;&gt;"")),COMPRAS_HILO!$J$4:$J$203)),"")</f>
        <v/>
      </c>
      <c r="P81" s="16"/>
      <c r="Q81" s="17" t="str">
        <f>IF(A81="","",IFERROR(SUMIFS(PROGRAMA_DETALLE!$H$4:$H$503,PROGRAMA_DETALLE!$A$4:$A$503,A81),0))</f>
        <v/>
      </c>
      <c r="R81" s="17" t="str">
        <f>IF(A81="","",IFERROR(SUMIFS(PROGRAMA_DETALLE!$I$4:$I$503,PROGRAMA_DETALLE!$A$4:$A$503,A81),0))</f>
        <v/>
      </c>
      <c r="S81" s="10"/>
      <c r="T81" s="17">
        <f t="shared" si="1"/>
        <v>0</v>
      </c>
      <c r="U81" s="18">
        <f t="shared" si="2"/>
        <v>0</v>
      </c>
      <c r="V81" s="19" t="str">
        <f>IF(A81="","",IFERROR(SUMIFS(PROGRAMA_DETALLE!$R$4:$R$503,PROGRAMA_DETALLE!$A$4:$A$503,A81),0))</f>
        <v/>
      </c>
      <c r="W81" s="19" t="str">
        <f>IF(A81="","",IFERROR(SUMIFS(PROGRAMA_DETALLE!$S$4:$S$503,PROGRAMA_DETALLE!$A$4:$A$503,A81),0))</f>
        <v/>
      </c>
      <c r="X81" s="19">
        <f t="shared" si="3"/>
        <v>0</v>
      </c>
      <c r="Y81" s="20">
        <f t="shared" si="4"/>
        <v>0</v>
      </c>
      <c r="Z81" s="21">
        <f t="shared" si="5"/>
        <v>0</v>
      </c>
      <c r="AA81" s="22">
        <f t="shared" si="6"/>
        <v>0</v>
      </c>
      <c r="AB81" s="23">
        <f>IFERROR(W81*DASHBOARD!$C$2,0)</f>
        <v>0</v>
      </c>
      <c r="AC81" s="24"/>
      <c r="AD81" s="7"/>
      <c r="AE81" s="25">
        <f>IFERROR(N81+IFERROR(SUMIFS(PROGRAMA_DETALLE!$M$4:$M$503,PROGRAMA_DETALLE!$A$4:$A$503,A81),0)+IFERROR(SUMIFS(PROGRAMA_DETALLE!$Z$4:$Z$503,PROGRAMA_DETALLE!$A$4:$A$503,A81),0)+AB81,0)</f>
        <v>0</v>
      </c>
      <c r="AF81" s="25">
        <f t="shared" si="7"/>
        <v>0</v>
      </c>
      <c r="AG81" s="26">
        <f t="shared" si="8"/>
        <v>0</v>
      </c>
    </row>
    <row r="82" ht="15.75" customHeight="1">
      <c r="A82" s="6"/>
      <c r="B82" s="7"/>
      <c r="C82" s="6"/>
      <c r="D82" s="8"/>
      <c r="E82" s="9"/>
      <c r="F82" s="10"/>
      <c r="G82" s="8"/>
      <c r="H82" s="8"/>
      <c r="I82" s="8"/>
      <c r="J82" s="6"/>
      <c r="K82" s="11">
        <f>IFERROR(SUMIFS(PROGRAMA_DETALLE!$E$4:$E$503,PROGRAMA_DETALLE!$A$4:$A$503,A82),0)</f>
        <v>0</v>
      </c>
      <c r="L82" s="12">
        <f>IFERROR(SUMIFS(PROGRAMA_DETALLE!$F$4:$F$503,PROGRAMA_DETALLE!$A$4:$A$503,A82),0)</f>
        <v>0</v>
      </c>
      <c r="M82" s="13" t="str">
        <f>IF(A82="","",IFERROR(SUMIFS(COMPRAS_HILO!$D$4:$D$203,COMPRAS_HILO!$B$4:$B$203,A82),0))</f>
        <v/>
      </c>
      <c r="N82" s="14" t="str">
        <f>IF(A82="","",IFERROR(SUMIFS(COMPRAS_HILO!$H$4:$H$203,COMPRAS_HILO!$B$4:$B$203,A82),0))</f>
        <v/>
      </c>
      <c r="O82" s="15" t="str">
        <f>IFERROR(IF(SUMPRODUCT((COMPRAS_HILO!$B$4:$B$203=A82)*1)=0,"",LOOKUP(2,1/((COMPRAS_HILO!$B$4:$B$203=A82)*(COMPRAS_HILO!$J$4:$J$203&lt;&gt;"")),COMPRAS_HILO!$J$4:$J$203)),"")</f>
        <v/>
      </c>
      <c r="P82" s="16"/>
      <c r="Q82" s="17" t="str">
        <f>IF(A82="","",IFERROR(SUMIFS(PROGRAMA_DETALLE!$H$4:$H$503,PROGRAMA_DETALLE!$A$4:$A$503,A82),0))</f>
        <v/>
      </c>
      <c r="R82" s="17" t="str">
        <f>IF(A82="","",IFERROR(SUMIFS(PROGRAMA_DETALLE!$I$4:$I$503,PROGRAMA_DETALLE!$A$4:$A$503,A82),0))</f>
        <v/>
      </c>
      <c r="S82" s="10"/>
      <c r="T82" s="17">
        <f t="shared" si="1"/>
        <v>0</v>
      </c>
      <c r="U82" s="18">
        <f t="shared" si="2"/>
        <v>0</v>
      </c>
      <c r="V82" s="19" t="str">
        <f>IF(A82="","",IFERROR(SUMIFS(PROGRAMA_DETALLE!$R$4:$R$503,PROGRAMA_DETALLE!$A$4:$A$503,A82),0))</f>
        <v/>
      </c>
      <c r="W82" s="19" t="str">
        <f>IF(A82="","",IFERROR(SUMIFS(PROGRAMA_DETALLE!$S$4:$S$503,PROGRAMA_DETALLE!$A$4:$A$503,A82),0))</f>
        <v/>
      </c>
      <c r="X82" s="19">
        <f t="shared" si="3"/>
        <v>0</v>
      </c>
      <c r="Y82" s="20">
        <f t="shared" si="4"/>
        <v>0</v>
      </c>
      <c r="Z82" s="21">
        <f t="shared" si="5"/>
        <v>0</v>
      </c>
      <c r="AA82" s="22">
        <f t="shared" si="6"/>
        <v>0</v>
      </c>
      <c r="AB82" s="23">
        <f>IFERROR(W82*DASHBOARD!$C$2,0)</f>
        <v>0</v>
      </c>
      <c r="AC82" s="24"/>
      <c r="AD82" s="7"/>
      <c r="AE82" s="25">
        <f>IFERROR(N82+IFERROR(SUMIFS(PROGRAMA_DETALLE!$M$4:$M$503,PROGRAMA_DETALLE!$A$4:$A$503,A82),0)+IFERROR(SUMIFS(PROGRAMA_DETALLE!$Z$4:$Z$503,PROGRAMA_DETALLE!$A$4:$A$503,A82),0)+AB82,0)</f>
        <v>0</v>
      </c>
      <c r="AF82" s="25">
        <f t="shared" si="7"/>
        <v>0</v>
      </c>
      <c r="AG82" s="26">
        <f t="shared" si="8"/>
        <v>0</v>
      </c>
    </row>
    <row r="83" ht="15.75" customHeight="1">
      <c r="A83" s="6"/>
      <c r="B83" s="7"/>
      <c r="C83" s="6"/>
      <c r="D83" s="8"/>
      <c r="E83" s="9"/>
      <c r="F83" s="10"/>
      <c r="G83" s="8"/>
      <c r="H83" s="8"/>
      <c r="I83" s="8"/>
      <c r="J83" s="6"/>
      <c r="K83" s="11">
        <f>IFERROR(SUMIFS(PROGRAMA_DETALLE!$E$4:$E$503,PROGRAMA_DETALLE!$A$4:$A$503,A83),0)</f>
        <v>0</v>
      </c>
      <c r="L83" s="12">
        <f>IFERROR(SUMIFS(PROGRAMA_DETALLE!$F$4:$F$503,PROGRAMA_DETALLE!$A$4:$A$503,A83),0)</f>
        <v>0</v>
      </c>
      <c r="M83" s="13" t="str">
        <f>IF(A83="","",IFERROR(SUMIFS(COMPRAS_HILO!$D$4:$D$203,COMPRAS_HILO!$B$4:$B$203,A83),0))</f>
        <v/>
      </c>
      <c r="N83" s="14" t="str">
        <f>IF(A83="","",IFERROR(SUMIFS(COMPRAS_HILO!$H$4:$H$203,COMPRAS_HILO!$B$4:$B$203,A83),0))</f>
        <v/>
      </c>
      <c r="O83" s="15" t="str">
        <f>IFERROR(IF(SUMPRODUCT((COMPRAS_HILO!$B$4:$B$203=A83)*1)=0,"",LOOKUP(2,1/((COMPRAS_HILO!$B$4:$B$203=A83)*(COMPRAS_HILO!$J$4:$J$203&lt;&gt;"")),COMPRAS_HILO!$J$4:$J$203)),"")</f>
        <v/>
      </c>
      <c r="P83" s="16"/>
      <c r="Q83" s="17" t="str">
        <f>IF(A83="","",IFERROR(SUMIFS(PROGRAMA_DETALLE!$H$4:$H$503,PROGRAMA_DETALLE!$A$4:$A$503,A83),0))</f>
        <v/>
      </c>
      <c r="R83" s="17" t="str">
        <f>IF(A83="","",IFERROR(SUMIFS(PROGRAMA_DETALLE!$I$4:$I$503,PROGRAMA_DETALLE!$A$4:$A$503,A83),0))</f>
        <v/>
      </c>
      <c r="S83" s="10"/>
      <c r="T83" s="17">
        <f t="shared" si="1"/>
        <v>0</v>
      </c>
      <c r="U83" s="18">
        <f t="shared" si="2"/>
        <v>0</v>
      </c>
      <c r="V83" s="19" t="str">
        <f>IF(A83="","",IFERROR(SUMIFS(PROGRAMA_DETALLE!$R$4:$R$503,PROGRAMA_DETALLE!$A$4:$A$503,A83),0))</f>
        <v/>
      </c>
      <c r="W83" s="19" t="str">
        <f>IF(A83="","",IFERROR(SUMIFS(PROGRAMA_DETALLE!$S$4:$S$503,PROGRAMA_DETALLE!$A$4:$A$503,A83),0))</f>
        <v/>
      </c>
      <c r="X83" s="19">
        <f t="shared" si="3"/>
        <v>0</v>
      </c>
      <c r="Y83" s="20">
        <f t="shared" si="4"/>
        <v>0</v>
      </c>
      <c r="Z83" s="21">
        <f t="shared" si="5"/>
        <v>0</v>
      </c>
      <c r="AA83" s="22">
        <f t="shared" si="6"/>
        <v>0</v>
      </c>
      <c r="AB83" s="23">
        <f>IFERROR(W83*DASHBOARD!$C$2,0)</f>
        <v>0</v>
      </c>
      <c r="AC83" s="24"/>
      <c r="AD83" s="7"/>
      <c r="AE83" s="25">
        <f>IFERROR(N83+IFERROR(SUMIFS(PROGRAMA_DETALLE!$M$4:$M$503,PROGRAMA_DETALLE!$A$4:$A$503,A83),0)+IFERROR(SUMIFS(PROGRAMA_DETALLE!$Z$4:$Z$503,PROGRAMA_DETALLE!$A$4:$A$503,A83),0)+AB83,0)</f>
        <v>0</v>
      </c>
      <c r="AF83" s="25">
        <f t="shared" si="7"/>
        <v>0</v>
      </c>
      <c r="AG83" s="26">
        <f t="shared" si="8"/>
        <v>0</v>
      </c>
    </row>
    <row r="84" ht="15.75" customHeight="1">
      <c r="A84" s="6"/>
      <c r="B84" s="7"/>
      <c r="C84" s="6"/>
      <c r="D84" s="8"/>
      <c r="E84" s="9"/>
      <c r="F84" s="10"/>
      <c r="G84" s="8"/>
      <c r="H84" s="8"/>
      <c r="I84" s="8"/>
      <c r="J84" s="6"/>
      <c r="K84" s="11">
        <f>IFERROR(SUMIFS(PROGRAMA_DETALLE!$E$4:$E$503,PROGRAMA_DETALLE!$A$4:$A$503,A84),0)</f>
        <v>0</v>
      </c>
      <c r="L84" s="12">
        <f>IFERROR(SUMIFS(PROGRAMA_DETALLE!$F$4:$F$503,PROGRAMA_DETALLE!$A$4:$A$503,A84),0)</f>
        <v>0</v>
      </c>
      <c r="M84" s="13" t="str">
        <f>IF(A84="","",IFERROR(SUMIFS(COMPRAS_HILO!$D$4:$D$203,COMPRAS_HILO!$B$4:$B$203,A84),0))</f>
        <v/>
      </c>
      <c r="N84" s="14" t="str">
        <f>IF(A84="","",IFERROR(SUMIFS(COMPRAS_HILO!$H$4:$H$203,COMPRAS_HILO!$B$4:$B$203,A84),0))</f>
        <v/>
      </c>
      <c r="O84" s="15" t="str">
        <f>IFERROR(IF(SUMPRODUCT((COMPRAS_HILO!$B$4:$B$203=A84)*1)=0,"",LOOKUP(2,1/((COMPRAS_HILO!$B$4:$B$203=A84)*(COMPRAS_HILO!$J$4:$J$203&lt;&gt;"")),COMPRAS_HILO!$J$4:$J$203)),"")</f>
        <v/>
      </c>
      <c r="P84" s="16"/>
      <c r="Q84" s="17" t="str">
        <f>IF(A84="","",IFERROR(SUMIFS(PROGRAMA_DETALLE!$H$4:$H$503,PROGRAMA_DETALLE!$A$4:$A$503,A84),0))</f>
        <v/>
      </c>
      <c r="R84" s="17" t="str">
        <f>IF(A84="","",IFERROR(SUMIFS(PROGRAMA_DETALLE!$I$4:$I$503,PROGRAMA_DETALLE!$A$4:$A$503,A84),0))</f>
        <v/>
      </c>
      <c r="S84" s="10"/>
      <c r="T84" s="17">
        <f t="shared" si="1"/>
        <v>0</v>
      </c>
      <c r="U84" s="18">
        <f t="shared" si="2"/>
        <v>0</v>
      </c>
      <c r="V84" s="19" t="str">
        <f>IF(A84="","",IFERROR(SUMIFS(PROGRAMA_DETALLE!$R$4:$R$503,PROGRAMA_DETALLE!$A$4:$A$503,A84),0))</f>
        <v/>
      </c>
      <c r="W84" s="19" t="str">
        <f>IF(A84="","",IFERROR(SUMIFS(PROGRAMA_DETALLE!$S$4:$S$503,PROGRAMA_DETALLE!$A$4:$A$503,A84),0))</f>
        <v/>
      </c>
      <c r="X84" s="19">
        <f t="shared" si="3"/>
        <v>0</v>
      </c>
      <c r="Y84" s="20">
        <f t="shared" si="4"/>
        <v>0</v>
      </c>
      <c r="Z84" s="21">
        <f t="shared" si="5"/>
        <v>0</v>
      </c>
      <c r="AA84" s="22">
        <f t="shared" si="6"/>
        <v>0</v>
      </c>
      <c r="AB84" s="23">
        <f>IFERROR(W84*DASHBOARD!$C$2,0)</f>
        <v>0</v>
      </c>
      <c r="AC84" s="24"/>
      <c r="AD84" s="7"/>
      <c r="AE84" s="25">
        <f>IFERROR(N84+IFERROR(SUMIFS(PROGRAMA_DETALLE!$M$4:$M$503,PROGRAMA_DETALLE!$A$4:$A$503,A84),0)+IFERROR(SUMIFS(PROGRAMA_DETALLE!$Z$4:$Z$503,PROGRAMA_DETALLE!$A$4:$A$503,A84),0)+AB84,0)</f>
        <v>0</v>
      </c>
      <c r="AF84" s="25">
        <f t="shared" si="7"/>
        <v>0</v>
      </c>
      <c r="AG84" s="26">
        <f t="shared" si="8"/>
        <v>0</v>
      </c>
    </row>
    <row r="85" ht="15.75" customHeight="1">
      <c r="A85" s="6"/>
      <c r="B85" s="7"/>
      <c r="C85" s="6"/>
      <c r="D85" s="8"/>
      <c r="E85" s="9"/>
      <c r="F85" s="10"/>
      <c r="G85" s="8"/>
      <c r="H85" s="8"/>
      <c r="I85" s="8"/>
      <c r="J85" s="6"/>
      <c r="K85" s="11">
        <f>IFERROR(SUMIFS(PROGRAMA_DETALLE!$E$4:$E$503,PROGRAMA_DETALLE!$A$4:$A$503,A85),0)</f>
        <v>0</v>
      </c>
      <c r="L85" s="12">
        <f>IFERROR(SUMIFS(PROGRAMA_DETALLE!$F$4:$F$503,PROGRAMA_DETALLE!$A$4:$A$503,A85),0)</f>
        <v>0</v>
      </c>
      <c r="M85" s="13" t="str">
        <f>IF(A85="","",IFERROR(SUMIFS(COMPRAS_HILO!$D$4:$D$203,COMPRAS_HILO!$B$4:$B$203,A85),0))</f>
        <v/>
      </c>
      <c r="N85" s="14" t="str">
        <f>IF(A85="","",IFERROR(SUMIFS(COMPRAS_HILO!$H$4:$H$203,COMPRAS_HILO!$B$4:$B$203,A85),0))</f>
        <v/>
      </c>
      <c r="O85" s="15" t="str">
        <f>IFERROR(IF(SUMPRODUCT((COMPRAS_HILO!$B$4:$B$203=A85)*1)=0,"",LOOKUP(2,1/((COMPRAS_HILO!$B$4:$B$203=A85)*(COMPRAS_HILO!$J$4:$J$203&lt;&gt;"")),COMPRAS_HILO!$J$4:$J$203)),"")</f>
        <v/>
      </c>
      <c r="P85" s="16"/>
      <c r="Q85" s="17" t="str">
        <f>IF(A85="","",IFERROR(SUMIFS(PROGRAMA_DETALLE!$H$4:$H$503,PROGRAMA_DETALLE!$A$4:$A$503,A85),0))</f>
        <v/>
      </c>
      <c r="R85" s="17" t="str">
        <f>IF(A85="","",IFERROR(SUMIFS(PROGRAMA_DETALLE!$I$4:$I$503,PROGRAMA_DETALLE!$A$4:$A$503,A85),0))</f>
        <v/>
      </c>
      <c r="S85" s="10"/>
      <c r="T85" s="17">
        <f t="shared" si="1"/>
        <v>0</v>
      </c>
      <c r="U85" s="18">
        <f t="shared" si="2"/>
        <v>0</v>
      </c>
      <c r="V85" s="19" t="str">
        <f>IF(A85="","",IFERROR(SUMIFS(PROGRAMA_DETALLE!$R$4:$R$503,PROGRAMA_DETALLE!$A$4:$A$503,A85),0))</f>
        <v/>
      </c>
      <c r="W85" s="19" t="str">
        <f>IF(A85="","",IFERROR(SUMIFS(PROGRAMA_DETALLE!$S$4:$S$503,PROGRAMA_DETALLE!$A$4:$A$503,A85),0))</f>
        <v/>
      </c>
      <c r="X85" s="19">
        <f t="shared" si="3"/>
        <v>0</v>
      </c>
      <c r="Y85" s="20">
        <f t="shared" si="4"/>
        <v>0</v>
      </c>
      <c r="Z85" s="21">
        <f t="shared" si="5"/>
        <v>0</v>
      </c>
      <c r="AA85" s="22">
        <f t="shared" si="6"/>
        <v>0</v>
      </c>
      <c r="AB85" s="23">
        <f>IFERROR(W85*DASHBOARD!$C$2,0)</f>
        <v>0</v>
      </c>
      <c r="AC85" s="24"/>
      <c r="AD85" s="7"/>
      <c r="AE85" s="25">
        <f>IFERROR(N85+IFERROR(SUMIFS(PROGRAMA_DETALLE!$M$4:$M$503,PROGRAMA_DETALLE!$A$4:$A$503,A85),0)+IFERROR(SUMIFS(PROGRAMA_DETALLE!$Z$4:$Z$503,PROGRAMA_DETALLE!$A$4:$A$503,A85),0)+AB85,0)</f>
        <v>0</v>
      </c>
      <c r="AF85" s="25">
        <f t="shared" si="7"/>
        <v>0</v>
      </c>
      <c r="AG85" s="26">
        <f t="shared" si="8"/>
        <v>0</v>
      </c>
    </row>
    <row r="86" ht="15.75" customHeight="1">
      <c r="A86" s="6"/>
      <c r="B86" s="7"/>
      <c r="C86" s="6"/>
      <c r="D86" s="8"/>
      <c r="E86" s="9"/>
      <c r="F86" s="10"/>
      <c r="G86" s="8"/>
      <c r="H86" s="8"/>
      <c r="I86" s="8"/>
      <c r="J86" s="6"/>
      <c r="K86" s="11">
        <f>IFERROR(SUMIFS(PROGRAMA_DETALLE!$E$4:$E$503,PROGRAMA_DETALLE!$A$4:$A$503,A86),0)</f>
        <v>0</v>
      </c>
      <c r="L86" s="12">
        <f>IFERROR(SUMIFS(PROGRAMA_DETALLE!$F$4:$F$503,PROGRAMA_DETALLE!$A$4:$A$503,A86),0)</f>
        <v>0</v>
      </c>
      <c r="M86" s="13" t="str">
        <f>IF(A86="","",IFERROR(SUMIFS(COMPRAS_HILO!$D$4:$D$203,COMPRAS_HILO!$B$4:$B$203,A86),0))</f>
        <v/>
      </c>
      <c r="N86" s="14" t="str">
        <f>IF(A86="","",IFERROR(SUMIFS(COMPRAS_HILO!$H$4:$H$203,COMPRAS_HILO!$B$4:$B$203,A86),0))</f>
        <v/>
      </c>
      <c r="O86" s="15" t="str">
        <f>IFERROR(IF(SUMPRODUCT((COMPRAS_HILO!$B$4:$B$203=A86)*1)=0,"",LOOKUP(2,1/((COMPRAS_HILO!$B$4:$B$203=A86)*(COMPRAS_HILO!$J$4:$J$203&lt;&gt;"")),COMPRAS_HILO!$J$4:$J$203)),"")</f>
        <v/>
      </c>
      <c r="P86" s="16"/>
      <c r="Q86" s="17" t="str">
        <f>IF(A86="","",IFERROR(SUMIFS(PROGRAMA_DETALLE!$H$4:$H$503,PROGRAMA_DETALLE!$A$4:$A$503,A86),0))</f>
        <v/>
      </c>
      <c r="R86" s="17" t="str">
        <f>IF(A86="","",IFERROR(SUMIFS(PROGRAMA_DETALLE!$I$4:$I$503,PROGRAMA_DETALLE!$A$4:$A$503,A86),0))</f>
        <v/>
      </c>
      <c r="S86" s="10"/>
      <c r="T86" s="17">
        <f t="shared" si="1"/>
        <v>0</v>
      </c>
      <c r="U86" s="18">
        <f t="shared" si="2"/>
        <v>0</v>
      </c>
      <c r="V86" s="19" t="str">
        <f>IF(A86="","",IFERROR(SUMIFS(PROGRAMA_DETALLE!$R$4:$R$503,PROGRAMA_DETALLE!$A$4:$A$503,A86),0))</f>
        <v/>
      </c>
      <c r="W86" s="19" t="str">
        <f>IF(A86="","",IFERROR(SUMIFS(PROGRAMA_DETALLE!$S$4:$S$503,PROGRAMA_DETALLE!$A$4:$A$503,A86),0))</f>
        <v/>
      </c>
      <c r="X86" s="19">
        <f t="shared" si="3"/>
        <v>0</v>
      </c>
      <c r="Y86" s="20">
        <f t="shared" si="4"/>
        <v>0</v>
      </c>
      <c r="Z86" s="21">
        <f t="shared" si="5"/>
        <v>0</v>
      </c>
      <c r="AA86" s="22">
        <f t="shared" si="6"/>
        <v>0</v>
      </c>
      <c r="AB86" s="23">
        <f>IFERROR(W86*DASHBOARD!$C$2,0)</f>
        <v>0</v>
      </c>
      <c r="AC86" s="24"/>
      <c r="AD86" s="7"/>
      <c r="AE86" s="25">
        <f>IFERROR(N86+IFERROR(SUMIFS(PROGRAMA_DETALLE!$M$4:$M$503,PROGRAMA_DETALLE!$A$4:$A$503,A86),0)+IFERROR(SUMIFS(PROGRAMA_DETALLE!$Z$4:$Z$503,PROGRAMA_DETALLE!$A$4:$A$503,A86),0)+AB86,0)</f>
        <v>0</v>
      </c>
      <c r="AF86" s="25">
        <f t="shared" si="7"/>
        <v>0</v>
      </c>
      <c r="AG86" s="26">
        <f t="shared" si="8"/>
        <v>0</v>
      </c>
    </row>
    <row r="87" ht="15.75" customHeight="1">
      <c r="A87" s="6"/>
      <c r="B87" s="7"/>
      <c r="C87" s="6"/>
      <c r="D87" s="8"/>
      <c r="E87" s="9"/>
      <c r="F87" s="10"/>
      <c r="G87" s="8"/>
      <c r="H87" s="8"/>
      <c r="I87" s="8"/>
      <c r="J87" s="6"/>
      <c r="K87" s="11">
        <f>IFERROR(SUMIFS(PROGRAMA_DETALLE!$E$4:$E$503,PROGRAMA_DETALLE!$A$4:$A$503,A87),0)</f>
        <v>0</v>
      </c>
      <c r="L87" s="12">
        <f>IFERROR(SUMIFS(PROGRAMA_DETALLE!$F$4:$F$503,PROGRAMA_DETALLE!$A$4:$A$503,A87),0)</f>
        <v>0</v>
      </c>
      <c r="M87" s="13" t="str">
        <f>IF(A87="","",IFERROR(SUMIFS(COMPRAS_HILO!$D$4:$D$203,COMPRAS_HILO!$B$4:$B$203,A87),0))</f>
        <v/>
      </c>
      <c r="N87" s="14" t="str">
        <f>IF(A87="","",IFERROR(SUMIFS(COMPRAS_HILO!$H$4:$H$203,COMPRAS_HILO!$B$4:$B$203,A87),0))</f>
        <v/>
      </c>
      <c r="O87" s="15" t="str">
        <f>IFERROR(IF(SUMPRODUCT((COMPRAS_HILO!$B$4:$B$203=A87)*1)=0,"",LOOKUP(2,1/((COMPRAS_HILO!$B$4:$B$203=A87)*(COMPRAS_HILO!$J$4:$J$203&lt;&gt;"")),COMPRAS_HILO!$J$4:$J$203)),"")</f>
        <v/>
      </c>
      <c r="P87" s="16"/>
      <c r="Q87" s="17" t="str">
        <f>IF(A87="","",IFERROR(SUMIFS(PROGRAMA_DETALLE!$H$4:$H$503,PROGRAMA_DETALLE!$A$4:$A$503,A87),0))</f>
        <v/>
      </c>
      <c r="R87" s="17" t="str">
        <f>IF(A87="","",IFERROR(SUMIFS(PROGRAMA_DETALLE!$I$4:$I$503,PROGRAMA_DETALLE!$A$4:$A$503,A87),0))</f>
        <v/>
      </c>
      <c r="S87" s="10"/>
      <c r="T87" s="17">
        <f t="shared" si="1"/>
        <v>0</v>
      </c>
      <c r="U87" s="18">
        <f t="shared" si="2"/>
        <v>0</v>
      </c>
      <c r="V87" s="19" t="str">
        <f>IF(A87="","",IFERROR(SUMIFS(PROGRAMA_DETALLE!$R$4:$R$503,PROGRAMA_DETALLE!$A$4:$A$503,A87),0))</f>
        <v/>
      </c>
      <c r="W87" s="19" t="str">
        <f>IF(A87="","",IFERROR(SUMIFS(PROGRAMA_DETALLE!$S$4:$S$503,PROGRAMA_DETALLE!$A$4:$A$503,A87),0))</f>
        <v/>
      </c>
      <c r="X87" s="19">
        <f t="shared" si="3"/>
        <v>0</v>
      </c>
      <c r="Y87" s="20">
        <f t="shared" si="4"/>
        <v>0</v>
      </c>
      <c r="Z87" s="21">
        <f t="shared" si="5"/>
        <v>0</v>
      </c>
      <c r="AA87" s="22">
        <f t="shared" si="6"/>
        <v>0</v>
      </c>
      <c r="AB87" s="23">
        <f>IFERROR(W87*DASHBOARD!$C$2,0)</f>
        <v>0</v>
      </c>
      <c r="AC87" s="24"/>
      <c r="AD87" s="7"/>
      <c r="AE87" s="25">
        <f>IFERROR(N87+IFERROR(SUMIFS(PROGRAMA_DETALLE!$M$4:$M$503,PROGRAMA_DETALLE!$A$4:$A$503,A87),0)+IFERROR(SUMIFS(PROGRAMA_DETALLE!$Z$4:$Z$503,PROGRAMA_DETALLE!$A$4:$A$503,A87),0)+AB87,0)</f>
        <v>0</v>
      </c>
      <c r="AF87" s="25">
        <f t="shared" si="7"/>
        <v>0</v>
      </c>
      <c r="AG87" s="26">
        <f t="shared" si="8"/>
        <v>0</v>
      </c>
    </row>
    <row r="88" ht="15.75" customHeight="1">
      <c r="A88" s="6"/>
      <c r="B88" s="7"/>
      <c r="C88" s="6"/>
      <c r="D88" s="8"/>
      <c r="E88" s="9"/>
      <c r="F88" s="10"/>
      <c r="G88" s="8"/>
      <c r="H88" s="8"/>
      <c r="I88" s="8"/>
      <c r="J88" s="6"/>
      <c r="K88" s="11">
        <f>IFERROR(SUMIFS(PROGRAMA_DETALLE!$E$4:$E$503,PROGRAMA_DETALLE!$A$4:$A$503,A88),0)</f>
        <v>0</v>
      </c>
      <c r="L88" s="12">
        <f>IFERROR(SUMIFS(PROGRAMA_DETALLE!$F$4:$F$503,PROGRAMA_DETALLE!$A$4:$A$503,A88),0)</f>
        <v>0</v>
      </c>
      <c r="M88" s="13" t="str">
        <f>IF(A88="","",IFERROR(SUMIFS(COMPRAS_HILO!$D$4:$D$203,COMPRAS_HILO!$B$4:$B$203,A88),0))</f>
        <v/>
      </c>
      <c r="N88" s="14" t="str">
        <f>IF(A88="","",IFERROR(SUMIFS(COMPRAS_HILO!$H$4:$H$203,COMPRAS_HILO!$B$4:$B$203,A88),0))</f>
        <v/>
      </c>
      <c r="O88" s="15" t="str">
        <f>IFERROR(IF(SUMPRODUCT((COMPRAS_HILO!$B$4:$B$203=A88)*1)=0,"",LOOKUP(2,1/((COMPRAS_HILO!$B$4:$B$203=A88)*(COMPRAS_HILO!$J$4:$J$203&lt;&gt;"")),COMPRAS_HILO!$J$4:$J$203)),"")</f>
        <v/>
      </c>
      <c r="P88" s="16"/>
      <c r="Q88" s="17" t="str">
        <f>IF(A88="","",IFERROR(SUMIFS(PROGRAMA_DETALLE!$H$4:$H$503,PROGRAMA_DETALLE!$A$4:$A$503,A88),0))</f>
        <v/>
      </c>
      <c r="R88" s="17" t="str">
        <f>IF(A88="","",IFERROR(SUMIFS(PROGRAMA_DETALLE!$I$4:$I$503,PROGRAMA_DETALLE!$A$4:$A$503,A88),0))</f>
        <v/>
      </c>
      <c r="S88" s="10"/>
      <c r="T88" s="17">
        <f t="shared" si="1"/>
        <v>0</v>
      </c>
      <c r="U88" s="18">
        <f t="shared" si="2"/>
        <v>0</v>
      </c>
      <c r="V88" s="19" t="str">
        <f>IF(A88="","",IFERROR(SUMIFS(PROGRAMA_DETALLE!$R$4:$R$503,PROGRAMA_DETALLE!$A$4:$A$503,A88),0))</f>
        <v/>
      </c>
      <c r="W88" s="19" t="str">
        <f>IF(A88="","",IFERROR(SUMIFS(PROGRAMA_DETALLE!$S$4:$S$503,PROGRAMA_DETALLE!$A$4:$A$503,A88),0))</f>
        <v/>
      </c>
      <c r="X88" s="19">
        <f t="shared" si="3"/>
        <v>0</v>
      </c>
      <c r="Y88" s="20">
        <f t="shared" si="4"/>
        <v>0</v>
      </c>
      <c r="Z88" s="21">
        <f t="shared" si="5"/>
        <v>0</v>
      </c>
      <c r="AA88" s="22">
        <f t="shared" si="6"/>
        <v>0</v>
      </c>
      <c r="AB88" s="23">
        <f>IFERROR(W88*DASHBOARD!$C$2,0)</f>
        <v>0</v>
      </c>
      <c r="AC88" s="24"/>
      <c r="AD88" s="7"/>
      <c r="AE88" s="25">
        <f>IFERROR(N88+IFERROR(SUMIFS(PROGRAMA_DETALLE!$M$4:$M$503,PROGRAMA_DETALLE!$A$4:$A$503,A88),0)+IFERROR(SUMIFS(PROGRAMA_DETALLE!$Z$4:$Z$503,PROGRAMA_DETALLE!$A$4:$A$503,A88),0)+AB88,0)</f>
        <v>0</v>
      </c>
      <c r="AF88" s="25">
        <f t="shared" si="7"/>
        <v>0</v>
      </c>
      <c r="AG88" s="26">
        <f t="shared" si="8"/>
        <v>0</v>
      </c>
    </row>
    <row r="89" ht="15.75" customHeight="1">
      <c r="A89" s="6"/>
      <c r="B89" s="7"/>
      <c r="C89" s="6"/>
      <c r="D89" s="8"/>
      <c r="E89" s="9"/>
      <c r="F89" s="10"/>
      <c r="G89" s="8"/>
      <c r="H89" s="8"/>
      <c r="I89" s="8"/>
      <c r="J89" s="6"/>
      <c r="K89" s="11">
        <f>IFERROR(SUMIFS(PROGRAMA_DETALLE!$E$4:$E$503,PROGRAMA_DETALLE!$A$4:$A$503,A89),0)</f>
        <v>0</v>
      </c>
      <c r="L89" s="12">
        <f>IFERROR(SUMIFS(PROGRAMA_DETALLE!$F$4:$F$503,PROGRAMA_DETALLE!$A$4:$A$503,A89),0)</f>
        <v>0</v>
      </c>
      <c r="M89" s="13" t="str">
        <f>IF(A89="","",IFERROR(SUMIFS(COMPRAS_HILO!$D$4:$D$203,COMPRAS_HILO!$B$4:$B$203,A89),0))</f>
        <v/>
      </c>
      <c r="N89" s="14" t="str">
        <f>IF(A89="","",IFERROR(SUMIFS(COMPRAS_HILO!$H$4:$H$203,COMPRAS_HILO!$B$4:$B$203,A89),0))</f>
        <v/>
      </c>
      <c r="O89" s="15" t="str">
        <f>IFERROR(IF(SUMPRODUCT((COMPRAS_HILO!$B$4:$B$203=A89)*1)=0,"",LOOKUP(2,1/((COMPRAS_HILO!$B$4:$B$203=A89)*(COMPRAS_HILO!$J$4:$J$203&lt;&gt;"")),COMPRAS_HILO!$J$4:$J$203)),"")</f>
        <v/>
      </c>
      <c r="P89" s="16"/>
      <c r="Q89" s="17" t="str">
        <f>IF(A89="","",IFERROR(SUMIFS(PROGRAMA_DETALLE!$H$4:$H$503,PROGRAMA_DETALLE!$A$4:$A$503,A89),0))</f>
        <v/>
      </c>
      <c r="R89" s="17" t="str">
        <f>IF(A89="","",IFERROR(SUMIFS(PROGRAMA_DETALLE!$I$4:$I$503,PROGRAMA_DETALLE!$A$4:$A$503,A89),0))</f>
        <v/>
      </c>
      <c r="S89" s="10"/>
      <c r="T89" s="17">
        <f t="shared" si="1"/>
        <v>0</v>
      </c>
      <c r="U89" s="18">
        <f t="shared" si="2"/>
        <v>0</v>
      </c>
      <c r="V89" s="19" t="str">
        <f>IF(A89="","",IFERROR(SUMIFS(PROGRAMA_DETALLE!$R$4:$R$503,PROGRAMA_DETALLE!$A$4:$A$503,A89),0))</f>
        <v/>
      </c>
      <c r="W89" s="19" t="str">
        <f>IF(A89="","",IFERROR(SUMIFS(PROGRAMA_DETALLE!$S$4:$S$503,PROGRAMA_DETALLE!$A$4:$A$503,A89),0))</f>
        <v/>
      </c>
      <c r="X89" s="19">
        <f t="shared" si="3"/>
        <v>0</v>
      </c>
      <c r="Y89" s="20">
        <f t="shared" si="4"/>
        <v>0</v>
      </c>
      <c r="Z89" s="21">
        <f t="shared" si="5"/>
        <v>0</v>
      </c>
      <c r="AA89" s="22">
        <f t="shared" si="6"/>
        <v>0</v>
      </c>
      <c r="AB89" s="23">
        <f>IFERROR(W89*DASHBOARD!$C$2,0)</f>
        <v>0</v>
      </c>
      <c r="AC89" s="24"/>
      <c r="AD89" s="7"/>
      <c r="AE89" s="25">
        <f>IFERROR(N89+IFERROR(SUMIFS(PROGRAMA_DETALLE!$M$4:$M$503,PROGRAMA_DETALLE!$A$4:$A$503,A89),0)+IFERROR(SUMIFS(PROGRAMA_DETALLE!$Z$4:$Z$503,PROGRAMA_DETALLE!$A$4:$A$503,A89),0)+AB89,0)</f>
        <v>0</v>
      </c>
      <c r="AF89" s="25">
        <f t="shared" si="7"/>
        <v>0</v>
      </c>
      <c r="AG89" s="26">
        <f t="shared" si="8"/>
        <v>0</v>
      </c>
    </row>
    <row r="90" ht="15.75" customHeight="1">
      <c r="A90" s="6"/>
      <c r="B90" s="7"/>
      <c r="C90" s="6"/>
      <c r="D90" s="8"/>
      <c r="E90" s="9"/>
      <c r="F90" s="10"/>
      <c r="G90" s="8"/>
      <c r="H90" s="8"/>
      <c r="I90" s="8"/>
      <c r="J90" s="6"/>
      <c r="K90" s="11">
        <f>IFERROR(SUMIFS(PROGRAMA_DETALLE!$E$4:$E$503,PROGRAMA_DETALLE!$A$4:$A$503,A90),0)</f>
        <v>0</v>
      </c>
      <c r="L90" s="12">
        <f>IFERROR(SUMIFS(PROGRAMA_DETALLE!$F$4:$F$503,PROGRAMA_DETALLE!$A$4:$A$503,A90),0)</f>
        <v>0</v>
      </c>
      <c r="M90" s="13" t="str">
        <f>IF(A90="","",IFERROR(SUMIFS(COMPRAS_HILO!$D$4:$D$203,COMPRAS_HILO!$B$4:$B$203,A90),0))</f>
        <v/>
      </c>
      <c r="N90" s="14" t="str">
        <f>IF(A90="","",IFERROR(SUMIFS(COMPRAS_HILO!$H$4:$H$203,COMPRAS_HILO!$B$4:$B$203,A90),0))</f>
        <v/>
      </c>
      <c r="O90" s="15" t="str">
        <f>IFERROR(IF(SUMPRODUCT((COMPRAS_HILO!$B$4:$B$203=A90)*1)=0,"",LOOKUP(2,1/((COMPRAS_HILO!$B$4:$B$203=A90)*(COMPRAS_HILO!$J$4:$J$203&lt;&gt;"")),COMPRAS_HILO!$J$4:$J$203)),"")</f>
        <v/>
      </c>
      <c r="P90" s="16"/>
      <c r="Q90" s="17" t="str">
        <f>IF(A90="","",IFERROR(SUMIFS(PROGRAMA_DETALLE!$H$4:$H$503,PROGRAMA_DETALLE!$A$4:$A$503,A90),0))</f>
        <v/>
      </c>
      <c r="R90" s="17" t="str">
        <f>IF(A90="","",IFERROR(SUMIFS(PROGRAMA_DETALLE!$I$4:$I$503,PROGRAMA_DETALLE!$A$4:$A$503,A90),0))</f>
        <v/>
      </c>
      <c r="S90" s="10"/>
      <c r="T90" s="17">
        <f t="shared" si="1"/>
        <v>0</v>
      </c>
      <c r="U90" s="18">
        <f t="shared" si="2"/>
        <v>0</v>
      </c>
      <c r="V90" s="19" t="str">
        <f>IF(A90="","",IFERROR(SUMIFS(PROGRAMA_DETALLE!$R$4:$R$503,PROGRAMA_DETALLE!$A$4:$A$503,A90),0))</f>
        <v/>
      </c>
      <c r="W90" s="19" t="str">
        <f>IF(A90="","",IFERROR(SUMIFS(PROGRAMA_DETALLE!$S$4:$S$503,PROGRAMA_DETALLE!$A$4:$A$503,A90),0))</f>
        <v/>
      </c>
      <c r="X90" s="19">
        <f t="shared" si="3"/>
        <v>0</v>
      </c>
      <c r="Y90" s="20">
        <f t="shared" si="4"/>
        <v>0</v>
      </c>
      <c r="Z90" s="21">
        <f t="shared" si="5"/>
        <v>0</v>
      </c>
      <c r="AA90" s="22">
        <f t="shared" si="6"/>
        <v>0</v>
      </c>
      <c r="AB90" s="23">
        <f>IFERROR(W90*DASHBOARD!$C$2,0)</f>
        <v>0</v>
      </c>
      <c r="AC90" s="24"/>
      <c r="AD90" s="7"/>
      <c r="AE90" s="25">
        <f>IFERROR(N90+IFERROR(SUMIFS(PROGRAMA_DETALLE!$M$4:$M$503,PROGRAMA_DETALLE!$A$4:$A$503,A90),0)+IFERROR(SUMIFS(PROGRAMA_DETALLE!$Z$4:$Z$503,PROGRAMA_DETALLE!$A$4:$A$503,A90),0)+AB90,0)</f>
        <v>0</v>
      </c>
      <c r="AF90" s="25">
        <f t="shared" si="7"/>
        <v>0</v>
      </c>
      <c r="AG90" s="26">
        <f t="shared" si="8"/>
        <v>0</v>
      </c>
    </row>
    <row r="91" ht="15.75" customHeight="1">
      <c r="A91" s="6"/>
      <c r="B91" s="7"/>
      <c r="C91" s="6"/>
      <c r="D91" s="8"/>
      <c r="E91" s="9"/>
      <c r="F91" s="10"/>
      <c r="G91" s="8"/>
      <c r="H91" s="8"/>
      <c r="I91" s="8"/>
      <c r="J91" s="6"/>
      <c r="K91" s="11">
        <f>IFERROR(SUMIFS(PROGRAMA_DETALLE!$E$4:$E$503,PROGRAMA_DETALLE!$A$4:$A$503,A91),0)</f>
        <v>0</v>
      </c>
      <c r="L91" s="12">
        <f>IFERROR(SUMIFS(PROGRAMA_DETALLE!$F$4:$F$503,PROGRAMA_DETALLE!$A$4:$A$503,A91),0)</f>
        <v>0</v>
      </c>
      <c r="M91" s="13" t="str">
        <f>IF(A91="","",IFERROR(SUMIFS(COMPRAS_HILO!$D$4:$D$203,COMPRAS_HILO!$B$4:$B$203,A91),0))</f>
        <v/>
      </c>
      <c r="N91" s="14" t="str">
        <f>IF(A91="","",IFERROR(SUMIFS(COMPRAS_HILO!$H$4:$H$203,COMPRAS_HILO!$B$4:$B$203,A91),0))</f>
        <v/>
      </c>
      <c r="O91" s="15" t="str">
        <f>IFERROR(IF(SUMPRODUCT((COMPRAS_HILO!$B$4:$B$203=A91)*1)=0,"",LOOKUP(2,1/((COMPRAS_HILO!$B$4:$B$203=A91)*(COMPRAS_HILO!$J$4:$J$203&lt;&gt;"")),COMPRAS_HILO!$J$4:$J$203)),"")</f>
        <v/>
      </c>
      <c r="P91" s="16"/>
      <c r="Q91" s="17" t="str">
        <f>IF(A91="","",IFERROR(SUMIFS(PROGRAMA_DETALLE!$H$4:$H$503,PROGRAMA_DETALLE!$A$4:$A$503,A91),0))</f>
        <v/>
      </c>
      <c r="R91" s="17" t="str">
        <f>IF(A91="","",IFERROR(SUMIFS(PROGRAMA_DETALLE!$I$4:$I$503,PROGRAMA_DETALLE!$A$4:$A$503,A91),0))</f>
        <v/>
      </c>
      <c r="S91" s="10"/>
      <c r="T91" s="17">
        <f t="shared" si="1"/>
        <v>0</v>
      </c>
      <c r="U91" s="18">
        <f t="shared" si="2"/>
        <v>0</v>
      </c>
      <c r="V91" s="19" t="str">
        <f>IF(A91="","",IFERROR(SUMIFS(PROGRAMA_DETALLE!$R$4:$R$503,PROGRAMA_DETALLE!$A$4:$A$503,A91),0))</f>
        <v/>
      </c>
      <c r="W91" s="19" t="str">
        <f>IF(A91="","",IFERROR(SUMIFS(PROGRAMA_DETALLE!$S$4:$S$503,PROGRAMA_DETALLE!$A$4:$A$503,A91),0))</f>
        <v/>
      </c>
      <c r="X91" s="19">
        <f t="shared" si="3"/>
        <v>0</v>
      </c>
      <c r="Y91" s="20">
        <f t="shared" si="4"/>
        <v>0</v>
      </c>
      <c r="Z91" s="21">
        <f t="shared" si="5"/>
        <v>0</v>
      </c>
      <c r="AA91" s="22">
        <f t="shared" si="6"/>
        <v>0</v>
      </c>
      <c r="AB91" s="23">
        <f>IFERROR(W91*DASHBOARD!$C$2,0)</f>
        <v>0</v>
      </c>
      <c r="AC91" s="24"/>
      <c r="AD91" s="7"/>
      <c r="AE91" s="25">
        <f>IFERROR(N91+IFERROR(SUMIFS(PROGRAMA_DETALLE!$M$4:$M$503,PROGRAMA_DETALLE!$A$4:$A$503,A91),0)+IFERROR(SUMIFS(PROGRAMA_DETALLE!$Z$4:$Z$503,PROGRAMA_DETALLE!$A$4:$A$503,A91),0)+AB91,0)</f>
        <v>0</v>
      </c>
      <c r="AF91" s="25">
        <f t="shared" si="7"/>
        <v>0</v>
      </c>
      <c r="AG91" s="26">
        <f t="shared" si="8"/>
        <v>0</v>
      </c>
    </row>
    <row r="92" ht="15.75" customHeight="1">
      <c r="A92" s="6"/>
      <c r="B92" s="7"/>
      <c r="C92" s="6"/>
      <c r="D92" s="8"/>
      <c r="E92" s="9"/>
      <c r="F92" s="10"/>
      <c r="G92" s="8"/>
      <c r="H92" s="8"/>
      <c r="I92" s="8"/>
      <c r="J92" s="6"/>
      <c r="K92" s="11">
        <f>IFERROR(SUMIFS(PROGRAMA_DETALLE!$E$4:$E$503,PROGRAMA_DETALLE!$A$4:$A$503,A92),0)</f>
        <v>0</v>
      </c>
      <c r="L92" s="12">
        <f>IFERROR(SUMIFS(PROGRAMA_DETALLE!$F$4:$F$503,PROGRAMA_DETALLE!$A$4:$A$503,A92),0)</f>
        <v>0</v>
      </c>
      <c r="M92" s="13" t="str">
        <f>IF(A92="","",IFERROR(SUMIFS(COMPRAS_HILO!$D$4:$D$203,COMPRAS_HILO!$B$4:$B$203,A92),0))</f>
        <v/>
      </c>
      <c r="N92" s="14" t="str">
        <f>IF(A92="","",IFERROR(SUMIFS(COMPRAS_HILO!$H$4:$H$203,COMPRAS_HILO!$B$4:$B$203,A92),0))</f>
        <v/>
      </c>
      <c r="O92" s="15" t="str">
        <f>IFERROR(IF(SUMPRODUCT((COMPRAS_HILO!$B$4:$B$203=A92)*1)=0,"",LOOKUP(2,1/((COMPRAS_HILO!$B$4:$B$203=A92)*(COMPRAS_HILO!$J$4:$J$203&lt;&gt;"")),COMPRAS_HILO!$J$4:$J$203)),"")</f>
        <v/>
      </c>
      <c r="P92" s="16"/>
      <c r="Q92" s="17" t="str">
        <f>IF(A92="","",IFERROR(SUMIFS(PROGRAMA_DETALLE!$H$4:$H$503,PROGRAMA_DETALLE!$A$4:$A$503,A92),0))</f>
        <v/>
      </c>
      <c r="R92" s="17" t="str">
        <f>IF(A92="","",IFERROR(SUMIFS(PROGRAMA_DETALLE!$I$4:$I$503,PROGRAMA_DETALLE!$A$4:$A$503,A92),0))</f>
        <v/>
      </c>
      <c r="S92" s="10"/>
      <c r="T92" s="17">
        <f t="shared" si="1"/>
        <v>0</v>
      </c>
      <c r="U92" s="18">
        <f t="shared" si="2"/>
        <v>0</v>
      </c>
      <c r="V92" s="19" t="str">
        <f>IF(A92="","",IFERROR(SUMIFS(PROGRAMA_DETALLE!$R$4:$R$503,PROGRAMA_DETALLE!$A$4:$A$503,A92),0))</f>
        <v/>
      </c>
      <c r="W92" s="19" t="str">
        <f>IF(A92="","",IFERROR(SUMIFS(PROGRAMA_DETALLE!$S$4:$S$503,PROGRAMA_DETALLE!$A$4:$A$503,A92),0))</f>
        <v/>
      </c>
      <c r="X92" s="19">
        <f t="shared" si="3"/>
        <v>0</v>
      </c>
      <c r="Y92" s="20">
        <f t="shared" si="4"/>
        <v>0</v>
      </c>
      <c r="Z92" s="21">
        <f t="shared" si="5"/>
        <v>0</v>
      </c>
      <c r="AA92" s="22">
        <f t="shared" si="6"/>
        <v>0</v>
      </c>
      <c r="AB92" s="23">
        <f>IFERROR(W92*DASHBOARD!$C$2,0)</f>
        <v>0</v>
      </c>
      <c r="AC92" s="24"/>
      <c r="AD92" s="7"/>
      <c r="AE92" s="25">
        <f>IFERROR(N92+IFERROR(SUMIFS(PROGRAMA_DETALLE!$M$4:$M$503,PROGRAMA_DETALLE!$A$4:$A$503,A92),0)+IFERROR(SUMIFS(PROGRAMA_DETALLE!$Z$4:$Z$503,PROGRAMA_DETALLE!$A$4:$A$503,A92),0)+AB92,0)</f>
        <v>0</v>
      </c>
      <c r="AF92" s="25">
        <f t="shared" si="7"/>
        <v>0</v>
      </c>
      <c r="AG92" s="26">
        <f t="shared" si="8"/>
        <v>0</v>
      </c>
    </row>
    <row r="93" ht="15.75" customHeight="1">
      <c r="A93" s="6"/>
      <c r="B93" s="7"/>
      <c r="C93" s="6"/>
      <c r="D93" s="8"/>
      <c r="E93" s="9"/>
      <c r="F93" s="10"/>
      <c r="G93" s="8"/>
      <c r="H93" s="8"/>
      <c r="I93" s="8"/>
      <c r="J93" s="6"/>
      <c r="K93" s="11">
        <f>IFERROR(SUMIFS(PROGRAMA_DETALLE!$E$4:$E$503,PROGRAMA_DETALLE!$A$4:$A$503,A93),0)</f>
        <v>0</v>
      </c>
      <c r="L93" s="12">
        <f>IFERROR(SUMIFS(PROGRAMA_DETALLE!$F$4:$F$503,PROGRAMA_DETALLE!$A$4:$A$503,A93),0)</f>
        <v>0</v>
      </c>
      <c r="M93" s="13" t="str">
        <f>IF(A93="","",IFERROR(SUMIFS(COMPRAS_HILO!$D$4:$D$203,COMPRAS_HILO!$B$4:$B$203,A93),0))</f>
        <v/>
      </c>
      <c r="N93" s="14" t="str">
        <f>IF(A93="","",IFERROR(SUMIFS(COMPRAS_HILO!$H$4:$H$203,COMPRAS_HILO!$B$4:$B$203,A93),0))</f>
        <v/>
      </c>
      <c r="O93" s="15" t="str">
        <f>IFERROR(IF(SUMPRODUCT((COMPRAS_HILO!$B$4:$B$203=A93)*1)=0,"",LOOKUP(2,1/((COMPRAS_HILO!$B$4:$B$203=A93)*(COMPRAS_HILO!$J$4:$J$203&lt;&gt;"")),COMPRAS_HILO!$J$4:$J$203)),"")</f>
        <v/>
      </c>
      <c r="P93" s="16"/>
      <c r="Q93" s="17" t="str">
        <f>IF(A93="","",IFERROR(SUMIFS(PROGRAMA_DETALLE!$H$4:$H$503,PROGRAMA_DETALLE!$A$4:$A$503,A93),0))</f>
        <v/>
      </c>
      <c r="R93" s="17" t="str">
        <f>IF(A93="","",IFERROR(SUMIFS(PROGRAMA_DETALLE!$I$4:$I$503,PROGRAMA_DETALLE!$A$4:$A$503,A93),0))</f>
        <v/>
      </c>
      <c r="S93" s="10"/>
      <c r="T93" s="17">
        <f t="shared" si="1"/>
        <v>0</v>
      </c>
      <c r="U93" s="18">
        <f t="shared" si="2"/>
        <v>0</v>
      </c>
      <c r="V93" s="19" t="str">
        <f>IF(A93="","",IFERROR(SUMIFS(PROGRAMA_DETALLE!$R$4:$R$503,PROGRAMA_DETALLE!$A$4:$A$503,A93),0))</f>
        <v/>
      </c>
      <c r="W93" s="19" t="str">
        <f>IF(A93="","",IFERROR(SUMIFS(PROGRAMA_DETALLE!$S$4:$S$503,PROGRAMA_DETALLE!$A$4:$A$503,A93),0))</f>
        <v/>
      </c>
      <c r="X93" s="19">
        <f t="shared" si="3"/>
        <v>0</v>
      </c>
      <c r="Y93" s="20">
        <f t="shared" si="4"/>
        <v>0</v>
      </c>
      <c r="Z93" s="21">
        <f t="shared" si="5"/>
        <v>0</v>
      </c>
      <c r="AA93" s="22">
        <f t="shared" si="6"/>
        <v>0</v>
      </c>
      <c r="AB93" s="23">
        <f>IFERROR(W93*DASHBOARD!$C$2,0)</f>
        <v>0</v>
      </c>
      <c r="AC93" s="24"/>
      <c r="AD93" s="7"/>
      <c r="AE93" s="25">
        <f>IFERROR(N93+IFERROR(SUMIFS(PROGRAMA_DETALLE!$M$4:$M$503,PROGRAMA_DETALLE!$A$4:$A$503,A93),0)+IFERROR(SUMIFS(PROGRAMA_DETALLE!$Z$4:$Z$503,PROGRAMA_DETALLE!$A$4:$A$503,A93),0)+AB93,0)</f>
        <v>0</v>
      </c>
      <c r="AF93" s="25">
        <f t="shared" si="7"/>
        <v>0</v>
      </c>
      <c r="AG93" s="26">
        <f t="shared" si="8"/>
        <v>0</v>
      </c>
    </row>
    <row r="94" ht="15.75" customHeight="1">
      <c r="A94" s="6"/>
      <c r="B94" s="7"/>
      <c r="C94" s="6"/>
      <c r="D94" s="8"/>
      <c r="E94" s="9"/>
      <c r="F94" s="10"/>
      <c r="G94" s="8"/>
      <c r="H94" s="8"/>
      <c r="I94" s="8"/>
      <c r="J94" s="6"/>
      <c r="K94" s="11">
        <f>IFERROR(SUMIFS(PROGRAMA_DETALLE!$E$4:$E$503,PROGRAMA_DETALLE!$A$4:$A$503,A94),0)</f>
        <v>0</v>
      </c>
      <c r="L94" s="12">
        <f>IFERROR(SUMIFS(PROGRAMA_DETALLE!$F$4:$F$503,PROGRAMA_DETALLE!$A$4:$A$503,A94),0)</f>
        <v>0</v>
      </c>
      <c r="M94" s="13" t="str">
        <f>IF(A94="","",IFERROR(SUMIFS(COMPRAS_HILO!$D$4:$D$203,COMPRAS_HILO!$B$4:$B$203,A94),0))</f>
        <v/>
      </c>
      <c r="N94" s="14" t="str">
        <f>IF(A94="","",IFERROR(SUMIFS(COMPRAS_HILO!$H$4:$H$203,COMPRAS_HILO!$B$4:$B$203,A94),0))</f>
        <v/>
      </c>
      <c r="O94" s="15" t="str">
        <f>IFERROR(IF(SUMPRODUCT((COMPRAS_HILO!$B$4:$B$203=A94)*1)=0,"",LOOKUP(2,1/((COMPRAS_HILO!$B$4:$B$203=A94)*(COMPRAS_HILO!$J$4:$J$203&lt;&gt;"")),COMPRAS_HILO!$J$4:$J$203)),"")</f>
        <v/>
      </c>
      <c r="P94" s="16"/>
      <c r="Q94" s="17" t="str">
        <f>IF(A94="","",IFERROR(SUMIFS(PROGRAMA_DETALLE!$H$4:$H$503,PROGRAMA_DETALLE!$A$4:$A$503,A94),0))</f>
        <v/>
      </c>
      <c r="R94" s="17" t="str">
        <f>IF(A94="","",IFERROR(SUMIFS(PROGRAMA_DETALLE!$I$4:$I$503,PROGRAMA_DETALLE!$A$4:$A$503,A94),0))</f>
        <v/>
      </c>
      <c r="S94" s="10"/>
      <c r="T94" s="17">
        <f t="shared" si="1"/>
        <v>0</v>
      </c>
      <c r="U94" s="18">
        <f t="shared" si="2"/>
        <v>0</v>
      </c>
      <c r="V94" s="19" t="str">
        <f>IF(A94="","",IFERROR(SUMIFS(PROGRAMA_DETALLE!$R$4:$R$503,PROGRAMA_DETALLE!$A$4:$A$503,A94),0))</f>
        <v/>
      </c>
      <c r="W94" s="19" t="str">
        <f>IF(A94="","",IFERROR(SUMIFS(PROGRAMA_DETALLE!$S$4:$S$503,PROGRAMA_DETALLE!$A$4:$A$503,A94),0))</f>
        <v/>
      </c>
      <c r="X94" s="19">
        <f t="shared" si="3"/>
        <v>0</v>
      </c>
      <c r="Y94" s="20">
        <f t="shared" si="4"/>
        <v>0</v>
      </c>
      <c r="Z94" s="21">
        <f t="shared" si="5"/>
        <v>0</v>
      </c>
      <c r="AA94" s="22">
        <f t="shared" si="6"/>
        <v>0</v>
      </c>
      <c r="AB94" s="23">
        <f>IFERROR(W94*DASHBOARD!$C$2,0)</f>
        <v>0</v>
      </c>
      <c r="AC94" s="24"/>
      <c r="AD94" s="7"/>
      <c r="AE94" s="25">
        <f>IFERROR(N94+IFERROR(SUMIFS(PROGRAMA_DETALLE!$M$4:$M$503,PROGRAMA_DETALLE!$A$4:$A$503,A94),0)+IFERROR(SUMIFS(PROGRAMA_DETALLE!$Z$4:$Z$503,PROGRAMA_DETALLE!$A$4:$A$503,A94),0)+AB94,0)</f>
        <v>0</v>
      </c>
      <c r="AF94" s="25">
        <f t="shared" si="7"/>
        <v>0</v>
      </c>
      <c r="AG94" s="26">
        <f t="shared" si="8"/>
        <v>0</v>
      </c>
    </row>
    <row r="95" ht="15.75" customHeight="1">
      <c r="A95" s="6"/>
      <c r="B95" s="7"/>
      <c r="C95" s="6"/>
      <c r="D95" s="8"/>
      <c r="E95" s="9"/>
      <c r="F95" s="10"/>
      <c r="G95" s="8"/>
      <c r="H95" s="8"/>
      <c r="I95" s="8"/>
      <c r="J95" s="6"/>
      <c r="K95" s="11">
        <f>IFERROR(SUMIFS(PROGRAMA_DETALLE!$E$4:$E$503,PROGRAMA_DETALLE!$A$4:$A$503,A95),0)</f>
        <v>0</v>
      </c>
      <c r="L95" s="12">
        <f>IFERROR(SUMIFS(PROGRAMA_DETALLE!$F$4:$F$503,PROGRAMA_DETALLE!$A$4:$A$503,A95),0)</f>
        <v>0</v>
      </c>
      <c r="M95" s="13" t="str">
        <f>IF(A95="","",IFERROR(SUMIFS(COMPRAS_HILO!$D$4:$D$203,COMPRAS_HILO!$B$4:$B$203,A95),0))</f>
        <v/>
      </c>
      <c r="N95" s="14" t="str">
        <f>IF(A95="","",IFERROR(SUMIFS(COMPRAS_HILO!$H$4:$H$203,COMPRAS_HILO!$B$4:$B$203,A95),0))</f>
        <v/>
      </c>
      <c r="O95" s="15" t="str">
        <f>IFERROR(IF(SUMPRODUCT((COMPRAS_HILO!$B$4:$B$203=A95)*1)=0,"",LOOKUP(2,1/((COMPRAS_HILO!$B$4:$B$203=A95)*(COMPRAS_HILO!$J$4:$J$203&lt;&gt;"")),COMPRAS_HILO!$J$4:$J$203)),"")</f>
        <v/>
      </c>
      <c r="P95" s="16"/>
      <c r="Q95" s="17" t="str">
        <f>IF(A95="","",IFERROR(SUMIFS(PROGRAMA_DETALLE!$H$4:$H$503,PROGRAMA_DETALLE!$A$4:$A$503,A95),0))</f>
        <v/>
      </c>
      <c r="R95" s="17" t="str">
        <f>IF(A95="","",IFERROR(SUMIFS(PROGRAMA_DETALLE!$I$4:$I$503,PROGRAMA_DETALLE!$A$4:$A$503,A95),0))</f>
        <v/>
      </c>
      <c r="S95" s="10"/>
      <c r="T95" s="17">
        <f t="shared" si="1"/>
        <v>0</v>
      </c>
      <c r="U95" s="18">
        <f t="shared" si="2"/>
        <v>0</v>
      </c>
      <c r="V95" s="19" t="str">
        <f>IF(A95="","",IFERROR(SUMIFS(PROGRAMA_DETALLE!$R$4:$R$503,PROGRAMA_DETALLE!$A$4:$A$503,A95),0))</f>
        <v/>
      </c>
      <c r="W95" s="19" t="str">
        <f>IF(A95="","",IFERROR(SUMIFS(PROGRAMA_DETALLE!$S$4:$S$503,PROGRAMA_DETALLE!$A$4:$A$503,A95),0))</f>
        <v/>
      </c>
      <c r="X95" s="19">
        <f t="shared" si="3"/>
        <v>0</v>
      </c>
      <c r="Y95" s="20">
        <f t="shared" si="4"/>
        <v>0</v>
      </c>
      <c r="Z95" s="21">
        <f t="shared" si="5"/>
        <v>0</v>
      </c>
      <c r="AA95" s="22">
        <f t="shared" si="6"/>
        <v>0</v>
      </c>
      <c r="AB95" s="23">
        <f>IFERROR(W95*DASHBOARD!$C$2,0)</f>
        <v>0</v>
      </c>
      <c r="AC95" s="24"/>
      <c r="AD95" s="7"/>
      <c r="AE95" s="25">
        <f>IFERROR(N95+IFERROR(SUMIFS(PROGRAMA_DETALLE!$M$4:$M$503,PROGRAMA_DETALLE!$A$4:$A$503,A95),0)+IFERROR(SUMIFS(PROGRAMA_DETALLE!$Z$4:$Z$503,PROGRAMA_DETALLE!$A$4:$A$503,A95),0)+AB95,0)</f>
        <v>0</v>
      </c>
      <c r="AF95" s="25">
        <f t="shared" si="7"/>
        <v>0</v>
      </c>
      <c r="AG95" s="26">
        <f t="shared" si="8"/>
        <v>0</v>
      </c>
    </row>
    <row r="96" ht="15.75" customHeight="1">
      <c r="A96" s="6"/>
      <c r="B96" s="7"/>
      <c r="C96" s="6"/>
      <c r="D96" s="8"/>
      <c r="E96" s="9"/>
      <c r="F96" s="10"/>
      <c r="G96" s="8"/>
      <c r="H96" s="8"/>
      <c r="I96" s="8"/>
      <c r="J96" s="6"/>
      <c r="K96" s="11">
        <f>IFERROR(SUMIFS(PROGRAMA_DETALLE!$E$4:$E$503,PROGRAMA_DETALLE!$A$4:$A$503,A96),0)</f>
        <v>0</v>
      </c>
      <c r="L96" s="12">
        <f>IFERROR(SUMIFS(PROGRAMA_DETALLE!$F$4:$F$503,PROGRAMA_DETALLE!$A$4:$A$503,A96),0)</f>
        <v>0</v>
      </c>
      <c r="M96" s="13" t="str">
        <f>IF(A96="","",IFERROR(SUMIFS(COMPRAS_HILO!$D$4:$D$203,COMPRAS_HILO!$B$4:$B$203,A96),0))</f>
        <v/>
      </c>
      <c r="N96" s="14" t="str">
        <f>IF(A96="","",IFERROR(SUMIFS(COMPRAS_HILO!$H$4:$H$203,COMPRAS_HILO!$B$4:$B$203,A96),0))</f>
        <v/>
      </c>
      <c r="O96" s="15" t="str">
        <f>IFERROR(IF(SUMPRODUCT((COMPRAS_HILO!$B$4:$B$203=A96)*1)=0,"",LOOKUP(2,1/((COMPRAS_HILO!$B$4:$B$203=A96)*(COMPRAS_HILO!$J$4:$J$203&lt;&gt;"")),COMPRAS_HILO!$J$4:$J$203)),"")</f>
        <v/>
      </c>
      <c r="P96" s="16"/>
      <c r="Q96" s="17" t="str">
        <f>IF(A96="","",IFERROR(SUMIFS(PROGRAMA_DETALLE!$H$4:$H$503,PROGRAMA_DETALLE!$A$4:$A$503,A96),0))</f>
        <v/>
      </c>
      <c r="R96" s="17" t="str">
        <f>IF(A96="","",IFERROR(SUMIFS(PROGRAMA_DETALLE!$I$4:$I$503,PROGRAMA_DETALLE!$A$4:$A$503,A96),0))</f>
        <v/>
      </c>
      <c r="S96" s="10"/>
      <c r="T96" s="17">
        <f t="shared" si="1"/>
        <v>0</v>
      </c>
      <c r="U96" s="18">
        <f t="shared" si="2"/>
        <v>0</v>
      </c>
      <c r="V96" s="19" t="str">
        <f>IF(A96="","",IFERROR(SUMIFS(PROGRAMA_DETALLE!$R$4:$R$503,PROGRAMA_DETALLE!$A$4:$A$503,A96),0))</f>
        <v/>
      </c>
      <c r="W96" s="19" t="str">
        <f>IF(A96="","",IFERROR(SUMIFS(PROGRAMA_DETALLE!$S$4:$S$503,PROGRAMA_DETALLE!$A$4:$A$503,A96),0))</f>
        <v/>
      </c>
      <c r="X96" s="19">
        <f t="shared" si="3"/>
        <v>0</v>
      </c>
      <c r="Y96" s="20">
        <f t="shared" si="4"/>
        <v>0</v>
      </c>
      <c r="Z96" s="21">
        <f t="shared" si="5"/>
        <v>0</v>
      </c>
      <c r="AA96" s="22">
        <f t="shared" si="6"/>
        <v>0</v>
      </c>
      <c r="AB96" s="23">
        <f>IFERROR(W96*DASHBOARD!$C$2,0)</f>
        <v>0</v>
      </c>
      <c r="AC96" s="24"/>
      <c r="AD96" s="7"/>
      <c r="AE96" s="25">
        <f>IFERROR(N96+IFERROR(SUMIFS(PROGRAMA_DETALLE!$M$4:$M$503,PROGRAMA_DETALLE!$A$4:$A$503,A96),0)+IFERROR(SUMIFS(PROGRAMA_DETALLE!$Z$4:$Z$503,PROGRAMA_DETALLE!$A$4:$A$503,A96),0)+AB96,0)</f>
        <v>0</v>
      </c>
      <c r="AF96" s="25">
        <f t="shared" si="7"/>
        <v>0</v>
      </c>
      <c r="AG96" s="26">
        <f t="shared" si="8"/>
        <v>0</v>
      </c>
    </row>
    <row r="97" ht="15.75" customHeight="1">
      <c r="A97" s="6"/>
      <c r="B97" s="7"/>
      <c r="C97" s="6"/>
      <c r="D97" s="8"/>
      <c r="E97" s="9"/>
      <c r="F97" s="10"/>
      <c r="G97" s="8"/>
      <c r="H97" s="8"/>
      <c r="I97" s="8"/>
      <c r="J97" s="6"/>
      <c r="K97" s="11">
        <f>IFERROR(SUMIFS(PROGRAMA_DETALLE!$E$4:$E$503,PROGRAMA_DETALLE!$A$4:$A$503,A97),0)</f>
        <v>0</v>
      </c>
      <c r="L97" s="12">
        <f>IFERROR(SUMIFS(PROGRAMA_DETALLE!$F$4:$F$503,PROGRAMA_DETALLE!$A$4:$A$503,A97),0)</f>
        <v>0</v>
      </c>
      <c r="M97" s="13" t="str">
        <f>IF(A97="","",IFERROR(SUMIFS(COMPRAS_HILO!$D$4:$D$203,COMPRAS_HILO!$B$4:$B$203,A97),0))</f>
        <v/>
      </c>
      <c r="N97" s="14" t="str">
        <f>IF(A97="","",IFERROR(SUMIFS(COMPRAS_HILO!$H$4:$H$203,COMPRAS_HILO!$B$4:$B$203,A97),0))</f>
        <v/>
      </c>
      <c r="O97" s="15" t="str">
        <f>IFERROR(IF(SUMPRODUCT((COMPRAS_HILO!$B$4:$B$203=A97)*1)=0,"",LOOKUP(2,1/((COMPRAS_HILO!$B$4:$B$203=A97)*(COMPRAS_HILO!$J$4:$J$203&lt;&gt;"")),COMPRAS_HILO!$J$4:$J$203)),"")</f>
        <v/>
      </c>
      <c r="P97" s="16"/>
      <c r="Q97" s="17" t="str">
        <f>IF(A97="","",IFERROR(SUMIFS(PROGRAMA_DETALLE!$H$4:$H$503,PROGRAMA_DETALLE!$A$4:$A$503,A97),0))</f>
        <v/>
      </c>
      <c r="R97" s="17" t="str">
        <f>IF(A97="","",IFERROR(SUMIFS(PROGRAMA_DETALLE!$I$4:$I$503,PROGRAMA_DETALLE!$A$4:$A$503,A97),0))</f>
        <v/>
      </c>
      <c r="S97" s="10"/>
      <c r="T97" s="17">
        <f t="shared" si="1"/>
        <v>0</v>
      </c>
      <c r="U97" s="18">
        <f t="shared" si="2"/>
        <v>0</v>
      </c>
      <c r="V97" s="19" t="str">
        <f>IF(A97="","",IFERROR(SUMIFS(PROGRAMA_DETALLE!$R$4:$R$503,PROGRAMA_DETALLE!$A$4:$A$503,A97),0))</f>
        <v/>
      </c>
      <c r="W97" s="19" t="str">
        <f>IF(A97="","",IFERROR(SUMIFS(PROGRAMA_DETALLE!$S$4:$S$503,PROGRAMA_DETALLE!$A$4:$A$503,A97),0))</f>
        <v/>
      </c>
      <c r="X97" s="19">
        <f t="shared" si="3"/>
        <v>0</v>
      </c>
      <c r="Y97" s="20">
        <f t="shared" si="4"/>
        <v>0</v>
      </c>
      <c r="Z97" s="21">
        <f t="shared" si="5"/>
        <v>0</v>
      </c>
      <c r="AA97" s="22">
        <f t="shared" si="6"/>
        <v>0</v>
      </c>
      <c r="AB97" s="23">
        <f>IFERROR(W97*DASHBOARD!$C$2,0)</f>
        <v>0</v>
      </c>
      <c r="AC97" s="24"/>
      <c r="AD97" s="7"/>
      <c r="AE97" s="25">
        <f>IFERROR(N97+IFERROR(SUMIFS(PROGRAMA_DETALLE!$M$4:$M$503,PROGRAMA_DETALLE!$A$4:$A$503,A97),0)+IFERROR(SUMIFS(PROGRAMA_DETALLE!$Z$4:$Z$503,PROGRAMA_DETALLE!$A$4:$A$503,A97),0)+AB97,0)</f>
        <v>0</v>
      </c>
      <c r="AF97" s="25">
        <f t="shared" si="7"/>
        <v>0</v>
      </c>
      <c r="AG97" s="26">
        <f t="shared" si="8"/>
        <v>0</v>
      </c>
    </row>
    <row r="98" ht="15.75" customHeight="1">
      <c r="A98" s="6"/>
      <c r="B98" s="7"/>
      <c r="C98" s="6"/>
      <c r="D98" s="8"/>
      <c r="E98" s="9"/>
      <c r="F98" s="10"/>
      <c r="G98" s="8"/>
      <c r="H98" s="8"/>
      <c r="I98" s="8"/>
      <c r="J98" s="6"/>
      <c r="K98" s="11">
        <f>IFERROR(SUMIFS(PROGRAMA_DETALLE!$E$4:$E$503,PROGRAMA_DETALLE!$A$4:$A$503,A98),0)</f>
        <v>0</v>
      </c>
      <c r="L98" s="12">
        <f>IFERROR(SUMIFS(PROGRAMA_DETALLE!$F$4:$F$503,PROGRAMA_DETALLE!$A$4:$A$503,A98),0)</f>
        <v>0</v>
      </c>
      <c r="M98" s="13" t="str">
        <f>IF(A98="","",IFERROR(SUMIFS(COMPRAS_HILO!$D$4:$D$203,COMPRAS_HILO!$B$4:$B$203,A98),0))</f>
        <v/>
      </c>
      <c r="N98" s="14" t="str">
        <f>IF(A98="","",IFERROR(SUMIFS(COMPRAS_HILO!$H$4:$H$203,COMPRAS_HILO!$B$4:$B$203,A98),0))</f>
        <v/>
      </c>
      <c r="O98" s="15" t="str">
        <f>IFERROR(IF(SUMPRODUCT((COMPRAS_HILO!$B$4:$B$203=A98)*1)=0,"",LOOKUP(2,1/((COMPRAS_HILO!$B$4:$B$203=A98)*(COMPRAS_HILO!$J$4:$J$203&lt;&gt;"")),COMPRAS_HILO!$J$4:$J$203)),"")</f>
        <v/>
      </c>
      <c r="P98" s="16"/>
      <c r="Q98" s="17" t="str">
        <f>IF(A98="","",IFERROR(SUMIFS(PROGRAMA_DETALLE!$H$4:$H$503,PROGRAMA_DETALLE!$A$4:$A$503,A98),0))</f>
        <v/>
      </c>
      <c r="R98" s="17" t="str">
        <f>IF(A98="","",IFERROR(SUMIFS(PROGRAMA_DETALLE!$I$4:$I$503,PROGRAMA_DETALLE!$A$4:$A$503,A98),0))</f>
        <v/>
      </c>
      <c r="S98" s="10"/>
      <c r="T98" s="17">
        <f t="shared" si="1"/>
        <v>0</v>
      </c>
      <c r="U98" s="18">
        <f t="shared" si="2"/>
        <v>0</v>
      </c>
      <c r="V98" s="19" t="str">
        <f>IF(A98="","",IFERROR(SUMIFS(PROGRAMA_DETALLE!$R$4:$R$503,PROGRAMA_DETALLE!$A$4:$A$503,A98),0))</f>
        <v/>
      </c>
      <c r="W98" s="19" t="str">
        <f>IF(A98="","",IFERROR(SUMIFS(PROGRAMA_DETALLE!$S$4:$S$503,PROGRAMA_DETALLE!$A$4:$A$503,A98),0))</f>
        <v/>
      </c>
      <c r="X98" s="19">
        <f t="shared" si="3"/>
        <v>0</v>
      </c>
      <c r="Y98" s="20">
        <f t="shared" si="4"/>
        <v>0</v>
      </c>
      <c r="Z98" s="21">
        <f t="shared" si="5"/>
        <v>0</v>
      </c>
      <c r="AA98" s="22">
        <f t="shared" si="6"/>
        <v>0</v>
      </c>
      <c r="AB98" s="23">
        <f>IFERROR(W98*DASHBOARD!$C$2,0)</f>
        <v>0</v>
      </c>
      <c r="AC98" s="24"/>
      <c r="AD98" s="7"/>
      <c r="AE98" s="25">
        <f>IFERROR(N98+IFERROR(SUMIFS(PROGRAMA_DETALLE!$M$4:$M$503,PROGRAMA_DETALLE!$A$4:$A$503,A98),0)+IFERROR(SUMIFS(PROGRAMA_DETALLE!$Z$4:$Z$503,PROGRAMA_DETALLE!$A$4:$A$503,A98),0)+AB98,0)</f>
        <v>0</v>
      </c>
      <c r="AF98" s="25">
        <f t="shared" si="7"/>
        <v>0</v>
      </c>
      <c r="AG98" s="26">
        <f t="shared" si="8"/>
        <v>0</v>
      </c>
    </row>
    <row r="99" ht="15.75" customHeight="1">
      <c r="A99" s="6"/>
      <c r="B99" s="7"/>
      <c r="C99" s="6"/>
      <c r="D99" s="8"/>
      <c r="E99" s="9"/>
      <c r="F99" s="10"/>
      <c r="G99" s="8"/>
      <c r="H99" s="8"/>
      <c r="I99" s="8"/>
      <c r="J99" s="6"/>
      <c r="K99" s="11">
        <f>IFERROR(SUMIFS(PROGRAMA_DETALLE!$E$4:$E$503,PROGRAMA_DETALLE!$A$4:$A$503,A99),0)</f>
        <v>0</v>
      </c>
      <c r="L99" s="12">
        <f>IFERROR(SUMIFS(PROGRAMA_DETALLE!$F$4:$F$503,PROGRAMA_DETALLE!$A$4:$A$503,A99),0)</f>
        <v>0</v>
      </c>
      <c r="M99" s="13" t="str">
        <f>IF(A99="","",IFERROR(SUMIFS(COMPRAS_HILO!$D$4:$D$203,COMPRAS_HILO!$B$4:$B$203,A99),0))</f>
        <v/>
      </c>
      <c r="N99" s="14" t="str">
        <f>IF(A99="","",IFERROR(SUMIFS(COMPRAS_HILO!$H$4:$H$203,COMPRAS_HILO!$B$4:$B$203,A99),0))</f>
        <v/>
      </c>
      <c r="O99" s="15" t="str">
        <f>IFERROR(IF(SUMPRODUCT((COMPRAS_HILO!$B$4:$B$203=A99)*1)=0,"",LOOKUP(2,1/((COMPRAS_HILO!$B$4:$B$203=A99)*(COMPRAS_HILO!$J$4:$J$203&lt;&gt;"")),COMPRAS_HILO!$J$4:$J$203)),"")</f>
        <v/>
      </c>
      <c r="P99" s="16"/>
      <c r="Q99" s="17" t="str">
        <f>IF(A99="","",IFERROR(SUMIFS(PROGRAMA_DETALLE!$H$4:$H$503,PROGRAMA_DETALLE!$A$4:$A$503,A99),0))</f>
        <v/>
      </c>
      <c r="R99" s="17" t="str">
        <f>IF(A99="","",IFERROR(SUMIFS(PROGRAMA_DETALLE!$I$4:$I$503,PROGRAMA_DETALLE!$A$4:$A$503,A99),0))</f>
        <v/>
      </c>
      <c r="S99" s="10"/>
      <c r="T99" s="17">
        <f t="shared" si="1"/>
        <v>0</v>
      </c>
      <c r="U99" s="18">
        <f t="shared" si="2"/>
        <v>0</v>
      </c>
      <c r="V99" s="19" t="str">
        <f>IF(A99="","",IFERROR(SUMIFS(PROGRAMA_DETALLE!$R$4:$R$503,PROGRAMA_DETALLE!$A$4:$A$503,A99),0))</f>
        <v/>
      </c>
      <c r="W99" s="19" t="str">
        <f>IF(A99="","",IFERROR(SUMIFS(PROGRAMA_DETALLE!$S$4:$S$503,PROGRAMA_DETALLE!$A$4:$A$503,A99),0))</f>
        <v/>
      </c>
      <c r="X99" s="19">
        <f t="shared" si="3"/>
        <v>0</v>
      </c>
      <c r="Y99" s="20">
        <f t="shared" si="4"/>
        <v>0</v>
      </c>
      <c r="Z99" s="21">
        <f t="shared" si="5"/>
        <v>0</v>
      </c>
      <c r="AA99" s="22">
        <f t="shared" si="6"/>
        <v>0</v>
      </c>
      <c r="AB99" s="23">
        <f>IFERROR(W99*DASHBOARD!$C$2,0)</f>
        <v>0</v>
      </c>
      <c r="AC99" s="24"/>
      <c r="AD99" s="7"/>
      <c r="AE99" s="25">
        <f>IFERROR(N99+IFERROR(SUMIFS(PROGRAMA_DETALLE!$M$4:$M$503,PROGRAMA_DETALLE!$A$4:$A$503,A99),0)+IFERROR(SUMIFS(PROGRAMA_DETALLE!$Z$4:$Z$503,PROGRAMA_DETALLE!$A$4:$A$503,A99),0)+AB99,0)</f>
        <v>0</v>
      </c>
      <c r="AF99" s="25">
        <f t="shared" si="7"/>
        <v>0</v>
      </c>
      <c r="AG99" s="26">
        <f t="shared" si="8"/>
        <v>0</v>
      </c>
    </row>
    <row r="100" ht="15.75" customHeight="1">
      <c r="A100" s="6"/>
      <c r="B100" s="7"/>
      <c r="C100" s="6"/>
      <c r="D100" s="8"/>
      <c r="E100" s="9"/>
      <c r="F100" s="10"/>
      <c r="G100" s="8"/>
      <c r="H100" s="8"/>
      <c r="I100" s="8"/>
      <c r="J100" s="6"/>
      <c r="K100" s="11">
        <f>IFERROR(SUMIFS(PROGRAMA_DETALLE!$E$4:$E$503,PROGRAMA_DETALLE!$A$4:$A$503,A100),0)</f>
        <v>0</v>
      </c>
      <c r="L100" s="12">
        <f>IFERROR(SUMIFS(PROGRAMA_DETALLE!$F$4:$F$503,PROGRAMA_DETALLE!$A$4:$A$503,A100),0)</f>
        <v>0</v>
      </c>
      <c r="M100" s="13" t="str">
        <f>IF(A100="","",IFERROR(SUMIFS(COMPRAS_HILO!$D$4:$D$203,COMPRAS_HILO!$B$4:$B$203,A100),0))</f>
        <v/>
      </c>
      <c r="N100" s="14" t="str">
        <f>IF(A100="","",IFERROR(SUMIFS(COMPRAS_HILO!$H$4:$H$203,COMPRAS_HILO!$B$4:$B$203,A100),0))</f>
        <v/>
      </c>
      <c r="O100" s="15" t="str">
        <f>IFERROR(IF(SUMPRODUCT((COMPRAS_HILO!$B$4:$B$203=A100)*1)=0,"",LOOKUP(2,1/((COMPRAS_HILO!$B$4:$B$203=A100)*(COMPRAS_HILO!$J$4:$J$203&lt;&gt;"")),COMPRAS_HILO!$J$4:$J$203)),"")</f>
        <v/>
      </c>
      <c r="P100" s="16"/>
      <c r="Q100" s="17" t="str">
        <f>IF(A100="","",IFERROR(SUMIFS(PROGRAMA_DETALLE!$H$4:$H$503,PROGRAMA_DETALLE!$A$4:$A$503,A100),0))</f>
        <v/>
      </c>
      <c r="R100" s="17" t="str">
        <f>IF(A100="","",IFERROR(SUMIFS(PROGRAMA_DETALLE!$I$4:$I$503,PROGRAMA_DETALLE!$A$4:$A$503,A100),0))</f>
        <v/>
      </c>
      <c r="S100" s="10"/>
      <c r="T100" s="17">
        <f t="shared" si="1"/>
        <v>0</v>
      </c>
      <c r="U100" s="18">
        <f t="shared" si="2"/>
        <v>0</v>
      </c>
      <c r="V100" s="19" t="str">
        <f>IF(A100="","",IFERROR(SUMIFS(PROGRAMA_DETALLE!$R$4:$R$503,PROGRAMA_DETALLE!$A$4:$A$503,A100),0))</f>
        <v/>
      </c>
      <c r="W100" s="19" t="str">
        <f>IF(A100="","",IFERROR(SUMIFS(PROGRAMA_DETALLE!$S$4:$S$503,PROGRAMA_DETALLE!$A$4:$A$503,A100),0))</f>
        <v/>
      </c>
      <c r="X100" s="19">
        <f t="shared" si="3"/>
        <v>0</v>
      </c>
      <c r="Y100" s="20">
        <f t="shared" si="4"/>
        <v>0</v>
      </c>
      <c r="Z100" s="21">
        <f t="shared" si="5"/>
        <v>0</v>
      </c>
      <c r="AA100" s="22">
        <f t="shared" si="6"/>
        <v>0</v>
      </c>
      <c r="AB100" s="23">
        <f>IFERROR(W100*DASHBOARD!$C$2,0)</f>
        <v>0</v>
      </c>
      <c r="AC100" s="24"/>
      <c r="AD100" s="7"/>
      <c r="AE100" s="25">
        <f>IFERROR(N100+IFERROR(SUMIFS(PROGRAMA_DETALLE!$M$4:$M$503,PROGRAMA_DETALLE!$A$4:$A$503,A100),0)+IFERROR(SUMIFS(PROGRAMA_DETALLE!$Z$4:$Z$503,PROGRAMA_DETALLE!$A$4:$A$503,A100),0)+AB100,0)</f>
        <v>0</v>
      </c>
      <c r="AF100" s="25">
        <f t="shared" si="7"/>
        <v>0</v>
      </c>
      <c r="AG100" s="26">
        <f t="shared" si="8"/>
        <v>0</v>
      </c>
    </row>
    <row r="101" ht="15.75" customHeight="1">
      <c r="A101" s="6"/>
      <c r="B101" s="7"/>
      <c r="C101" s="6"/>
      <c r="D101" s="8"/>
      <c r="E101" s="9"/>
      <c r="F101" s="10"/>
      <c r="G101" s="8"/>
      <c r="H101" s="8"/>
      <c r="I101" s="8"/>
      <c r="J101" s="6"/>
      <c r="K101" s="11">
        <f>IFERROR(SUMIFS(PROGRAMA_DETALLE!$E$4:$E$503,PROGRAMA_DETALLE!$A$4:$A$503,A101),0)</f>
        <v>0</v>
      </c>
      <c r="L101" s="12">
        <f>IFERROR(SUMIFS(PROGRAMA_DETALLE!$F$4:$F$503,PROGRAMA_DETALLE!$A$4:$A$503,A101),0)</f>
        <v>0</v>
      </c>
      <c r="M101" s="13" t="str">
        <f>IF(A101="","",IFERROR(SUMIFS(COMPRAS_HILO!$D$4:$D$203,COMPRAS_HILO!$B$4:$B$203,A101),0))</f>
        <v/>
      </c>
      <c r="N101" s="14" t="str">
        <f>IF(A101="","",IFERROR(SUMIFS(COMPRAS_HILO!$H$4:$H$203,COMPRAS_HILO!$B$4:$B$203,A101),0))</f>
        <v/>
      </c>
      <c r="O101" s="15" t="str">
        <f>IFERROR(IF(SUMPRODUCT((COMPRAS_HILO!$B$4:$B$203=A101)*1)=0,"",LOOKUP(2,1/((COMPRAS_HILO!$B$4:$B$203=A101)*(COMPRAS_HILO!$J$4:$J$203&lt;&gt;"")),COMPRAS_HILO!$J$4:$J$203)),"")</f>
        <v/>
      </c>
      <c r="P101" s="16"/>
      <c r="Q101" s="17" t="str">
        <f>IF(A101="","",IFERROR(SUMIFS(PROGRAMA_DETALLE!$H$4:$H$503,PROGRAMA_DETALLE!$A$4:$A$503,A101),0))</f>
        <v/>
      </c>
      <c r="R101" s="17" t="str">
        <f>IF(A101="","",IFERROR(SUMIFS(PROGRAMA_DETALLE!$I$4:$I$503,PROGRAMA_DETALLE!$A$4:$A$503,A101),0))</f>
        <v/>
      </c>
      <c r="S101" s="10"/>
      <c r="T101" s="17">
        <f t="shared" si="1"/>
        <v>0</v>
      </c>
      <c r="U101" s="18">
        <f t="shared" si="2"/>
        <v>0</v>
      </c>
      <c r="V101" s="19" t="str">
        <f>IF(A101="","",IFERROR(SUMIFS(PROGRAMA_DETALLE!$R$4:$R$503,PROGRAMA_DETALLE!$A$4:$A$503,A101),0))</f>
        <v/>
      </c>
      <c r="W101" s="19" t="str">
        <f>IF(A101="","",IFERROR(SUMIFS(PROGRAMA_DETALLE!$S$4:$S$503,PROGRAMA_DETALLE!$A$4:$A$503,A101),0))</f>
        <v/>
      </c>
      <c r="X101" s="19">
        <f t="shared" si="3"/>
        <v>0</v>
      </c>
      <c r="Y101" s="20">
        <f t="shared" si="4"/>
        <v>0</v>
      </c>
      <c r="Z101" s="21">
        <f t="shared" si="5"/>
        <v>0</v>
      </c>
      <c r="AA101" s="22">
        <f t="shared" si="6"/>
        <v>0</v>
      </c>
      <c r="AB101" s="23">
        <f>IFERROR(W101*DASHBOARD!$C$2,0)</f>
        <v>0</v>
      </c>
      <c r="AC101" s="24"/>
      <c r="AD101" s="7"/>
      <c r="AE101" s="25">
        <f>IFERROR(N101+IFERROR(SUMIFS(PROGRAMA_DETALLE!$M$4:$M$503,PROGRAMA_DETALLE!$A$4:$A$503,A101),0)+IFERROR(SUMIFS(PROGRAMA_DETALLE!$Z$4:$Z$503,PROGRAMA_DETALLE!$A$4:$A$503,A101),0)+AB101,0)</f>
        <v>0</v>
      </c>
      <c r="AF101" s="25">
        <f t="shared" si="7"/>
        <v>0</v>
      </c>
      <c r="AG101" s="26">
        <f t="shared" si="8"/>
        <v>0</v>
      </c>
    </row>
    <row r="102" ht="15.75" customHeight="1">
      <c r="A102" s="6"/>
      <c r="B102" s="7"/>
      <c r="C102" s="6"/>
      <c r="D102" s="8"/>
      <c r="E102" s="9"/>
      <c r="F102" s="10"/>
      <c r="G102" s="8"/>
      <c r="H102" s="8"/>
      <c r="I102" s="8"/>
      <c r="J102" s="6"/>
      <c r="K102" s="11">
        <f>IFERROR(SUMIFS(PROGRAMA_DETALLE!$E$4:$E$503,PROGRAMA_DETALLE!$A$4:$A$503,A102),0)</f>
        <v>0</v>
      </c>
      <c r="L102" s="12">
        <f>IFERROR(SUMIFS(PROGRAMA_DETALLE!$F$4:$F$503,PROGRAMA_DETALLE!$A$4:$A$503,A102),0)</f>
        <v>0</v>
      </c>
      <c r="M102" s="13" t="str">
        <f>IF(A102="","",IFERROR(SUMIFS(COMPRAS_HILO!$D$4:$D$203,COMPRAS_HILO!$B$4:$B$203,A102),0))</f>
        <v/>
      </c>
      <c r="N102" s="14" t="str">
        <f>IF(A102="","",IFERROR(SUMIFS(COMPRAS_HILO!$H$4:$H$203,COMPRAS_HILO!$B$4:$B$203,A102),0))</f>
        <v/>
      </c>
      <c r="O102" s="15" t="str">
        <f>IFERROR(IF(SUMPRODUCT((COMPRAS_HILO!$B$4:$B$203=A102)*1)=0,"",LOOKUP(2,1/((COMPRAS_HILO!$B$4:$B$203=A102)*(COMPRAS_HILO!$J$4:$J$203&lt;&gt;"")),COMPRAS_HILO!$J$4:$J$203)),"")</f>
        <v/>
      </c>
      <c r="P102" s="16"/>
      <c r="Q102" s="17" t="str">
        <f>IF(A102="","",IFERROR(SUMIFS(PROGRAMA_DETALLE!$H$4:$H$503,PROGRAMA_DETALLE!$A$4:$A$503,A102),0))</f>
        <v/>
      </c>
      <c r="R102" s="17" t="str">
        <f>IF(A102="","",IFERROR(SUMIFS(PROGRAMA_DETALLE!$I$4:$I$503,PROGRAMA_DETALLE!$A$4:$A$503,A102),0))</f>
        <v/>
      </c>
      <c r="S102" s="10"/>
      <c r="T102" s="17">
        <f t="shared" si="1"/>
        <v>0</v>
      </c>
      <c r="U102" s="18">
        <f t="shared" si="2"/>
        <v>0</v>
      </c>
      <c r="V102" s="19" t="str">
        <f>IF(A102="","",IFERROR(SUMIFS(PROGRAMA_DETALLE!$R$4:$R$503,PROGRAMA_DETALLE!$A$4:$A$503,A102),0))</f>
        <v/>
      </c>
      <c r="W102" s="19" t="str">
        <f>IF(A102="","",IFERROR(SUMIFS(PROGRAMA_DETALLE!$S$4:$S$503,PROGRAMA_DETALLE!$A$4:$A$503,A102),0))</f>
        <v/>
      </c>
      <c r="X102" s="19">
        <f t="shared" si="3"/>
        <v>0</v>
      </c>
      <c r="Y102" s="20">
        <f t="shared" si="4"/>
        <v>0</v>
      </c>
      <c r="Z102" s="21">
        <f t="shared" si="5"/>
        <v>0</v>
      </c>
      <c r="AA102" s="22">
        <f t="shared" si="6"/>
        <v>0</v>
      </c>
      <c r="AB102" s="23">
        <f>IFERROR(W102*DASHBOARD!$C$2,0)</f>
        <v>0</v>
      </c>
      <c r="AC102" s="24"/>
      <c r="AD102" s="7"/>
      <c r="AE102" s="25">
        <f>IFERROR(N102+IFERROR(SUMIFS(PROGRAMA_DETALLE!$M$4:$M$503,PROGRAMA_DETALLE!$A$4:$A$503,A102),0)+IFERROR(SUMIFS(PROGRAMA_DETALLE!$Z$4:$Z$503,PROGRAMA_DETALLE!$A$4:$A$503,A102),0)+AB102,0)</f>
        <v>0</v>
      </c>
      <c r="AF102" s="25">
        <f t="shared" si="7"/>
        <v>0</v>
      </c>
      <c r="AG102" s="26">
        <f t="shared" si="8"/>
        <v>0</v>
      </c>
    </row>
    <row r="103" ht="15.75" customHeight="1">
      <c r="A103" s="6"/>
      <c r="B103" s="7"/>
      <c r="C103" s="6"/>
      <c r="D103" s="8"/>
      <c r="E103" s="9"/>
      <c r="F103" s="10"/>
      <c r="G103" s="8"/>
      <c r="H103" s="8"/>
      <c r="I103" s="8"/>
      <c r="J103" s="6"/>
      <c r="K103" s="11">
        <f>IFERROR(SUMIFS(PROGRAMA_DETALLE!$E$4:$E$503,PROGRAMA_DETALLE!$A$4:$A$503,A103),0)</f>
        <v>0</v>
      </c>
      <c r="L103" s="12">
        <f>IFERROR(SUMIFS(PROGRAMA_DETALLE!$F$4:$F$503,PROGRAMA_DETALLE!$A$4:$A$503,A103),0)</f>
        <v>0</v>
      </c>
      <c r="M103" s="13" t="str">
        <f>IF(A103="","",IFERROR(SUMIFS(COMPRAS_HILO!$D$4:$D$203,COMPRAS_HILO!$B$4:$B$203,A103),0))</f>
        <v/>
      </c>
      <c r="N103" s="14" t="str">
        <f>IF(A103="","",IFERROR(SUMIFS(COMPRAS_HILO!$H$4:$H$203,COMPRAS_HILO!$B$4:$B$203,A103),0))</f>
        <v/>
      </c>
      <c r="O103" s="15" t="str">
        <f>IFERROR(IF(SUMPRODUCT((COMPRAS_HILO!$B$4:$B$203=A103)*1)=0,"",LOOKUP(2,1/((COMPRAS_HILO!$B$4:$B$203=A103)*(COMPRAS_HILO!$J$4:$J$203&lt;&gt;"")),COMPRAS_HILO!$J$4:$J$203)),"")</f>
        <v/>
      </c>
      <c r="P103" s="16"/>
      <c r="Q103" s="17" t="str">
        <f>IF(A103="","",IFERROR(SUMIFS(PROGRAMA_DETALLE!$H$4:$H$503,PROGRAMA_DETALLE!$A$4:$A$503,A103),0))</f>
        <v/>
      </c>
      <c r="R103" s="17" t="str">
        <f>IF(A103="","",IFERROR(SUMIFS(PROGRAMA_DETALLE!$I$4:$I$503,PROGRAMA_DETALLE!$A$4:$A$503,A103),0))</f>
        <v/>
      </c>
      <c r="S103" s="10"/>
      <c r="T103" s="17">
        <f t="shared" si="1"/>
        <v>0</v>
      </c>
      <c r="U103" s="18">
        <f t="shared" si="2"/>
        <v>0</v>
      </c>
      <c r="V103" s="19" t="str">
        <f>IF(A103="","",IFERROR(SUMIFS(PROGRAMA_DETALLE!$R$4:$R$503,PROGRAMA_DETALLE!$A$4:$A$503,A103),0))</f>
        <v/>
      </c>
      <c r="W103" s="19" t="str">
        <f>IF(A103="","",IFERROR(SUMIFS(PROGRAMA_DETALLE!$S$4:$S$503,PROGRAMA_DETALLE!$A$4:$A$503,A103),0))</f>
        <v/>
      </c>
      <c r="X103" s="19">
        <f t="shared" si="3"/>
        <v>0</v>
      </c>
      <c r="Y103" s="20">
        <f t="shared" si="4"/>
        <v>0</v>
      </c>
      <c r="Z103" s="21">
        <f t="shared" si="5"/>
        <v>0</v>
      </c>
      <c r="AA103" s="22">
        <f t="shared" si="6"/>
        <v>0</v>
      </c>
      <c r="AB103" s="23">
        <f>IFERROR(W103*DASHBOARD!$C$2,0)</f>
        <v>0</v>
      </c>
      <c r="AC103" s="24"/>
      <c r="AD103" s="7"/>
      <c r="AE103" s="25">
        <f>IFERROR(N103+IFERROR(SUMIFS(PROGRAMA_DETALLE!$M$4:$M$503,PROGRAMA_DETALLE!$A$4:$A$503,A103),0)+IFERROR(SUMIFS(PROGRAMA_DETALLE!$Z$4:$Z$503,PROGRAMA_DETALLE!$A$4:$A$503,A103),0)+AB103,0)</f>
        <v>0</v>
      </c>
      <c r="AF103" s="25">
        <f t="shared" si="7"/>
        <v>0</v>
      </c>
      <c r="AG103" s="26">
        <f t="shared" si="8"/>
        <v>0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AG$103"/>
  <mergeCells count="2">
    <mergeCell ref="A1:AG1"/>
    <mergeCell ref="A2:AG2"/>
  </mergeCells>
  <conditionalFormatting sqref="I4:I103">
    <cfRule type="expression" dxfId="0" priority="1">
      <formula>I4="NUEVO"</formula>
    </cfRule>
  </conditionalFormatting>
  <conditionalFormatting sqref="I4:I103">
    <cfRule type="expression" dxfId="1" priority="2">
      <formula>I4="EN COMPRA"</formula>
    </cfRule>
  </conditionalFormatting>
  <conditionalFormatting sqref="I4:I103">
    <cfRule type="expression" dxfId="2" priority="3">
      <formula>I4="EN TEJEDURÍA"</formula>
    </cfRule>
  </conditionalFormatting>
  <conditionalFormatting sqref="I4:I103">
    <cfRule type="expression" dxfId="3" priority="4">
      <formula>I4="EN TINTORERÍA"</formula>
    </cfRule>
  </conditionalFormatting>
  <conditionalFormatting sqref="I4:I103">
    <cfRule type="expression" dxfId="4" priority="5">
      <formula>I4="EN PLANTA"</formula>
    </cfRule>
  </conditionalFormatting>
  <conditionalFormatting sqref="I4:I103">
    <cfRule type="expression" dxfId="5" priority="6">
      <formula>I4="CERRADO"</formula>
    </cfRule>
  </conditionalFormatting>
  <conditionalFormatting sqref="K4:K103">
    <cfRule type="expression" dxfId="6" priority="7">
      <formula>AND($E4&lt;&gt;"",$K4&lt;&gt;0,$K4&lt;&gt;$E4)</formula>
    </cfRule>
  </conditionalFormatting>
  <conditionalFormatting sqref="L4:L103">
    <cfRule type="expression" dxfId="6" priority="8">
      <formula>AND($F4&lt;&gt;"",$L4&lt;&gt;0,$L4&lt;&gt;$F4)</formula>
    </cfRule>
  </conditionalFormatting>
  <conditionalFormatting sqref="AC4:AC103">
    <cfRule type="expression" dxfId="4" priority="9">
      <formula>AC4="PAGADO"</formula>
    </cfRule>
  </conditionalFormatting>
  <conditionalFormatting sqref="AC4:AC103">
    <cfRule type="expression" dxfId="6" priority="10">
      <formula>AC4="PENDIENTE"</formula>
    </cfRule>
  </conditionalFormatting>
  <conditionalFormatting sqref="AC4:AC103">
    <cfRule type="expression" dxfId="1" priority="11">
      <formula>AC4="PARCIAL"</formula>
    </cfRule>
  </conditionalFormatting>
  <conditionalFormatting sqref="AC4:AC103">
    <cfRule type="expression" dxfId="5" priority="12">
      <formula>AC4="ANULADO"</formula>
    </cfRule>
  </conditionalFormatting>
  <conditionalFormatting sqref="AC4:AC103">
    <cfRule type="expression" dxfId="0" priority="13">
      <formula>AC4="NO APLICA"</formula>
    </cfRule>
  </conditionalFormatting>
  <dataValidations>
    <dataValidation type="list" allowBlank="1" sqref="G4:G103">
      <formula1>LISTA_TIPOS_TEJIDO</formula1>
    </dataValidation>
    <dataValidation type="list" allowBlank="1" sqref="AC4:AC103">
      <formula1>"PAGADO,PENDIENTE,PARCIAL,ANULADO,NO APLICA"</formula1>
    </dataValidation>
    <dataValidation type="list" allowBlank="1" sqref="D4:D103">
      <formula1>LISTA_HILOS</formula1>
    </dataValidation>
    <dataValidation type="list" allowBlank="1" sqref="H4:H103">
      <formula1>"OverShark,Bravos,Ambos"</formula1>
    </dataValidation>
    <dataValidation type="list" allowBlank="1" sqref="I4:I103">
      <formula1>"NUEVO,EN COMPRA,EN TEJEDURÍA,EN TINTORERÍA,EN PLANTA,CERRADO"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5911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0"/>
    <col customWidth="1" min="2" max="2" width="18.0"/>
    <col customWidth="1" min="3" max="3" width="22.71"/>
    <col customWidth="1" min="4" max="4" width="13.0"/>
    <col customWidth="1" min="5" max="5" width="15.71"/>
    <col customWidth="1" min="6" max="6" width="9.0"/>
    <col customWidth="1" min="7" max="7" width="8.0"/>
    <col customWidth="1" min="8" max="8" width="13.0"/>
    <col customWidth="1" min="9" max="9" width="22.0"/>
    <col customWidth="1" min="10" max="10" width="14.0"/>
    <col customWidth="1" min="11" max="11" width="16.0"/>
    <col customWidth="1" min="12" max="12" width="14.0"/>
    <col customWidth="1" min="13" max="14" width="12.0"/>
    <col customWidth="1" min="15" max="16" width="14.0"/>
    <col customWidth="1" min="17" max="17" width="22.0"/>
    <col customWidth="1" min="18" max="26" width="8.71"/>
  </cols>
  <sheetData>
    <row r="1" ht="27.75" customHeight="1">
      <c r="A1" s="1" t="s">
        <v>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>
      <c r="A2" s="4" t="s">
        <v>60</v>
      </c>
    </row>
    <row r="3" ht="25.5" customHeight="1">
      <c r="A3" s="5" t="s">
        <v>61</v>
      </c>
      <c r="B3" s="5" t="s">
        <v>62</v>
      </c>
      <c r="C3" s="5" t="s">
        <v>5</v>
      </c>
      <c r="D3" s="5" t="s">
        <v>63</v>
      </c>
      <c r="E3" s="5" t="s">
        <v>64</v>
      </c>
      <c r="F3" s="5" t="s">
        <v>65</v>
      </c>
      <c r="G3" s="5" t="s">
        <v>66</v>
      </c>
      <c r="H3" s="5" t="s">
        <v>67</v>
      </c>
      <c r="I3" s="5" t="s">
        <v>68</v>
      </c>
      <c r="J3" s="5" t="s">
        <v>69</v>
      </c>
      <c r="K3" s="5" t="s">
        <v>70</v>
      </c>
      <c r="L3" s="5" t="s">
        <v>71</v>
      </c>
      <c r="M3" s="5" t="s">
        <v>72</v>
      </c>
      <c r="N3" s="5" t="s">
        <v>73</v>
      </c>
      <c r="O3" s="5" t="s">
        <v>74</v>
      </c>
      <c r="P3" s="5" t="s">
        <v>75</v>
      </c>
      <c r="Q3" s="5" t="s">
        <v>11</v>
      </c>
    </row>
    <row r="4">
      <c r="A4" s="32">
        <v>46113.0</v>
      </c>
      <c r="B4" s="33" t="s">
        <v>35</v>
      </c>
      <c r="C4" s="33" t="s">
        <v>37</v>
      </c>
      <c r="D4" s="34">
        <v>1000.0</v>
      </c>
      <c r="E4" s="35">
        <v>3.0</v>
      </c>
      <c r="F4" s="33" t="s">
        <v>76</v>
      </c>
      <c r="G4" s="36">
        <v>3.5</v>
      </c>
      <c r="H4" s="37">
        <f t="shared" ref="H4:H203" si="1">IFERROR(D4*E4*IF(F4="USD",G4,1),0)</f>
        <v>10500</v>
      </c>
      <c r="I4" s="38" t="s">
        <v>77</v>
      </c>
      <c r="J4" s="33" t="s">
        <v>78</v>
      </c>
      <c r="K4" s="39">
        <v>10500.0</v>
      </c>
      <c r="L4" s="37">
        <f t="shared" ref="L4:L203" si="2">IFERROR(K4-H4,0)</f>
        <v>0</v>
      </c>
      <c r="M4" s="33" t="s">
        <v>79</v>
      </c>
      <c r="N4" s="32">
        <v>46113.0</v>
      </c>
      <c r="O4" s="39">
        <v>10500.0</v>
      </c>
      <c r="P4" s="37">
        <f t="shared" ref="P4:P203" si="3">IFERROR(H4-O4,0)</f>
        <v>0</v>
      </c>
      <c r="Q4" s="40"/>
    </row>
    <row r="5">
      <c r="A5" s="32">
        <v>46152.0</v>
      </c>
      <c r="B5" s="33" t="s">
        <v>42</v>
      </c>
      <c r="C5" s="33" t="s">
        <v>44</v>
      </c>
      <c r="D5" s="34">
        <v>500.0</v>
      </c>
      <c r="E5" s="35">
        <v>5.5</v>
      </c>
      <c r="F5" s="33" t="s">
        <v>76</v>
      </c>
      <c r="G5" s="36">
        <v>3.5</v>
      </c>
      <c r="H5" s="37">
        <f t="shared" si="1"/>
        <v>9625</v>
      </c>
      <c r="I5" s="38" t="s">
        <v>77</v>
      </c>
      <c r="J5" s="33" t="s">
        <v>80</v>
      </c>
      <c r="K5" s="39">
        <v>9625.0</v>
      </c>
      <c r="L5" s="37">
        <f t="shared" si="2"/>
        <v>0</v>
      </c>
      <c r="M5" s="33" t="s">
        <v>79</v>
      </c>
      <c r="N5" s="32">
        <v>46152.0</v>
      </c>
      <c r="O5" s="39">
        <v>9525.0</v>
      </c>
      <c r="P5" s="37">
        <f t="shared" si="3"/>
        <v>100</v>
      </c>
      <c r="Q5" s="40"/>
    </row>
    <row r="6">
      <c r="A6" s="32"/>
      <c r="B6" s="38" t="s">
        <v>47</v>
      </c>
      <c r="C6" s="38" t="s">
        <v>37</v>
      </c>
      <c r="D6" s="41">
        <v>3000.0</v>
      </c>
      <c r="E6" s="42">
        <v>3.0</v>
      </c>
      <c r="F6" s="38" t="s">
        <v>76</v>
      </c>
      <c r="G6" s="43">
        <v>3.45</v>
      </c>
      <c r="H6" s="37">
        <f t="shared" si="1"/>
        <v>31050</v>
      </c>
      <c r="I6" s="38" t="s">
        <v>77</v>
      </c>
      <c r="J6" s="33"/>
      <c r="K6" s="44">
        <v>31050.0</v>
      </c>
      <c r="L6" s="37">
        <f t="shared" si="2"/>
        <v>0</v>
      </c>
      <c r="M6" s="38" t="s">
        <v>79</v>
      </c>
      <c r="N6" s="32"/>
      <c r="O6" s="39"/>
      <c r="P6" s="37">
        <f t="shared" si="3"/>
        <v>31050</v>
      </c>
      <c r="Q6" s="40"/>
    </row>
    <row r="7">
      <c r="A7" s="32"/>
      <c r="B7" s="38" t="s">
        <v>51</v>
      </c>
      <c r="C7" s="38" t="s">
        <v>53</v>
      </c>
      <c r="D7" s="41">
        <v>660.0</v>
      </c>
      <c r="E7" s="42">
        <v>4.0</v>
      </c>
      <c r="F7" s="38" t="s">
        <v>76</v>
      </c>
      <c r="G7" s="43">
        <v>3.45</v>
      </c>
      <c r="H7" s="37">
        <f t="shared" si="1"/>
        <v>9108</v>
      </c>
      <c r="I7" s="38" t="s">
        <v>77</v>
      </c>
      <c r="J7" s="33"/>
      <c r="K7" s="44">
        <v>9108.0</v>
      </c>
      <c r="L7" s="37">
        <f t="shared" si="2"/>
        <v>0</v>
      </c>
      <c r="M7" s="38" t="s">
        <v>79</v>
      </c>
      <c r="N7" s="32"/>
      <c r="O7" s="39"/>
      <c r="P7" s="37">
        <f t="shared" si="3"/>
        <v>9108</v>
      </c>
      <c r="Q7" s="40"/>
    </row>
    <row r="8">
      <c r="A8" s="32"/>
      <c r="B8" s="33"/>
      <c r="C8" s="33"/>
      <c r="D8" s="34"/>
      <c r="E8" s="35"/>
      <c r="F8" s="33"/>
      <c r="G8" s="36"/>
      <c r="H8" s="37">
        <f t="shared" si="1"/>
        <v>0</v>
      </c>
      <c r="I8" s="33"/>
      <c r="J8" s="33"/>
      <c r="K8" s="39"/>
      <c r="L8" s="37">
        <f t="shared" si="2"/>
        <v>0</v>
      </c>
      <c r="M8" s="33"/>
      <c r="N8" s="32"/>
      <c r="O8" s="39"/>
      <c r="P8" s="37">
        <f t="shared" si="3"/>
        <v>0</v>
      </c>
      <c r="Q8" s="40"/>
    </row>
    <row r="9">
      <c r="A9" s="32"/>
      <c r="B9" s="33"/>
      <c r="C9" s="33"/>
      <c r="D9" s="34"/>
      <c r="E9" s="35"/>
      <c r="F9" s="33"/>
      <c r="G9" s="36"/>
      <c r="H9" s="37">
        <f t="shared" si="1"/>
        <v>0</v>
      </c>
      <c r="I9" s="33"/>
      <c r="J9" s="33"/>
      <c r="K9" s="39"/>
      <c r="L9" s="37">
        <f t="shared" si="2"/>
        <v>0</v>
      </c>
      <c r="M9" s="33"/>
      <c r="N9" s="32"/>
      <c r="O9" s="39"/>
      <c r="P9" s="37">
        <f t="shared" si="3"/>
        <v>0</v>
      </c>
      <c r="Q9" s="40"/>
    </row>
    <row r="10">
      <c r="A10" s="32"/>
      <c r="B10" s="33"/>
      <c r="C10" s="33"/>
      <c r="D10" s="34"/>
      <c r="E10" s="35"/>
      <c r="F10" s="33"/>
      <c r="G10" s="36"/>
      <c r="H10" s="37">
        <f t="shared" si="1"/>
        <v>0</v>
      </c>
      <c r="I10" s="33"/>
      <c r="J10" s="33"/>
      <c r="K10" s="39"/>
      <c r="L10" s="37">
        <f t="shared" si="2"/>
        <v>0</v>
      </c>
      <c r="M10" s="33"/>
      <c r="N10" s="32"/>
      <c r="O10" s="39"/>
      <c r="P10" s="37">
        <f t="shared" si="3"/>
        <v>0</v>
      </c>
      <c r="Q10" s="40"/>
    </row>
    <row r="11">
      <c r="A11" s="32"/>
      <c r="B11" s="33"/>
      <c r="C11" s="33"/>
      <c r="D11" s="34"/>
      <c r="E11" s="35"/>
      <c r="F11" s="33"/>
      <c r="G11" s="36"/>
      <c r="H11" s="37">
        <f t="shared" si="1"/>
        <v>0</v>
      </c>
      <c r="I11" s="33"/>
      <c r="J11" s="33"/>
      <c r="K11" s="39"/>
      <c r="L11" s="37">
        <f t="shared" si="2"/>
        <v>0</v>
      </c>
      <c r="M11" s="33"/>
      <c r="N11" s="32"/>
      <c r="O11" s="39"/>
      <c r="P11" s="37">
        <f t="shared" si="3"/>
        <v>0</v>
      </c>
      <c r="Q11" s="40"/>
    </row>
    <row r="12">
      <c r="A12" s="32"/>
      <c r="B12" s="33"/>
      <c r="C12" s="33"/>
      <c r="D12" s="34"/>
      <c r="E12" s="35"/>
      <c r="F12" s="33"/>
      <c r="G12" s="36"/>
      <c r="H12" s="37">
        <f t="shared" si="1"/>
        <v>0</v>
      </c>
      <c r="I12" s="33"/>
      <c r="J12" s="33"/>
      <c r="K12" s="39"/>
      <c r="L12" s="37">
        <f t="shared" si="2"/>
        <v>0</v>
      </c>
      <c r="M12" s="33"/>
      <c r="N12" s="32"/>
      <c r="O12" s="39"/>
      <c r="P12" s="37">
        <f t="shared" si="3"/>
        <v>0</v>
      </c>
      <c r="Q12" s="40"/>
    </row>
    <row r="13">
      <c r="A13" s="32"/>
      <c r="B13" s="33"/>
      <c r="C13" s="33"/>
      <c r="D13" s="34"/>
      <c r="E13" s="35"/>
      <c r="F13" s="33"/>
      <c r="G13" s="36"/>
      <c r="H13" s="37">
        <f t="shared" si="1"/>
        <v>0</v>
      </c>
      <c r="I13" s="33"/>
      <c r="J13" s="33"/>
      <c r="K13" s="39"/>
      <c r="L13" s="37">
        <f t="shared" si="2"/>
        <v>0</v>
      </c>
      <c r="M13" s="33"/>
      <c r="N13" s="32"/>
      <c r="O13" s="39"/>
      <c r="P13" s="37">
        <f t="shared" si="3"/>
        <v>0</v>
      </c>
      <c r="Q13" s="40"/>
    </row>
    <row r="14">
      <c r="A14" s="32"/>
      <c r="B14" s="33"/>
      <c r="C14" s="33"/>
      <c r="D14" s="34"/>
      <c r="E14" s="35"/>
      <c r="F14" s="33"/>
      <c r="G14" s="36"/>
      <c r="H14" s="37">
        <f t="shared" si="1"/>
        <v>0</v>
      </c>
      <c r="I14" s="33"/>
      <c r="J14" s="33"/>
      <c r="K14" s="39"/>
      <c r="L14" s="37">
        <f t="shared" si="2"/>
        <v>0</v>
      </c>
      <c r="M14" s="33"/>
      <c r="N14" s="32"/>
      <c r="O14" s="39"/>
      <c r="P14" s="37">
        <f t="shared" si="3"/>
        <v>0</v>
      </c>
      <c r="Q14" s="40"/>
    </row>
    <row r="15">
      <c r="A15" s="32"/>
      <c r="B15" s="33"/>
      <c r="C15" s="33"/>
      <c r="D15" s="34"/>
      <c r="E15" s="35"/>
      <c r="F15" s="33"/>
      <c r="G15" s="36"/>
      <c r="H15" s="37">
        <f t="shared" si="1"/>
        <v>0</v>
      </c>
      <c r="I15" s="33"/>
      <c r="J15" s="33"/>
      <c r="K15" s="39"/>
      <c r="L15" s="37">
        <f t="shared" si="2"/>
        <v>0</v>
      </c>
      <c r="M15" s="33"/>
      <c r="N15" s="32"/>
      <c r="O15" s="39"/>
      <c r="P15" s="37">
        <f t="shared" si="3"/>
        <v>0</v>
      </c>
      <c r="Q15" s="40"/>
    </row>
    <row r="16">
      <c r="A16" s="32"/>
      <c r="B16" s="33"/>
      <c r="C16" s="33"/>
      <c r="D16" s="34"/>
      <c r="E16" s="35"/>
      <c r="F16" s="33"/>
      <c r="G16" s="36"/>
      <c r="H16" s="37">
        <f t="shared" si="1"/>
        <v>0</v>
      </c>
      <c r="I16" s="33"/>
      <c r="J16" s="33"/>
      <c r="K16" s="39"/>
      <c r="L16" s="37">
        <f t="shared" si="2"/>
        <v>0</v>
      </c>
      <c r="M16" s="33"/>
      <c r="N16" s="32"/>
      <c r="O16" s="39"/>
      <c r="P16" s="37">
        <f t="shared" si="3"/>
        <v>0</v>
      </c>
      <c r="Q16" s="40"/>
    </row>
    <row r="17">
      <c r="A17" s="32"/>
      <c r="B17" s="33"/>
      <c r="C17" s="33"/>
      <c r="D17" s="34"/>
      <c r="E17" s="35"/>
      <c r="F17" s="33"/>
      <c r="G17" s="36"/>
      <c r="H17" s="37">
        <f t="shared" si="1"/>
        <v>0</v>
      </c>
      <c r="I17" s="33"/>
      <c r="J17" s="33"/>
      <c r="K17" s="39"/>
      <c r="L17" s="37">
        <f t="shared" si="2"/>
        <v>0</v>
      </c>
      <c r="M17" s="33"/>
      <c r="N17" s="32"/>
      <c r="O17" s="39"/>
      <c r="P17" s="37">
        <f t="shared" si="3"/>
        <v>0</v>
      </c>
      <c r="Q17" s="40"/>
    </row>
    <row r="18">
      <c r="A18" s="32"/>
      <c r="B18" s="33"/>
      <c r="C18" s="33"/>
      <c r="D18" s="34"/>
      <c r="E18" s="35"/>
      <c r="F18" s="33"/>
      <c r="G18" s="36"/>
      <c r="H18" s="37">
        <f t="shared" si="1"/>
        <v>0</v>
      </c>
      <c r="I18" s="33"/>
      <c r="J18" s="33"/>
      <c r="K18" s="39"/>
      <c r="L18" s="37">
        <f t="shared" si="2"/>
        <v>0</v>
      </c>
      <c r="M18" s="33"/>
      <c r="N18" s="32"/>
      <c r="O18" s="39"/>
      <c r="P18" s="37">
        <f t="shared" si="3"/>
        <v>0</v>
      </c>
      <c r="Q18" s="40"/>
    </row>
    <row r="19">
      <c r="A19" s="32"/>
      <c r="B19" s="33"/>
      <c r="C19" s="33"/>
      <c r="D19" s="34"/>
      <c r="E19" s="35"/>
      <c r="F19" s="33"/>
      <c r="G19" s="36"/>
      <c r="H19" s="37">
        <f t="shared" si="1"/>
        <v>0</v>
      </c>
      <c r="I19" s="33"/>
      <c r="J19" s="33"/>
      <c r="K19" s="39"/>
      <c r="L19" s="37">
        <f t="shared" si="2"/>
        <v>0</v>
      </c>
      <c r="M19" s="33"/>
      <c r="N19" s="32"/>
      <c r="O19" s="39"/>
      <c r="P19" s="37">
        <f t="shared" si="3"/>
        <v>0</v>
      </c>
      <c r="Q19" s="40"/>
    </row>
    <row r="20">
      <c r="A20" s="32"/>
      <c r="B20" s="33"/>
      <c r="C20" s="33"/>
      <c r="D20" s="34"/>
      <c r="E20" s="35"/>
      <c r="F20" s="33"/>
      <c r="G20" s="36"/>
      <c r="H20" s="37">
        <f t="shared" si="1"/>
        <v>0</v>
      </c>
      <c r="I20" s="33"/>
      <c r="J20" s="33"/>
      <c r="K20" s="39"/>
      <c r="L20" s="37">
        <f t="shared" si="2"/>
        <v>0</v>
      </c>
      <c r="M20" s="33"/>
      <c r="N20" s="32"/>
      <c r="O20" s="39"/>
      <c r="P20" s="37">
        <f t="shared" si="3"/>
        <v>0</v>
      </c>
      <c r="Q20" s="40"/>
    </row>
    <row r="21" ht="15.75" customHeight="1">
      <c r="A21" s="32"/>
      <c r="B21" s="33"/>
      <c r="C21" s="33"/>
      <c r="D21" s="34"/>
      <c r="E21" s="35"/>
      <c r="F21" s="33"/>
      <c r="G21" s="36"/>
      <c r="H21" s="37">
        <f t="shared" si="1"/>
        <v>0</v>
      </c>
      <c r="I21" s="33"/>
      <c r="J21" s="33"/>
      <c r="K21" s="39"/>
      <c r="L21" s="37">
        <f t="shared" si="2"/>
        <v>0</v>
      </c>
      <c r="M21" s="33"/>
      <c r="N21" s="32"/>
      <c r="O21" s="39"/>
      <c r="P21" s="37">
        <f t="shared" si="3"/>
        <v>0</v>
      </c>
      <c r="Q21" s="40"/>
    </row>
    <row r="22" ht="15.75" customHeight="1">
      <c r="A22" s="32"/>
      <c r="B22" s="33"/>
      <c r="C22" s="33"/>
      <c r="D22" s="34"/>
      <c r="E22" s="35"/>
      <c r="F22" s="33"/>
      <c r="G22" s="36"/>
      <c r="H22" s="37">
        <f t="shared" si="1"/>
        <v>0</v>
      </c>
      <c r="I22" s="33"/>
      <c r="J22" s="33"/>
      <c r="K22" s="39"/>
      <c r="L22" s="37">
        <f t="shared" si="2"/>
        <v>0</v>
      </c>
      <c r="M22" s="33"/>
      <c r="N22" s="32"/>
      <c r="O22" s="39"/>
      <c r="P22" s="37">
        <f t="shared" si="3"/>
        <v>0</v>
      </c>
      <c r="Q22" s="40"/>
    </row>
    <row r="23" ht="15.75" customHeight="1">
      <c r="A23" s="32"/>
      <c r="B23" s="33"/>
      <c r="C23" s="33"/>
      <c r="D23" s="34"/>
      <c r="E23" s="35"/>
      <c r="F23" s="33"/>
      <c r="G23" s="36"/>
      <c r="H23" s="37">
        <f t="shared" si="1"/>
        <v>0</v>
      </c>
      <c r="I23" s="33"/>
      <c r="J23" s="33"/>
      <c r="K23" s="39"/>
      <c r="L23" s="37">
        <f t="shared" si="2"/>
        <v>0</v>
      </c>
      <c r="M23" s="33"/>
      <c r="N23" s="32"/>
      <c r="O23" s="39"/>
      <c r="P23" s="37">
        <f t="shared" si="3"/>
        <v>0</v>
      </c>
      <c r="Q23" s="40"/>
    </row>
    <row r="24" ht="15.75" customHeight="1">
      <c r="A24" s="32"/>
      <c r="B24" s="33"/>
      <c r="C24" s="33"/>
      <c r="D24" s="34"/>
      <c r="E24" s="35"/>
      <c r="F24" s="33"/>
      <c r="G24" s="36"/>
      <c r="H24" s="37">
        <f t="shared" si="1"/>
        <v>0</v>
      </c>
      <c r="I24" s="33"/>
      <c r="J24" s="33"/>
      <c r="K24" s="39"/>
      <c r="L24" s="37">
        <f t="shared" si="2"/>
        <v>0</v>
      </c>
      <c r="M24" s="33"/>
      <c r="N24" s="32"/>
      <c r="O24" s="39"/>
      <c r="P24" s="37">
        <f t="shared" si="3"/>
        <v>0</v>
      </c>
      <c r="Q24" s="40"/>
    </row>
    <row r="25" ht="15.75" customHeight="1">
      <c r="A25" s="32"/>
      <c r="B25" s="33"/>
      <c r="C25" s="33"/>
      <c r="D25" s="34"/>
      <c r="E25" s="35"/>
      <c r="F25" s="33"/>
      <c r="G25" s="36"/>
      <c r="H25" s="37">
        <f t="shared" si="1"/>
        <v>0</v>
      </c>
      <c r="I25" s="33"/>
      <c r="J25" s="33"/>
      <c r="K25" s="39"/>
      <c r="L25" s="37">
        <f t="shared" si="2"/>
        <v>0</v>
      </c>
      <c r="M25" s="33"/>
      <c r="N25" s="32"/>
      <c r="O25" s="39"/>
      <c r="P25" s="37">
        <f t="shared" si="3"/>
        <v>0</v>
      </c>
      <c r="Q25" s="40"/>
    </row>
    <row r="26" ht="15.75" customHeight="1">
      <c r="A26" s="32"/>
      <c r="B26" s="33"/>
      <c r="C26" s="33"/>
      <c r="D26" s="34"/>
      <c r="E26" s="35"/>
      <c r="F26" s="33"/>
      <c r="G26" s="36"/>
      <c r="H26" s="37">
        <f t="shared" si="1"/>
        <v>0</v>
      </c>
      <c r="I26" s="33"/>
      <c r="J26" s="33"/>
      <c r="K26" s="39"/>
      <c r="L26" s="37">
        <f t="shared" si="2"/>
        <v>0</v>
      </c>
      <c r="M26" s="33"/>
      <c r="N26" s="32"/>
      <c r="O26" s="39"/>
      <c r="P26" s="37">
        <f t="shared" si="3"/>
        <v>0</v>
      </c>
      <c r="Q26" s="40"/>
    </row>
    <row r="27" ht="15.75" customHeight="1">
      <c r="A27" s="32"/>
      <c r="B27" s="33"/>
      <c r="C27" s="33"/>
      <c r="D27" s="34"/>
      <c r="E27" s="35"/>
      <c r="F27" s="33"/>
      <c r="G27" s="36"/>
      <c r="H27" s="37">
        <f t="shared" si="1"/>
        <v>0</v>
      </c>
      <c r="I27" s="33"/>
      <c r="J27" s="33"/>
      <c r="K27" s="39"/>
      <c r="L27" s="37">
        <f t="shared" si="2"/>
        <v>0</v>
      </c>
      <c r="M27" s="33"/>
      <c r="N27" s="32"/>
      <c r="O27" s="39"/>
      <c r="P27" s="37">
        <f t="shared" si="3"/>
        <v>0</v>
      </c>
      <c r="Q27" s="40"/>
    </row>
    <row r="28" ht="15.75" customHeight="1">
      <c r="A28" s="32"/>
      <c r="B28" s="33"/>
      <c r="C28" s="33"/>
      <c r="D28" s="34"/>
      <c r="E28" s="35"/>
      <c r="F28" s="33"/>
      <c r="G28" s="36"/>
      <c r="H28" s="37">
        <f t="shared" si="1"/>
        <v>0</v>
      </c>
      <c r="I28" s="33"/>
      <c r="J28" s="33"/>
      <c r="K28" s="39"/>
      <c r="L28" s="37">
        <f t="shared" si="2"/>
        <v>0</v>
      </c>
      <c r="M28" s="33"/>
      <c r="N28" s="32"/>
      <c r="O28" s="39"/>
      <c r="P28" s="37">
        <f t="shared" si="3"/>
        <v>0</v>
      </c>
      <c r="Q28" s="40"/>
    </row>
    <row r="29" ht="15.75" customHeight="1">
      <c r="A29" s="32"/>
      <c r="B29" s="33"/>
      <c r="C29" s="33"/>
      <c r="D29" s="34"/>
      <c r="E29" s="35"/>
      <c r="F29" s="33"/>
      <c r="G29" s="36"/>
      <c r="H29" s="37">
        <f t="shared" si="1"/>
        <v>0</v>
      </c>
      <c r="I29" s="33"/>
      <c r="J29" s="33"/>
      <c r="K29" s="39"/>
      <c r="L29" s="37">
        <f t="shared" si="2"/>
        <v>0</v>
      </c>
      <c r="M29" s="33"/>
      <c r="N29" s="32"/>
      <c r="O29" s="39"/>
      <c r="P29" s="37">
        <f t="shared" si="3"/>
        <v>0</v>
      </c>
      <c r="Q29" s="40"/>
    </row>
    <row r="30" ht="15.75" customHeight="1">
      <c r="A30" s="32"/>
      <c r="B30" s="33"/>
      <c r="C30" s="33"/>
      <c r="D30" s="34"/>
      <c r="E30" s="35"/>
      <c r="F30" s="33"/>
      <c r="G30" s="36"/>
      <c r="H30" s="37">
        <f t="shared" si="1"/>
        <v>0</v>
      </c>
      <c r="I30" s="33"/>
      <c r="J30" s="33"/>
      <c r="K30" s="39"/>
      <c r="L30" s="37">
        <f t="shared" si="2"/>
        <v>0</v>
      </c>
      <c r="M30" s="33"/>
      <c r="N30" s="32"/>
      <c r="O30" s="39"/>
      <c r="P30" s="37">
        <f t="shared" si="3"/>
        <v>0</v>
      </c>
      <c r="Q30" s="40"/>
    </row>
    <row r="31" ht="15.75" customHeight="1">
      <c r="A31" s="32"/>
      <c r="B31" s="33"/>
      <c r="C31" s="33"/>
      <c r="D31" s="34"/>
      <c r="E31" s="35"/>
      <c r="F31" s="33"/>
      <c r="G31" s="36"/>
      <c r="H31" s="37">
        <f t="shared" si="1"/>
        <v>0</v>
      </c>
      <c r="I31" s="33"/>
      <c r="J31" s="33"/>
      <c r="K31" s="39"/>
      <c r="L31" s="37">
        <f t="shared" si="2"/>
        <v>0</v>
      </c>
      <c r="M31" s="33"/>
      <c r="N31" s="32"/>
      <c r="O31" s="39"/>
      <c r="P31" s="37">
        <f t="shared" si="3"/>
        <v>0</v>
      </c>
      <c r="Q31" s="40"/>
    </row>
    <row r="32" ht="15.75" customHeight="1">
      <c r="A32" s="32"/>
      <c r="B32" s="33"/>
      <c r="C32" s="33"/>
      <c r="D32" s="34"/>
      <c r="E32" s="35"/>
      <c r="F32" s="33"/>
      <c r="G32" s="36"/>
      <c r="H32" s="37">
        <f t="shared" si="1"/>
        <v>0</v>
      </c>
      <c r="I32" s="33"/>
      <c r="J32" s="33"/>
      <c r="K32" s="39"/>
      <c r="L32" s="37">
        <f t="shared" si="2"/>
        <v>0</v>
      </c>
      <c r="M32" s="33"/>
      <c r="N32" s="32"/>
      <c r="O32" s="39"/>
      <c r="P32" s="37">
        <f t="shared" si="3"/>
        <v>0</v>
      </c>
      <c r="Q32" s="40"/>
    </row>
    <row r="33" ht="15.75" customHeight="1">
      <c r="A33" s="32"/>
      <c r="B33" s="33"/>
      <c r="C33" s="33"/>
      <c r="D33" s="34"/>
      <c r="E33" s="35"/>
      <c r="F33" s="33"/>
      <c r="G33" s="36"/>
      <c r="H33" s="37">
        <f t="shared" si="1"/>
        <v>0</v>
      </c>
      <c r="I33" s="33"/>
      <c r="J33" s="33"/>
      <c r="K33" s="39"/>
      <c r="L33" s="37">
        <f t="shared" si="2"/>
        <v>0</v>
      </c>
      <c r="M33" s="33"/>
      <c r="N33" s="32"/>
      <c r="O33" s="39"/>
      <c r="P33" s="37">
        <f t="shared" si="3"/>
        <v>0</v>
      </c>
      <c r="Q33" s="40"/>
    </row>
    <row r="34" ht="15.75" customHeight="1">
      <c r="A34" s="32"/>
      <c r="B34" s="33"/>
      <c r="C34" s="33"/>
      <c r="D34" s="34"/>
      <c r="E34" s="35"/>
      <c r="F34" s="33"/>
      <c r="G34" s="36"/>
      <c r="H34" s="37">
        <f t="shared" si="1"/>
        <v>0</v>
      </c>
      <c r="I34" s="33"/>
      <c r="J34" s="33"/>
      <c r="K34" s="39"/>
      <c r="L34" s="37">
        <f t="shared" si="2"/>
        <v>0</v>
      </c>
      <c r="M34" s="33"/>
      <c r="N34" s="32"/>
      <c r="O34" s="39"/>
      <c r="P34" s="37">
        <f t="shared" si="3"/>
        <v>0</v>
      </c>
      <c r="Q34" s="40"/>
    </row>
    <row r="35" ht="15.75" customHeight="1">
      <c r="A35" s="32"/>
      <c r="B35" s="33"/>
      <c r="C35" s="33"/>
      <c r="D35" s="34"/>
      <c r="E35" s="35"/>
      <c r="F35" s="33"/>
      <c r="G35" s="36"/>
      <c r="H35" s="37">
        <f t="shared" si="1"/>
        <v>0</v>
      </c>
      <c r="I35" s="33"/>
      <c r="J35" s="33"/>
      <c r="K35" s="39"/>
      <c r="L35" s="37">
        <f t="shared" si="2"/>
        <v>0</v>
      </c>
      <c r="M35" s="33"/>
      <c r="N35" s="32"/>
      <c r="O35" s="39"/>
      <c r="P35" s="37">
        <f t="shared" si="3"/>
        <v>0</v>
      </c>
      <c r="Q35" s="40"/>
    </row>
    <row r="36" ht="15.75" customHeight="1">
      <c r="A36" s="32"/>
      <c r="B36" s="33"/>
      <c r="C36" s="33"/>
      <c r="D36" s="34"/>
      <c r="E36" s="35"/>
      <c r="F36" s="33"/>
      <c r="G36" s="36"/>
      <c r="H36" s="37">
        <f t="shared" si="1"/>
        <v>0</v>
      </c>
      <c r="I36" s="33"/>
      <c r="J36" s="33"/>
      <c r="K36" s="39"/>
      <c r="L36" s="37">
        <f t="shared" si="2"/>
        <v>0</v>
      </c>
      <c r="M36" s="33"/>
      <c r="N36" s="32"/>
      <c r="O36" s="39"/>
      <c r="P36" s="37">
        <f t="shared" si="3"/>
        <v>0</v>
      </c>
      <c r="Q36" s="40"/>
    </row>
    <row r="37" ht="15.75" customHeight="1">
      <c r="A37" s="32"/>
      <c r="B37" s="33"/>
      <c r="C37" s="33"/>
      <c r="D37" s="34"/>
      <c r="E37" s="35"/>
      <c r="F37" s="33"/>
      <c r="G37" s="36"/>
      <c r="H37" s="37">
        <f t="shared" si="1"/>
        <v>0</v>
      </c>
      <c r="I37" s="33"/>
      <c r="J37" s="33"/>
      <c r="K37" s="39"/>
      <c r="L37" s="37">
        <f t="shared" si="2"/>
        <v>0</v>
      </c>
      <c r="M37" s="33"/>
      <c r="N37" s="32"/>
      <c r="O37" s="39"/>
      <c r="P37" s="37">
        <f t="shared" si="3"/>
        <v>0</v>
      </c>
      <c r="Q37" s="40"/>
    </row>
    <row r="38" ht="15.75" customHeight="1">
      <c r="A38" s="32"/>
      <c r="B38" s="33"/>
      <c r="C38" s="33"/>
      <c r="D38" s="34"/>
      <c r="E38" s="35"/>
      <c r="F38" s="33"/>
      <c r="G38" s="36"/>
      <c r="H38" s="37">
        <f t="shared" si="1"/>
        <v>0</v>
      </c>
      <c r="I38" s="33"/>
      <c r="J38" s="33"/>
      <c r="K38" s="39"/>
      <c r="L38" s="37">
        <f t="shared" si="2"/>
        <v>0</v>
      </c>
      <c r="M38" s="33"/>
      <c r="N38" s="32"/>
      <c r="O38" s="39"/>
      <c r="P38" s="37">
        <f t="shared" si="3"/>
        <v>0</v>
      </c>
      <c r="Q38" s="40"/>
    </row>
    <row r="39" ht="15.75" customHeight="1">
      <c r="A39" s="32"/>
      <c r="B39" s="33"/>
      <c r="C39" s="33"/>
      <c r="D39" s="34"/>
      <c r="E39" s="35"/>
      <c r="F39" s="33"/>
      <c r="G39" s="36"/>
      <c r="H39" s="37">
        <f t="shared" si="1"/>
        <v>0</v>
      </c>
      <c r="I39" s="33"/>
      <c r="J39" s="33"/>
      <c r="K39" s="39"/>
      <c r="L39" s="37">
        <f t="shared" si="2"/>
        <v>0</v>
      </c>
      <c r="M39" s="33"/>
      <c r="N39" s="32"/>
      <c r="O39" s="39"/>
      <c r="P39" s="37">
        <f t="shared" si="3"/>
        <v>0</v>
      </c>
      <c r="Q39" s="40"/>
    </row>
    <row r="40" ht="15.75" customHeight="1">
      <c r="A40" s="32"/>
      <c r="B40" s="33"/>
      <c r="C40" s="33"/>
      <c r="D40" s="34"/>
      <c r="E40" s="35"/>
      <c r="F40" s="33"/>
      <c r="G40" s="36"/>
      <c r="H40" s="37">
        <f t="shared" si="1"/>
        <v>0</v>
      </c>
      <c r="I40" s="33"/>
      <c r="J40" s="33"/>
      <c r="K40" s="39"/>
      <c r="L40" s="37">
        <f t="shared" si="2"/>
        <v>0</v>
      </c>
      <c r="M40" s="33"/>
      <c r="N40" s="32"/>
      <c r="O40" s="39"/>
      <c r="P40" s="37">
        <f t="shared" si="3"/>
        <v>0</v>
      </c>
      <c r="Q40" s="40"/>
    </row>
    <row r="41" ht="15.75" customHeight="1">
      <c r="A41" s="32"/>
      <c r="B41" s="33"/>
      <c r="C41" s="33"/>
      <c r="D41" s="34"/>
      <c r="E41" s="35"/>
      <c r="F41" s="33"/>
      <c r="G41" s="36"/>
      <c r="H41" s="37">
        <f t="shared" si="1"/>
        <v>0</v>
      </c>
      <c r="I41" s="33"/>
      <c r="J41" s="33"/>
      <c r="K41" s="39"/>
      <c r="L41" s="37">
        <f t="shared" si="2"/>
        <v>0</v>
      </c>
      <c r="M41" s="33"/>
      <c r="N41" s="32"/>
      <c r="O41" s="39"/>
      <c r="P41" s="37">
        <f t="shared" si="3"/>
        <v>0</v>
      </c>
      <c r="Q41" s="40"/>
    </row>
    <row r="42" ht="15.75" customHeight="1">
      <c r="A42" s="32"/>
      <c r="B42" s="33"/>
      <c r="C42" s="33"/>
      <c r="D42" s="34"/>
      <c r="E42" s="35"/>
      <c r="F42" s="33"/>
      <c r="G42" s="36"/>
      <c r="H42" s="37">
        <f t="shared" si="1"/>
        <v>0</v>
      </c>
      <c r="I42" s="33"/>
      <c r="J42" s="33"/>
      <c r="K42" s="39"/>
      <c r="L42" s="37">
        <f t="shared" si="2"/>
        <v>0</v>
      </c>
      <c r="M42" s="33"/>
      <c r="N42" s="32"/>
      <c r="O42" s="39"/>
      <c r="P42" s="37">
        <f t="shared" si="3"/>
        <v>0</v>
      </c>
      <c r="Q42" s="40"/>
    </row>
    <row r="43" ht="15.75" customHeight="1">
      <c r="A43" s="32"/>
      <c r="B43" s="33"/>
      <c r="C43" s="33"/>
      <c r="D43" s="34"/>
      <c r="E43" s="35"/>
      <c r="F43" s="33"/>
      <c r="G43" s="36"/>
      <c r="H43" s="37">
        <f t="shared" si="1"/>
        <v>0</v>
      </c>
      <c r="I43" s="33"/>
      <c r="J43" s="33"/>
      <c r="K43" s="39"/>
      <c r="L43" s="37">
        <f t="shared" si="2"/>
        <v>0</v>
      </c>
      <c r="M43" s="33"/>
      <c r="N43" s="32"/>
      <c r="O43" s="39"/>
      <c r="P43" s="37">
        <f t="shared" si="3"/>
        <v>0</v>
      </c>
      <c r="Q43" s="40"/>
    </row>
    <row r="44" ht="15.75" customHeight="1">
      <c r="A44" s="32"/>
      <c r="B44" s="33"/>
      <c r="C44" s="33"/>
      <c r="D44" s="34"/>
      <c r="E44" s="35"/>
      <c r="F44" s="33"/>
      <c r="G44" s="36"/>
      <c r="H44" s="37">
        <f t="shared" si="1"/>
        <v>0</v>
      </c>
      <c r="I44" s="33"/>
      <c r="J44" s="33"/>
      <c r="K44" s="39"/>
      <c r="L44" s="37">
        <f t="shared" si="2"/>
        <v>0</v>
      </c>
      <c r="M44" s="33"/>
      <c r="N44" s="32"/>
      <c r="O44" s="39"/>
      <c r="P44" s="37">
        <f t="shared" si="3"/>
        <v>0</v>
      </c>
      <c r="Q44" s="40"/>
    </row>
    <row r="45" ht="15.75" customHeight="1">
      <c r="A45" s="32"/>
      <c r="B45" s="33"/>
      <c r="C45" s="33"/>
      <c r="D45" s="34"/>
      <c r="E45" s="35"/>
      <c r="F45" s="33"/>
      <c r="G45" s="36"/>
      <c r="H45" s="37">
        <f t="shared" si="1"/>
        <v>0</v>
      </c>
      <c r="I45" s="33"/>
      <c r="J45" s="33"/>
      <c r="K45" s="39"/>
      <c r="L45" s="37">
        <f t="shared" si="2"/>
        <v>0</v>
      </c>
      <c r="M45" s="33"/>
      <c r="N45" s="32"/>
      <c r="O45" s="39"/>
      <c r="P45" s="37">
        <f t="shared" si="3"/>
        <v>0</v>
      </c>
      <c r="Q45" s="40"/>
    </row>
    <row r="46" ht="15.75" customHeight="1">
      <c r="A46" s="32"/>
      <c r="B46" s="33"/>
      <c r="C46" s="33"/>
      <c r="D46" s="34"/>
      <c r="E46" s="35"/>
      <c r="F46" s="33"/>
      <c r="G46" s="36"/>
      <c r="H46" s="37">
        <f t="shared" si="1"/>
        <v>0</v>
      </c>
      <c r="I46" s="33"/>
      <c r="J46" s="33"/>
      <c r="K46" s="39"/>
      <c r="L46" s="37">
        <f t="shared" si="2"/>
        <v>0</v>
      </c>
      <c r="M46" s="33"/>
      <c r="N46" s="32"/>
      <c r="O46" s="39"/>
      <c r="P46" s="37">
        <f t="shared" si="3"/>
        <v>0</v>
      </c>
      <c r="Q46" s="40"/>
    </row>
    <row r="47" ht="15.75" customHeight="1">
      <c r="A47" s="32"/>
      <c r="B47" s="33"/>
      <c r="C47" s="33"/>
      <c r="D47" s="34"/>
      <c r="E47" s="35"/>
      <c r="F47" s="33"/>
      <c r="G47" s="36"/>
      <c r="H47" s="37">
        <f t="shared" si="1"/>
        <v>0</v>
      </c>
      <c r="I47" s="33"/>
      <c r="J47" s="33"/>
      <c r="K47" s="39"/>
      <c r="L47" s="37">
        <f t="shared" si="2"/>
        <v>0</v>
      </c>
      <c r="M47" s="33"/>
      <c r="N47" s="32"/>
      <c r="O47" s="39"/>
      <c r="P47" s="37">
        <f t="shared" si="3"/>
        <v>0</v>
      </c>
      <c r="Q47" s="40"/>
    </row>
    <row r="48" ht="15.75" customHeight="1">
      <c r="A48" s="32"/>
      <c r="B48" s="33"/>
      <c r="C48" s="33"/>
      <c r="D48" s="34"/>
      <c r="E48" s="35"/>
      <c r="F48" s="33"/>
      <c r="G48" s="36"/>
      <c r="H48" s="37">
        <f t="shared" si="1"/>
        <v>0</v>
      </c>
      <c r="I48" s="33"/>
      <c r="J48" s="33"/>
      <c r="K48" s="39"/>
      <c r="L48" s="37">
        <f t="shared" si="2"/>
        <v>0</v>
      </c>
      <c r="M48" s="33"/>
      <c r="N48" s="32"/>
      <c r="O48" s="39"/>
      <c r="P48" s="37">
        <f t="shared" si="3"/>
        <v>0</v>
      </c>
      <c r="Q48" s="40"/>
    </row>
    <row r="49" ht="15.75" customHeight="1">
      <c r="A49" s="32"/>
      <c r="B49" s="33"/>
      <c r="C49" s="33"/>
      <c r="D49" s="34"/>
      <c r="E49" s="35"/>
      <c r="F49" s="33"/>
      <c r="G49" s="36"/>
      <c r="H49" s="37">
        <f t="shared" si="1"/>
        <v>0</v>
      </c>
      <c r="I49" s="33"/>
      <c r="J49" s="33"/>
      <c r="K49" s="39"/>
      <c r="L49" s="37">
        <f t="shared" si="2"/>
        <v>0</v>
      </c>
      <c r="M49" s="33"/>
      <c r="N49" s="32"/>
      <c r="O49" s="39"/>
      <c r="P49" s="37">
        <f t="shared" si="3"/>
        <v>0</v>
      </c>
      <c r="Q49" s="40"/>
    </row>
    <row r="50" ht="15.75" customHeight="1">
      <c r="A50" s="32"/>
      <c r="B50" s="33"/>
      <c r="C50" s="33"/>
      <c r="D50" s="34"/>
      <c r="E50" s="35"/>
      <c r="F50" s="33"/>
      <c r="G50" s="36"/>
      <c r="H50" s="37">
        <f t="shared" si="1"/>
        <v>0</v>
      </c>
      <c r="I50" s="33"/>
      <c r="J50" s="33"/>
      <c r="K50" s="39"/>
      <c r="L50" s="37">
        <f t="shared" si="2"/>
        <v>0</v>
      </c>
      <c r="M50" s="33"/>
      <c r="N50" s="32"/>
      <c r="O50" s="39"/>
      <c r="P50" s="37">
        <f t="shared" si="3"/>
        <v>0</v>
      </c>
      <c r="Q50" s="40"/>
    </row>
    <row r="51" ht="15.75" customHeight="1">
      <c r="A51" s="32"/>
      <c r="B51" s="33"/>
      <c r="C51" s="33"/>
      <c r="D51" s="34"/>
      <c r="E51" s="35"/>
      <c r="F51" s="33"/>
      <c r="G51" s="36"/>
      <c r="H51" s="37">
        <f t="shared" si="1"/>
        <v>0</v>
      </c>
      <c r="I51" s="33"/>
      <c r="J51" s="33"/>
      <c r="K51" s="39"/>
      <c r="L51" s="37">
        <f t="shared" si="2"/>
        <v>0</v>
      </c>
      <c r="M51" s="33"/>
      <c r="N51" s="32"/>
      <c r="O51" s="39"/>
      <c r="P51" s="37">
        <f t="shared" si="3"/>
        <v>0</v>
      </c>
      <c r="Q51" s="40"/>
    </row>
    <row r="52" ht="15.75" customHeight="1">
      <c r="A52" s="32"/>
      <c r="B52" s="33"/>
      <c r="C52" s="33"/>
      <c r="D52" s="34"/>
      <c r="E52" s="35"/>
      <c r="F52" s="33"/>
      <c r="G52" s="36"/>
      <c r="H52" s="37">
        <f t="shared" si="1"/>
        <v>0</v>
      </c>
      <c r="I52" s="33"/>
      <c r="J52" s="33"/>
      <c r="K52" s="39"/>
      <c r="L52" s="37">
        <f t="shared" si="2"/>
        <v>0</v>
      </c>
      <c r="M52" s="33"/>
      <c r="N52" s="32"/>
      <c r="O52" s="39"/>
      <c r="P52" s="37">
        <f t="shared" si="3"/>
        <v>0</v>
      </c>
      <c r="Q52" s="40"/>
    </row>
    <row r="53" ht="15.75" customHeight="1">
      <c r="A53" s="32"/>
      <c r="B53" s="33"/>
      <c r="C53" s="33"/>
      <c r="D53" s="34"/>
      <c r="E53" s="35"/>
      <c r="F53" s="33"/>
      <c r="G53" s="36"/>
      <c r="H53" s="37">
        <f t="shared" si="1"/>
        <v>0</v>
      </c>
      <c r="I53" s="33"/>
      <c r="J53" s="33"/>
      <c r="K53" s="39"/>
      <c r="L53" s="37">
        <f t="shared" si="2"/>
        <v>0</v>
      </c>
      <c r="M53" s="33"/>
      <c r="N53" s="32"/>
      <c r="O53" s="39"/>
      <c r="P53" s="37">
        <f t="shared" si="3"/>
        <v>0</v>
      </c>
      <c r="Q53" s="40"/>
    </row>
    <row r="54" ht="15.75" customHeight="1">
      <c r="A54" s="32"/>
      <c r="B54" s="33"/>
      <c r="C54" s="33"/>
      <c r="D54" s="34"/>
      <c r="E54" s="35"/>
      <c r="F54" s="33"/>
      <c r="G54" s="36"/>
      <c r="H54" s="37">
        <f t="shared" si="1"/>
        <v>0</v>
      </c>
      <c r="I54" s="33"/>
      <c r="J54" s="33"/>
      <c r="K54" s="39"/>
      <c r="L54" s="37">
        <f t="shared" si="2"/>
        <v>0</v>
      </c>
      <c r="M54" s="33"/>
      <c r="N54" s="32"/>
      <c r="O54" s="39"/>
      <c r="P54" s="37">
        <f t="shared" si="3"/>
        <v>0</v>
      </c>
      <c r="Q54" s="40"/>
    </row>
    <row r="55" ht="15.75" customHeight="1">
      <c r="A55" s="32"/>
      <c r="B55" s="33"/>
      <c r="C55" s="33"/>
      <c r="D55" s="34"/>
      <c r="E55" s="35"/>
      <c r="F55" s="33"/>
      <c r="G55" s="36"/>
      <c r="H55" s="37">
        <f t="shared" si="1"/>
        <v>0</v>
      </c>
      <c r="I55" s="33"/>
      <c r="J55" s="33"/>
      <c r="K55" s="39"/>
      <c r="L55" s="37">
        <f t="shared" si="2"/>
        <v>0</v>
      </c>
      <c r="M55" s="33"/>
      <c r="N55" s="32"/>
      <c r="O55" s="39"/>
      <c r="P55" s="37">
        <f t="shared" si="3"/>
        <v>0</v>
      </c>
      <c r="Q55" s="40"/>
    </row>
    <row r="56" ht="15.75" customHeight="1">
      <c r="A56" s="32"/>
      <c r="B56" s="33"/>
      <c r="C56" s="33"/>
      <c r="D56" s="34"/>
      <c r="E56" s="35"/>
      <c r="F56" s="33"/>
      <c r="G56" s="36"/>
      <c r="H56" s="37">
        <f t="shared" si="1"/>
        <v>0</v>
      </c>
      <c r="I56" s="33"/>
      <c r="J56" s="33"/>
      <c r="K56" s="39"/>
      <c r="L56" s="37">
        <f t="shared" si="2"/>
        <v>0</v>
      </c>
      <c r="M56" s="33"/>
      <c r="N56" s="32"/>
      <c r="O56" s="39"/>
      <c r="P56" s="37">
        <f t="shared" si="3"/>
        <v>0</v>
      </c>
      <c r="Q56" s="40"/>
    </row>
    <row r="57" ht="15.75" customHeight="1">
      <c r="A57" s="32"/>
      <c r="B57" s="33"/>
      <c r="C57" s="33"/>
      <c r="D57" s="34"/>
      <c r="E57" s="35"/>
      <c r="F57" s="33"/>
      <c r="G57" s="36"/>
      <c r="H57" s="37">
        <f t="shared" si="1"/>
        <v>0</v>
      </c>
      <c r="I57" s="33"/>
      <c r="J57" s="33"/>
      <c r="K57" s="39"/>
      <c r="L57" s="37">
        <f t="shared" si="2"/>
        <v>0</v>
      </c>
      <c r="M57" s="33"/>
      <c r="N57" s="32"/>
      <c r="O57" s="39"/>
      <c r="P57" s="37">
        <f t="shared" si="3"/>
        <v>0</v>
      </c>
      <c r="Q57" s="40"/>
    </row>
    <row r="58" ht="15.75" customHeight="1">
      <c r="A58" s="32"/>
      <c r="B58" s="33"/>
      <c r="C58" s="33"/>
      <c r="D58" s="34"/>
      <c r="E58" s="35"/>
      <c r="F58" s="33"/>
      <c r="G58" s="36"/>
      <c r="H58" s="37">
        <f t="shared" si="1"/>
        <v>0</v>
      </c>
      <c r="I58" s="33"/>
      <c r="J58" s="33"/>
      <c r="K58" s="39"/>
      <c r="L58" s="37">
        <f t="shared" si="2"/>
        <v>0</v>
      </c>
      <c r="M58" s="33"/>
      <c r="N58" s="32"/>
      <c r="O58" s="39"/>
      <c r="P58" s="37">
        <f t="shared" si="3"/>
        <v>0</v>
      </c>
      <c r="Q58" s="40"/>
    </row>
    <row r="59" ht="15.75" customHeight="1">
      <c r="A59" s="32"/>
      <c r="B59" s="33"/>
      <c r="C59" s="33"/>
      <c r="D59" s="34"/>
      <c r="E59" s="35"/>
      <c r="F59" s="33"/>
      <c r="G59" s="36"/>
      <c r="H59" s="37">
        <f t="shared" si="1"/>
        <v>0</v>
      </c>
      <c r="I59" s="33"/>
      <c r="J59" s="33"/>
      <c r="K59" s="39"/>
      <c r="L59" s="37">
        <f t="shared" si="2"/>
        <v>0</v>
      </c>
      <c r="M59" s="33"/>
      <c r="N59" s="32"/>
      <c r="O59" s="39"/>
      <c r="P59" s="37">
        <f t="shared" si="3"/>
        <v>0</v>
      </c>
      <c r="Q59" s="40"/>
    </row>
    <row r="60" ht="15.75" customHeight="1">
      <c r="A60" s="32"/>
      <c r="B60" s="33"/>
      <c r="C60" s="33"/>
      <c r="D60" s="34"/>
      <c r="E60" s="35"/>
      <c r="F60" s="33"/>
      <c r="G60" s="36"/>
      <c r="H60" s="37">
        <f t="shared" si="1"/>
        <v>0</v>
      </c>
      <c r="I60" s="33"/>
      <c r="J60" s="33"/>
      <c r="K60" s="39"/>
      <c r="L60" s="37">
        <f t="shared" si="2"/>
        <v>0</v>
      </c>
      <c r="M60" s="33"/>
      <c r="N60" s="32"/>
      <c r="O60" s="39"/>
      <c r="P60" s="37">
        <f t="shared" si="3"/>
        <v>0</v>
      </c>
      <c r="Q60" s="40"/>
    </row>
    <row r="61" ht="15.75" customHeight="1">
      <c r="A61" s="32"/>
      <c r="B61" s="33"/>
      <c r="C61" s="33"/>
      <c r="D61" s="34"/>
      <c r="E61" s="35"/>
      <c r="F61" s="33"/>
      <c r="G61" s="36"/>
      <c r="H61" s="37">
        <f t="shared" si="1"/>
        <v>0</v>
      </c>
      <c r="I61" s="33"/>
      <c r="J61" s="33"/>
      <c r="K61" s="39"/>
      <c r="L61" s="37">
        <f t="shared" si="2"/>
        <v>0</v>
      </c>
      <c r="M61" s="33"/>
      <c r="N61" s="32"/>
      <c r="O61" s="39"/>
      <c r="P61" s="37">
        <f t="shared" si="3"/>
        <v>0</v>
      </c>
      <c r="Q61" s="40"/>
    </row>
    <row r="62" ht="15.75" customHeight="1">
      <c r="A62" s="32"/>
      <c r="B62" s="33"/>
      <c r="C62" s="33"/>
      <c r="D62" s="34"/>
      <c r="E62" s="35"/>
      <c r="F62" s="33"/>
      <c r="G62" s="36"/>
      <c r="H62" s="37">
        <f t="shared" si="1"/>
        <v>0</v>
      </c>
      <c r="I62" s="33"/>
      <c r="J62" s="33"/>
      <c r="K62" s="39"/>
      <c r="L62" s="37">
        <f t="shared" si="2"/>
        <v>0</v>
      </c>
      <c r="M62" s="33"/>
      <c r="N62" s="32"/>
      <c r="O62" s="39"/>
      <c r="P62" s="37">
        <f t="shared" si="3"/>
        <v>0</v>
      </c>
      <c r="Q62" s="40"/>
    </row>
    <row r="63" ht="15.75" customHeight="1">
      <c r="A63" s="32"/>
      <c r="B63" s="33"/>
      <c r="C63" s="33"/>
      <c r="D63" s="34"/>
      <c r="E63" s="35"/>
      <c r="F63" s="33"/>
      <c r="G63" s="36"/>
      <c r="H63" s="37">
        <f t="shared" si="1"/>
        <v>0</v>
      </c>
      <c r="I63" s="33"/>
      <c r="J63" s="33"/>
      <c r="K63" s="39"/>
      <c r="L63" s="37">
        <f t="shared" si="2"/>
        <v>0</v>
      </c>
      <c r="M63" s="33"/>
      <c r="N63" s="32"/>
      <c r="O63" s="39"/>
      <c r="P63" s="37">
        <f t="shared" si="3"/>
        <v>0</v>
      </c>
      <c r="Q63" s="40"/>
    </row>
    <row r="64" ht="15.75" customHeight="1">
      <c r="A64" s="32"/>
      <c r="B64" s="33"/>
      <c r="C64" s="33"/>
      <c r="D64" s="34"/>
      <c r="E64" s="35"/>
      <c r="F64" s="33"/>
      <c r="G64" s="36"/>
      <c r="H64" s="37">
        <f t="shared" si="1"/>
        <v>0</v>
      </c>
      <c r="I64" s="33"/>
      <c r="J64" s="33"/>
      <c r="K64" s="39"/>
      <c r="L64" s="37">
        <f t="shared" si="2"/>
        <v>0</v>
      </c>
      <c r="M64" s="33"/>
      <c r="N64" s="32"/>
      <c r="O64" s="39"/>
      <c r="P64" s="37">
        <f t="shared" si="3"/>
        <v>0</v>
      </c>
      <c r="Q64" s="40"/>
    </row>
    <row r="65" ht="15.75" customHeight="1">
      <c r="A65" s="32"/>
      <c r="B65" s="33"/>
      <c r="C65" s="33"/>
      <c r="D65" s="34"/>
      <c r="E65" s="35"/>
      <c r="F65" s="33"/>
      <c r="G65" s="36"/>
      <c r="H65" s="37">
        <f t="shared" si="1"/>
        <v>0</v>
      </c>
      <c r="I65" s="33"/>
      <c r="J65" s="33"/>
      <c r="K65" s="39"/>
      <c r="L65" s="37">
        <f t="shared" si="2"/>
        <v>0</v>
      </c>
      <c r="M65" s="33"/>
      <c r="N65" s="32"/>
      <c r="O65" s="39"/>
      <c r="P65" s="37">
        <f t="shared" si="3"/>
        <v>0</v>
      </c>
      <c r="Q65" s="40"/>
    </row>
    <row r="66" ht="15.75" customHeight="1">
      <c r="A66" s="32"/>
      <c r="B66" s="33"/>
      <c r="C66" s="33"/>
      <c r="D66" s="34"/>
      <c r="E66" s="35"/>
      <c r="F66" s="33"/>
      <c r="G66" s="36"/>
      <c r="H66" s="37">
        <f t="shared" si="1"/>
        <v>0</v>
      </c>
      <c r="I66" s="33"/>
      <c r="J66" s="33"/>
      <c r="K66" s="39"/>
      <c r="L66" s="37">
        <f t="shared" si="2"/>
        <v>0</v>
      </c>
      <c r="M66" s="33"/>
      <c r="N66" s="32"/>
      <c r="O66" s="39"/>
      <c r="P66" s="37">
        <f t="shared" si="3"/>
        <v>0</v>
      </c>
      <c r="Q66" s="40"/>
    </row>
    <row r="67" ht="15.75" customHeight="1">
      <c r="A67" s="32"/>
      <c r="B67" s="33"/>
      <c r="C67" s="33"/>
      <c r="D67" s="34"/>
      <c r="E67" s="35"/>
      <c r="F67" s="33"/>
      <c r="G67" s="36"/>
      <c r="H67" s="37">
        <f t="shared" si="1"/>
        <v>0</v>
      </c>
      <c r="I67" s="33"/>
      <c r="J67" s="33"/>
      <c r="K67" s="39"/>
      <c r="L67" s="37">
        <f t="shared" si="2"/>
        <v>0</v>
      </c>
      <c r="M67" s="33"/>
      <c r="N67" s="32"/>
      <c r="O67" s="39"/>
      <c r="P67" s="37">
        <f t="shared" si="3"/>
        <v>0</v>
      </c>
      <c r="Q67" s="40"/>
    </row>
    <row r="68" ht="15.75" customHeight="1">
      <c r="A68" s="32"/>
      <c r="B68" s="33"/>
      <c r="C68" s="33"/>
      <c r="D68" s="34"/>
      <c r="E68" s="35"/>
      <c r="F68" s="33"/>
      <c r="G68" s="36"/>
      <c r="H68" s="37">
        <f t="shared" si="1"/>
        <v>0</v>
      </c>
      <c r="I68" s="33"/>
      <c r="J68" s="33"/>
      <c r="K68" s="39"/>
      <c r="L68" s="37">
        <f t="shared" si="2"/>
        <v>0</v>
      </c>
      <c r="M68" s="33"/>
      <c r="N68" s="32"/>
      <c r="O68" s="39"/>
      <c r="P68" s="37">
        <f t="shared" si="3"/>
        <v>0</v>
      </c>
      <c r="Q68" s="40"/>
    </row>
    <row r="69" ht="15.75" customHeight="1">
      <c r="A69" s="32"/>
      <c r="B69" s="33"/>
      <c r="C69" s="33"/>
      <c r="D69" s="34"/>
      <c r="E69" s="35"/>
      <c r="F69" s="33"/>
      <c r="G69" s="36"/>
      <c r="H69" s="37">
        <f t="shared" si="1"/>
        <v>0</v>
      </c>
      <c r="I69" s="33"/>
      <c r="J69" s="33"/>
      <c r="K69" s="39"/>
      <c r="L69" s="37">
        <f t="shared" si="2"/>
        <v>0</v>
      </c>
      <c r="M69" s="33"/>
      <c r="N69" s="32"/>
      <c r="O69" s="39"/>
      <c r="P69" s="37">
        <f t="shared" si="3"/>
        <v>0</v>
      </c>
      <c r="Q69" s="40"/>
    </row>
    <row r="70" ht="15.75" customHeight="1">
      <c r="A70" s="32"/>
      <c r="B70" s="33"/>
      <c r="C70" s="33"/>
      <c r="D70" s="34"/>
      <c r="E70" s="35"/>
      <c r="F70" s="33"/>
      <c r="G70" s="36"/>
      <c r="H70" s="37">
        <f t="shared" si="1"/>
        <v>0</v>
      </c>
      <c r="I70" s="33"/>
      <c r="J70" s="33"/>
      <c r="K70" s="39"/>
      <c r="L70" s="37">
        <f t="shared" si="2"/>
        <v>0</v>
      </c>
      <c r="M70" s="33"/>
      <c r="N70" s="32"/>
      <c r="O70" s="39"/>
      <c r="P70" s="37">
        <f t="shared" si="3"/>
        <v>0</v>
      </c>
      <c r="Q70" s="40"/>
    </row>
    <row r="71" ht="15.75" customHeight="1">
      <c r="A71" s="32"/>
      <c r="B71" s="33"/>
      <c r="C71" s="33"/>
      <c r="D71" s="34"/>
      <c r="E71" s="35"/>
      <c r="F71" s="33"/>
      <c r="G71" s="36"/>
      <c r="H71" s="37">
        <f t="shared" si="1"/>
        <v>0</v>
      </c>
      <c r="I71" s="33"/>
      <c r="J71" s="33"/>
      <c r="K71" s="39"/>
      <c r="L71" s="37">
        <f t="shared" si="2"/>
        <v>0</v>
      </c>
      <c r="M71" s="33"/>
      <c r="N71" s="32"/>
      <c r="O71" s="39"/>
      <c r="P71" s="37">
        <f t="shared" si="3"/>
        <v>0</v>
      </c>
      <c r="Q71" s="40"/>
    </row>
    <row r="72" ht="15.75" customHeight="1">
      <c r="A72" s="32"/>
      <c r="B72" s="33"/>
      <c r="C72" s="33"/>
      <c r="D72" s="34"/>
      <c r="E72" s="35"/>
      <c r="F72" s="33"/>
      <c r="G72" s="36"/>
      <c r="H72" s="37">
        <f t="shared" si="1"/>
        <v>0</v>
      </c>
      <c r="I72" s="33"/>
      <c r="J72" s="33"/>
      <c r="K72" s="39"/>
      <c r="L72" s="37">
        <f t="shared" si="2"/>
        <v>0</v>
      </c>
      <c r="M72" s="33"/>
      <c r="N72" s="32"/>
      <c r="O72" s="39"/>
      <c r="P72" s="37">
        <f t="shared" si="3"/>
        <v>0</v>
      </c>
      <c r="Q72" s="40"/>
    </row>
    <row r="73" ht="15.75" customHeight="1">
      <c r="A73" s="32"/>
      <c r="B73" s="33"/>
      <c r="C73" s="33"/>
      <c r="D73" s="34"/>
      <c r="E73" s="35"/>
      <c r="F73" s="33"/>
      <c r="G73" s="36"/>
      <c r="H73" s="37">
        <f t="shared" si="1"/>
        <v>0</v>
      </c>
      <c r="I73" s="33"/>
      <c r="J73" s="33"/>
      <c r="K73" s="39"/>
      <c r="L73" s="37">
        <f t="shared" si="2"/>
        <v>0</v>
      </c>
      <c r="M73" s="33"/>
      <c r="N73" s="32"/>
      <c r="O73" s="39"/>
      <c r="P73" s="37">
        <f t="shared" si="3"/>
        <v>0</v>
      </c>
      <c r="Q73" s="40"/>
    </row>
    <row r="74" ht="15.75" customHeight="1">
      <c r="A74" s="32"/>
      <c r="B74" s="33"/>
      <c r="C74" s="33"/>
      <c r="D74" s="34"/>
      <c r="E74" s="35"/>
      <c r="F74" s="33"/>
      <c r="G74" s="36"/>
      <c r="H74" s="37">
        <f t="shared" si="1"/>
        <v>0</v>
      </c>
      <c r="I74" s="33"/>
      <c r="J74" s="33"/>
      <c r="K74" s="39"/>
      <c r="L74" s="37">
        <f t="shared" si="2"/>
        <v>0</v>
      </c>
      <c r="M74" s="33"/>
      <c r="N74" s="32"/>
      <c r="O74" s="39"/>
      <c r="P74" s="37">
        <f t="shared" si="3"/>
        <v>0</v>
      </c>
      <c r="Q74" s="40"/>
    </row>
    <row r="75" ht="15.75" customHeight="1">
      <c r="A75" s="32"/>
      <c r="B75" s="33"/>
      <c r="C75" s="33"/>
      <c r="D75" s="34"/>
      <c r="E75" s="35"/>
      <c r="F75" s="33"/>
      <c r="G75" s="36"/>
      <c r="H75" s="37">
        <f t="shared" si="1"/>
        <v>0</v>
      </c>
      <c r="I75" s="33"/>
      <c r="J75" s="33"/>
      <c r="K75" s="39"/>
      <c r="L75" s="37">
        <f t="shared" si="2"/>
        <v>0</v>
      </c>
      <c r="M75" s="33"/>
      <c r="N75" s="32"/>
      <c r="O75" s="39"/>
      <c r="P75" s="37">
        <f t="shared" si="3"/>
        <v>0</v>
      </c>
      <c r="Q75" s="40"/>
    </row>
    <row r="76" ht="15.75" customHeight="1">
      <c r="A76" s="32"/>
      <c r="B76" s="33"/>
      <c r="C76" s="33"/>
      <c r="D76" s="34"/>
      <c r="E76" s="35"/>
      <c r="F76" s="33"/>
      <c r="G76" s="36"/>
      <c r="H76" s="37">
        <f t="shared" si="1"/>
        <v>0</v>
      </c>
      <c r="I76" s="33"/>
      <c r="J76" s="33"/>
      <c r="K76" s="39"/>
      <c r="L76" s="37">
        <f t="shared" si="2"/>
        <v>0</v>
      </c>
      <c r="M76" s="33"/>
      <c r="N76" s="32"/>
      <c r="O76" s="39"/>
      <c r="P76" s="37">
        <f t="shared" si="3"/>
        <v>0</v>
      </c>
      <c r="Q76" s="40"/>
    </row>
    <row r="77" ht="15.75" customHeight="1">
      <c r="A77" s="32"/>
      <c r="B77" s="33"/>
      <c r="C77" s="33"/>
      <c r="D77" s="34"/>
      <c r="E77" s="35"/>
      <c r="F77" s="33"/>
      <c r="G77" s="36"/>
      <c r="H77" s="37">
        <f t="shared" si="1"/>
        <v>0</v>
      </c>
      <c r="I77" s="33"/>
      <c r="J77" s="33"/>
      <c r="K77" s="39"/>
      <c r="L77" s="37">
        <f t="shared" si="2"/>
        <v>0</v>
      </c>
      <c r="M77" s="33"/>
      <c r="N77" s="32"/>
      <c r="O77" s="39"/>
      <c r="P77" s="37">
        <f t="shared" si="3"/>
        <v>0</v>
      </c>
      <c r="Q77" s="40"/>
    </row>
    <row r="78" ht="15.75" customHeight="1">
      <c r="A78" s="32"/>
      <c r="B78" s="33"/>
      <c r="C78" s="33"/>
      <c r="D78" s="34"/>
      <c r="E78" s="35"/>
      <c r="F78" s="33"/>
      <c r="G78" s="36"/>
      <c r="H78" s="37">
        <f t="shared" si="1"/>
        <v>0</v>
      </c>
      <c r="I78" s="33"/>
      <c r="J78" s="33"/>
      <c r="K78" s="39"/>
      <c r="L78" s="37">
        <f t="shared" si="2"/>
        <v>0</v>
      </c>
      <c r="M78" s="33"/>
      <c r="N78" s="32"/>
      <c r="O78" s="39"/>
      <c r="P78" s="37">
        <f t="shared" si="3"/>
        <v>0</v>
      </c>
      <c r="Q78" s="40"/>
    </row>
    <row r="79" ht="15.75" customHeight="1">
      <c r="A79" s="32"/>
      <c r="B79" s="33"/>
      <c r="C79" s="33"/>
      <c r="D79" s="34"/>
      <c r="E79" s="35"/>
      <c r="F79" s="33"/>
      <c r="G79" s="36"/>
      <c r="H79" s="37">
        <f t="shared" si="1"/>
        <v>0</v>
      </c>
      <c r="I79" s="33"/>
      <c r="J79" s="33"/>
      <c r="K79" s="39"/>
      <c r="L79" s="37">
        <f t="shared" si="2"/>
        <v>0</v>
      </c>
      <c r="M79" s="33"/>
      <c r="N79" s="32"/>
      <c r="O79" s="39"/>
      <c r="P79" s="37">
        <f t="shared" si="3"/>
        <v>0</v>
      </c>
      <c r="Q79" s="40"/>
    </row>
    <row r="80" ht="15.75" customHeight="1">
      <c r="A80" s="32"/>
      <c r="B80" s="33"/>
      <c r="C80" s="33"/>
      <c r="D80" s="34"/>
      <c r="E80" s="35"/>
      <c r="F80" s="33"/>
      <c r="G80" s="36"/>
      <c r="H80" s="37">
        <f t="shared" si="1"/>
        <v>0</v>
      </c>
      <c r="I80" s="33"/>
      <c r="J80" s="33"/>
      <c r="K80" s="39"/>
      <c r="L80" s="37">
        <f t="shared" si="2"/>
        <v>0</v>
      </c>
      <c r="M80" s="33"/>
      <c r="N80" s="32"/>
      <c r="O80" s="39"/>
      <c r="P80" s="37">
        <f t="shared" si="3"/>
        <v>0</v>
      </c>
      <c r="Q80" s="40"/>
    </row>
    <row r="81" ht="15.75" customHeight="1">
      <c r="A81" s="32"/>
      <c r="B81" s="33"/>
      <c r="C81" s="33"/>
      <c r="D81" s="34"/>
      <c r="E81" s="35"/>
      <c r="F81" s="33"/>
      <c r="G81" s="36"/>
      <c r="H81" s="37">
        <f t="shared" si="1"/>
        <v>0</v>
      </c>
      <c r="I81" s="33"/>
      <c r="J81" s="33"/>
      <c r="K81" s="39"/>
      <c r="L81" s="37">
        <f t="shared" si="2"/>
        <v>0</v>
      </c>
      <c r="M81" s="33"/>
      <c r="N81" s="32"/>
      <c r="O81" s="39"/>
      <c r="P81" s="37">
        <f t="shared" si="3"/>
        <v>0</v>
      </c>
      <c r="Q81" s="40"/>
    </row>
    <row r="82" ht="15.75" customHeight="1">
      <c r="A82" s="32"/>
      <c r="B82" s="33"/>
      <c r="C82" s="33"/>
      <c r="D82" s="34"/>
      <c r="E82" s="35"/>
      <c r="F82" s="33"/>
      <c r="G82" s="36"/>
      <c r="H82" s="37">
        <f t="shared" si="1"/>
        <v>0</v>
      </c>
      <c r="I82" s="33"/>
      <c r="J82" s="33"/>
      <c r="K82" s="39"/>
      <c r="L82" s="37">
        <f t="shared" si="2"/>
        <v>0</v>
      </c>
      <c r="M82" s="33"/>
      <c r="N82" s="32"/>
      <c r="O82" s="39"/>
      <c r="P82" s="37">
        <f t="shared" si="3"/>
        <v>0</v>
      </c>
      <c r="Q82" s="40"/>
    </row>
    <row r="83" ht="15.75" customHeight="1">
      <c r="A83" s="32"/>
      <c r="B83" s="33"/>
      <c r="C83" s="33"/>
      <c r="D83" s="34"/>
      <c r="E83" s="35"/>
      <c r="F83" s="33"/>
      <c r="G83" s="36"/>
      <c r="H83" s="37">
        <f t="shared" si="1"/>
        <v>0</v>
      </c>
      <c r="I83" s="33"/>
      <c r="J83" s="33"/>
      <c r="K83" s="39"/>
      <c r="L83" s="37">
        <f t="shared" si="2"/>
        <v>0</v>
      </c>
      <c r="M83" s="33"/>
      <c r="N83" s="32"/>
      <c r="O83" s="39"/>
      <c r="P83" s="37">
        <f t="shared" si="3"/>
        <v>0</v>
      </c>
      <c r="Q83" s="40"/>
    </row>
    <row r="84" ht="15.75" customHeight="1">
      <c r="A84" s="32"/>
      <c r="B84" s="33"/>
      <c r="C84" s="33"/>
      <c r="D84" s="34"/>
      <c r="E84" s="35"/>
      <c r="F84" s="33"/>
      <c r="G84" s="36"/>
      <c r="H84" s="37">
        <f t="shared" si="1"/>
        <v>0</v>
      </c>
      <c r="I84" s="33"/>
      <c r="J84" s="33"/>
      <c r="K84" s="39"/>
      <c r="L84" s="37">
        <f t="shared" si="2"/>
        <v>0</v>
      </c>
      <c r="M84" s="33"/>
      <c r="N84" s="32"/>
      <c r="O84" s="39"/>
      <c r="P84" s="37">
        <f t="shared" si="3"/>
        <v>0</v>
      </c>
      <c r="Q84" s="40"/>
    </row>
    <row r="85" ht="15.75" customHeight="1">
      <c r="A85" s="32"/>
      <c r="B85" s="33"/>
      <c r="C85" s="33"/>
      <c r="D85" s="34"/>
      <c r="E85" s="35"/>
      <c r="F85" s="33"/>
      <c r="G85" s="36"/>
      <c r="H85" s="37">
        <f t="shared" si="1"/>
        <v>0</v>
      </c>
      <c r="I85" s="33"/>
      <c r="J85" s="33"/>
      <c r="K85" s="39"/>
      <c r="L85" s="37">
        <f t="shared" si="2"/>
        <v>0</v>
      </c>
      <c r="M85" s="33"/>
      <c r="N85" s="32"/>
      <c r="O85" s="39"/>
      <c r="P85" s="37">
        <f t="shared" si="3"/>
        <v>0</v>
      </c>
      <c r="Q85" s="40"/>
    </row>
    <row r="86" ht="15.75" customHeight="1">
      <c r="A86" s="32"/>
      <c r="B86" s="33"/>
      <c r="C86" s="33"/>
      <c r="D86" s="34"/>
      <c r="E86" s="35"/>
      <c r="F86" s="33"/>
      <c r="G86" s="36"/>
      <c r="H86" s="37">
        <f t="shared" si="1"/>
        <v>0</v>
      </c>
      <c r="I86" s="33"/>
      <c r="J86" s="33"/>
      <c r="K86" s="39"/>
      <c r="L86" s="37">
        <f t="shared" si="2"/>
        <v>0</v>
      </c>
      <c r="M86" s="33"/>
      <c r="N86" s="32"/>
      <c r="O86" s="39"/>
      <c r="P86" s="37">
        <f t="shared" si="3"/>
        <v>0</v>
      </c>
      <c r="Q86" s="40"/>
    </row>
    <row r="87" ht="15.75" customHeight="1">
      <c r="A87" s="32"/>
      <c r="B87" s="33"/>
      <c r="C87" s="33"/>
      <c r="D87" s="34"/>
      <c r="E87" s="35"/>
      <c r="F87" s="33"/>
      <c r="G87" s="36"/>
      <c r="H87" s="37">
        <f t="shared" si="1"/>
        <v>0</v>
      </c>
      <c r="I87" s="33"/>
      <c r="J87" s="33"/>
      <c r="K87" s="39"/>
      <c r="L87" s="37">
        <f t="shared" si="2"/>
        <v>0</v>
      </c>
      <c r="M87" s="33"/>
      <c r="N87" s="32"/>
      <c r="O87" s="39"/>
      <c r="P87" s="37">
        <f t="shared" si="3"/>
        <v>0</v>
      </c>
      <c r="Q87" s="40"/>
    </row>
    <row r="88" ht="15.75" customHeight="1">
      <c r="A88" s="32"/>
      <c r="B88" s="33"/>
      <c r="C88" s="33"/>
      <c r="D88" s="34"/>
      <c r="E88" s="35"/>
      <c r="F88" s="33"/>
      <c r="G88" s="36"/>
      <c r="H88" s="37">
        <f t="shared" si="1"/>
        <v>0</v>
      </c>
      <c r="I88" s="33"/>
      <c r="J88" s="33"/>
      <c r="K88" s="39"/>
      <c r="L88" s="37">
        <f t="shared" si="2"/>
        <v>0</v>
      </c>
      <c r="M88" s="33"/>
      <c r="N88" s="32"/>
      <c r="O88" s="39"/>
      <c r="P88" s="37">
        <f t="shared" si="3"/>
        <v>0</v>
      </c>
      <c r="Q88" s="40"/>
    </row>
    <row r="89" ht="15.75" customHeight="1">
      <c r="A89" s="32"/>
      <c r="B89" s="33"/>
      <c r="C89" s="33"/>
      <c r="D89" s="34"/>
      <c r="E89" s="35"/>
      <c r="F89" s="33"/>
      <c r="G89" s="36"/>
      <c r="H89" s="37">
        <f t="shared" si="1"/>
        <v>0</v>
      </c>
      <c r="I89" s="33"/>
      <c r="J89" s="33"/>
      <c r="K89" s="39"/>
      <c r="L89" s="37">
        <f t="shared" si="2"/>
        <v>0</v>
      </c>
      <c r="M89" s="33"/>
      <c r="N89" s="32"/>
      <c r="O89" s="39"/>
      <c r="P89" s="37">
        <f t="shared" si="3"/>
        <v>0</v>
      </c>
      <c r="Q89" s="40"/>
    </row>
    <row r="90" ht="15.75" customHeight="1">
      <c r="A90" s="32"/>
      <c r="B90" s="33"/>
      <c r="C90" s="33"/>
      <c r="D90" s="34"/>
      <c r="E90" s="35"/>
      <c r="F90" s="33"/>
      <c r="G90" s="36"/>
      <c r="H90" s="37">
        <f t="shared" si="1"/>
        <v>0</v>
      </c>
      <c r="I90" s="33"/>
      <c r="J90" s="33"/>
      <c r="K90" s="39"/>
      <c r="L90" s="37">
        <f t="shared" si="2"/>
        <v>0</v>
      </c>
      <c r="M90" s="33"/>
      <c r="N90" s="32"/>
      <c r="O90" s="39"/>
      <c r="P90" s="37">
        <f t="shared" si="3"/>
        <v>0</v>
      </c>
      <c r="Q90" s="40"/>
    </row>
    <row r="91" ht="15.75" customHeight="1">
      <c r="A91" s="32"/>
      <c r="B91" s="33"/>
      <c r="C91" s="33"/>
      <c r="D91" s="34"/>
      <c r="E91" s="35"/>
      <c r="F91" s="33"/>
      <c r="G91" s="36"/>
      <c r="H91" s="37">
        <f t="shared" si="1"/>
        <v>0</v>
      </c>
      <c r="I91" s="33"/>
      <c r="J91" s="33"/>
      <c r="K91" s="39"/>
      <c r="L91" s="37">
        <f t="shared" si="2"/>
        <v>0</v>
      </c>
      <c r="M91" s="33"/>
      <c r="N91" s="32"/>
      <c r="O91" s="39"/>
      <c r="P91" s="37">
        <f t="shared" si="3"/>
        <v>0</v>
      </c>
      <c r="Q91" s="40"/>
    </row>
    <row r="92" ht="15.75" customHeight="1">
      <c r="A92" s="32"/>
      <c r="B92" s="33"/>
      <c r="C92" s="33"/>
      <c r="D92" s="34"/>
      <c r="E92" s="35"/>
      <c r="F92" s="33"/>
      <c r="G92" s="36"/>
      <c r="H92" s="37">
        <f t="shared" si="1"/>
        <v>0</v>
      </c>
      <c r="I92" s="33"/>
      <c r="J92" s="33"/>
      <c r="K92" s="39"/>
      <c r="L92" s="37">
        <f t="shared" si="2"/>
        <v>0</v>
      </c>
      <c r="M92" s="33"/>
      <c r="N92" s="32"/>
      <c r="O92" s="39"/>
      <c r="P92" s="37">
        <f t="shared" si="3"/>
        <v>0</v>
      </c>
      <c r="Q92" s="40"/>
    </row>
    <row r="93" ht="15.75" customHeight="1">
      <c r="A93" s="32"/>
      <c r="B93" s="33"/>
      <c r="C93" s="33"/>
      <c r="D93" s="34"/>
      <c r="E93" s="35"/>
      <c r="F93" s="33"/>
      <c r="G93" s="36"/>
      <c r="H93" s="37">
        <f t="shared" si="1"/>
        <v>0</v>
      </c>
      <c r="I93" s="33"/>
      <c r="J93" s="33"/>
      <c r="K93" s="39"/>
      <c r="L93" s="37">
        <f t="shared" si="2"/>
        <v>0</v>
      </c>
      <c r="M93" s="33"/>
      <c r="N93" s="32"/>
      <c r="O93" s="39"/>
      <c r="P93" s="37">
        <f t="shared" si="3"/>
        <v>0</v>
      </c>
      <c r="Q93" s="40"/>
    </row>
    <row r="94" ht="15.75" customHeight="1">
      <c r="A94" s="32"/>
      <c r="B94" s="33"/>
      <c r="C94" s="33"/>
      <c r="D94" s="34"/>
      <c r="E94" s="35"/>
      <c r="F94" s="33"/>
      <c r="G94" s="36"/>
      <c r="H94" s="37">
        <f t="shared" si="1"/>
        <v>0</v>
      </c>
      <c r="I94" s="33"/>
      <c r="J94" s="33"/>
      <c r="K94" s="39"/>
      <c r="L94" s="37">
        <f t="shared" si="2"/>
        <v>0</v>
      </c>
      <c r="M94" s="33"/>
      <c r="N94" s="32"/>
      <c r="O94" s="39"/>
      <c r="P94" s="37">
        <f t="shared" si="3"/>
        <v>0</v>
      </c>
      <c r="Q94" s="40"/>
    </row>
    <row r="95" ht="15.75" customHeight="1">
      <c r="A95" s="32"/>
      <c r="B95" s="33"/>
      <c r="C95" s="33"/>
      <c r="D95" s="34"/>
      <c r="E95" s="35"/>
      <c r="F95" s="33"/>
      <c r="G95" s="36"/>
      <c r="H95" s="37">
        <f t="shared" si="1"/>
        <v>0</v>
      </c>
      <c r="I95" s="33"/>
      <c r="J95" s="33"/>
      <c r="K95" s="39"/>
      <c r="L95" s="37">
        <f t="shared" si="2"/>
        <v>0</v>
      </c>
      <c r="M95" s="33"/>
      <c r="N95" s="32"/>
      <c r="O95" s="39"/>
      <c r="P95" s="37">
        <f t="shared" si="3"/>
        <v>0</v>
      </c>
      <c r="Q95" s="40"/>
    </row>
    <row r="96" ht="15.75" customHeight="1">
      <c r="A96" s="32"/>
      <c r="B96" s="33"/>
      <c r="C96" s="33"/>
      <c r="D96" s="34"/>
      <c r="E96" s="35"/>
      <c r="F96" s="33"/>
      <c r="G96" s="36"/>
      <c r="H96" s="37">
        <f t="shared" si="1"/>
        <v>0</v>
      </c>
      <c r="I96" s="33"/>
      <c r="J96" s="33"/>
      <c r="K96" s="39"/>
      <c r="L96" s="37">
        <f t="shared" si="2"/>
        <v>0</v>
      </c>
      <c r="M96" s="33"/>
      <c r="N96" s="32"/>
      <c r="O96" s="39"/>
      <c r="P96" s="37">
        <f t="shared" si="3"/>
        <v>0</v>
      </c>
      <c r="Q96" s="40"/>
    </row>
    <row r="97" ht="15.75" customHeight="1">
      <c r="A97" s="32"/>
      <c r="B97" s="33"/>
      <c r="C97" s="33"/>
      <c r="D97" s="34"/>
      <c r="E97" s="35"/>
      <c r="F97" s="33"/>
      <c r="G97" s="36"/>
      <c r="H97" s="37">
        <f t="shared" si="1"/>
        <v>0</v>
      </c>
      <c r="I97" s="33"/>
      <c r="J97" s="33"/>
      <c r="K97" s="39"/>
      <c r="L97" s="37">
        <f t="shared" si="2"/>
        <v>0</v>
      </c>
      <c r="M97" s="33"/>
      <c r="N97" s="32"/>
      <c r="O97" s="39"/>
      <c r="P97" s="37">
        <f t="shared" si="3"/>
        <v>0</v>
      </c>
      <c r="Q97" s="40"/>
    </row>
    <row r="98" ht="15.75" customHeight="1">
      <c r="A98" s="32"/>
      <c r="B98" s="33"/>
      <c r="C98" s="33"/>
      <c r="D98" s="34"/>
      <c r="E98" s="35"/>
      <c r="F98" s="33"/>
      <c r="G98" s="36"/>
      <c r="H98" s="37">
        <f t="shared" si="1"/>
        <v>0</v>
      </c>
      <c r="I98" s="33"/>
      <c r="J98" s="33"/>
      <c r="K98" s="39"/>
      <c r="L98" s="37">
        <f t="shared" si="2"/>
        <v>0</v>
      </c>
      <c r="M98" s="33"/>
      <c r="N98" s="32"/>
      <c r="O98" s="39"/>
      <c r="P98" s="37">
        <f t="shared" si="3"/>
        <v>0</v>
      </c>
      <c r="Q98" s="40"/>
    </row>
    <row r="99" ht="15.75" customHeight="1">
      <c r="A99" s="32"/>
      <c r="B99" s="33"/>
      <c r="C99" s="33"/>
      <c r="D99" s="34"/>
      <c r="E99" s="35"/>
      <c r="F99" s="33"/>
      <c r="G99" s="36"/>
      <c r="H99" s="37">
        <f t="shared" si="1"/>
        <v>0</v>
      </c>
      <c r="I99" s="33"/>
      <c r="J99" s="33"/>
      <c r="K99" s="39"/>
      <c r="L99" s="37">
        <f t="shared" si="2"/>
        <v>0</v>
      </c>
      <c r="M99" s="33"/>
      <c r="N99" s="32"/>
      <c r="O99" s="39"/>
      <c r="P99" s="37">
        <f t="shared" si="3"/>
        <v>0</v>
      </c>
      <c r="Q99" s="40"/>
    </row>
    <row r="100" ht="15.75" customHeight="1">
      <c r="A100" s="32"/>
      <c r="B100" s="33"/>
      <c r="C100" s="33"/>
      <c r="D100" s="34"/>
      <c r="E100" s="35"/>
      <c r="F100" s="33"/>
      <c r="G100" s="36"/>
      <c r="H100" s="37">
        <f t="shared" si="1"/>
        <v>0</v>
      </c>
      <c r="I100" s="33"/>
      <c r="J100" s="33"/>
      <c r="K100" s="39"/>
      <c r="L100" s="37">
        <f t="shared" si="2"/>
        <v>0</v>
      </c>
      <c r="M100" s="33"/>
      <c r="N100" s="32"/>
      <c r="O100" s="39"/>
      <c r="P100" s="37">
        <f t="shared" si="3"/>
        <v>0</v>
      </c>
      <c r="Q100" s="40"/>
    </row>
    <row r="101" ht="15.75" customHeight="1">
      <c r="A101" s="32"/>
      <c r="B101" s="33"/>
      <c r="C101" s="33"/>
      <c r="D101" s="34"/>
      <c r="E101" s="35"/>
      <c r="F101" s="33"/>
      <c r="G101" s="36"/>
      <c r="H101" s="37">
        <f t="shared" si="1"/>
        <v>0</v>
      </c>
      <c r="I101" s="33"/>
      <c r="J101" s="33"/>
      <c r="K101" s="39"/>
      <c r="L101" s="37">
        <f t="shared" si="2"/>
        <v>0</v>
      </c>
      <c r="M101" s="33"/>
      <c r="N101" s="32"/>
      <c r="O101" s="39"/>
      <c r="P101" s="37">
        <f t="shared" si="3"/>
        <v>0</v>
      </c>
      <c r="Q101" s="40"/>
    </row>
    <row r="102" ht="15.75" customHeight="1">
      <c r="A102" s="32"/>
      <c r="B102" s="33"/>
      <c r="C102" s="33"/>
      <c r="D102" s="34"/>
      <c r="E102" s="35"/>
      <c r="F102" s="33"/>
      <c r="G102" s="36"/>
      <c r="H102" s="37">
        <f t="shared" si="1"/>
        <v>0</v>
      </c>
      <c r="I102" s="33"/>
      <c r="J102" s="33"/>
      <c r="K102" s="39"/>
      <c r="L102" s="37">
        <f t="shared" si="2"/>
        <v>0</v>
      </c>
      <c r="M102" s="33"/>
      <c r="N102" s="32"/>
      <c r="O102" s="39"/>
      <c r="P102" s="37">
        <f t="shared" si="3"/>
        <v>0</v>
      </c>
      <c r="Q102" s="40"/>
    </row>
    <row r="103" ht="15.75" customHeight="1">
      <c r="A103" s="32"/>
      <c r="B103" s="33"/>
      <c r="C103" s="33"/>
      <c r="D103" s="34"/>
      <c r="E103" s="35"/>
      <c r="F103" s="33"/>
      <c r="G103" s="36"/>
      <c r="H103" s="37">
        <f t="shared" si="1"/>
        <v>0</v>
      </c>
      <c r="I103" s="33"/>
      <c r="J103" s="33"/>
      <c r="K103" s="39"/>
      <c r="L103" s="37">
        <f t="shared" si="2"/>
        <v>0</v>
      </c>
      <c r="M103" s="33"/>
      <c r="N103" s="32"/>
      <c r="O103" s="39"/>
      <c r="P103" s="37">
        <f t="shared" si="3"/>
        <v>0</v>
      </c>
      <c r="Q103" s="40"/>
    </row>
    <row r="104" ht="15.75" customHeight="1">
      <c r="A104" s="32"/>
      <c r="B104" s="33"/>
      <c r="C104" s="33"/>
      <c r="D104" s="34"/>
      <c r="E104" s="35"/>
      <c r="F104" s="33"/>
      <c r="G104" s="36"/>
      <c r="H104" s="37">
        <f t="shared" si="1"/>
        <v>0</v>
      </c>
      <c r="I104" s="33"/>
      <c r="J104" s="33"/>
      <c r="K104" s="39"/>
      <c r="L104" s="37">
        <f t="shared" si="2"/>
        <v>0</v>
      </c>
      <c r="M104" s="33"/>
      <c r="N104" s="32"/>
      <c r="O104" s="39"/>
      <c r="P104" s="37">
        <f t="shared" si="3"/>
        <v>0</v>
      </c>
      <c r="Q104" s="40"/>
    </row>
    <row r="105" ht="15.75" customHeight="1">
      <c r="A105" s="32"/>
      <c r="B105" s="33"/>
      <c r="C105" s="33"/>
      <c r="D105" s="34"/>
      <c r="E105" s="35"/>
      <c r="F105" s="33"/>
      <c r="G105" s="36"/>
      <c r="H105" s="37">
        <f t="shared" si="1"/>
        <v>0</v>
      </c>
      <c r="I105" s="33"/>
      <c r="J105" s="33"/>
      <c r="K105" s="39"/>
      <c r="L105" s="37">
        <f t="shared" si="2"/>
        <v>0</v>
      </c>
      <c r="M105" s="33"/>
      <c r="N105" s="32"/>
      <c r="O105" s="39"/>
      <c r="P105" s="37">
        <f t="shared" si="3"/>
        <v>0</v>
      </c>
      <c r="Q105" s="40"/>
    </row>
    <row r="106" ht="15.75" customHeight="1">
      <c r="A106" s="32"/>
      <c r="B106" s="33"/>
      <c r="C106" s="33"/>
      <c r="D106" s="34"/>
      <c r="E106" s="35"/>
      <c r="F106" s="33"/>
      <c r="G106" s="36"/>
      <c r="H106" s="37">
        <f t="shared" si="1"/>
        <v>0</v>
      </c>
      <c r="I106" s="33"/>
      <c r="J106" s="33"/>
      <c r="K106" s="39"/>
      <c r="L106" s="37">
        <f t="shared" si="2"/>
        <v>0</v>
      </c>
      <c r="M106" s="33"/>
      <c r="N106" s="32"/>
      <c r="O106" s="39"/>
      <c r="P106" s="37">
        <f t="shared" si="3"/>
        <v>0</v>
      </c>
      <c r="Q106" s="40"/>
    </row>
    <row r="107" ht="15.75" customHeight="1">
      <c r="A107" s="32"/>
      <c r="B107" s="33"/>
      <c r="C107" s="33"/>
      <c r="D107" s="34"/>
      <c r="E107" s="35"/>
      <c r="F107" s="33"/>
      <c r="G107" s="36"/>
      <c r="H107" s="37">
        <f t="shared" si="1"/>
        <v>0</v>
      </c>
      <c r="I107" s="33"/>
      <c r="J107" s="33"/>
      <c r="K107" s="39"/>
      <c r="L107" s="37">
        <f t="shared" si="2"/>
        <v>0</v>
      </c>
      <c r="M107" s="33"/>
      <c r="N107" s="32"/>
      <c r="O107" s="39"/>
      <c r="P107" s="37">
        <f t="shared" si="3"/>
        <v>0</v>
      </c>
      <c r="Q107" s="40"/>
    </row>
    <row r="108" ht="15.75" customHeight="1">
      <c r="A108" s="32"/>
      <c r="B108" s="33"/>
      <c r="C108" s="33"/>
      <c r="D108" s="34"/>
      <c r="E108" s="35"/>
      <c r="F108" s="33"/>
      <c r="G108" s="36"/>
      <c r="H108" s="37">
        <f t="shared" si="1"/>
        <v>0</v>
      </c>
      <c r="I108" s="33"/>
      <c r="J108" s="33"/>
      <c r="K108" s="39"/>
      <c r="L108" s="37">
        <f t="shared" si="2"/>
        <v>0</v>
      </c>
      <c r="M108" s="33"/>
      <c r="N108" s="32"/>
      <c r="O108" s="39"/>
      <c r="P108" s="37">
        <f t="shared" si="3"/>
        <v>0</v>
      </c>
      <c r="Q108" s="40"/>
    </row>
    <row r="109" ht="15.75" customHeight="1">
      <c r="A109" s="32"/>
      <c r="B109" s="33"/>
      <c r="C109" s="33"/>
      <c r="D109" s="34"/>
      <c r="E109" s="35"/>
      <c r="F109" s="33"/>
      <c r="G109" s="36"/>
      <c r="H109" s="37">
        <f t="shared" si="1"/>
        <v>0</v>
      </c>
      <c r="I109" s="33"/>
      <c r="J109" s="33"/>
      <c r="K109" s="39"/>
      <c r="L109" s="37">
        <f t="shared" si="2"/>
        <v>0</v>
      </c>
      <c r="M109" s="33"/>
      <c r="N109" s="32"/>
      <c r="O109" s="39"/>
      <c r="P109" s="37">
        <f t="shared" si="3"/>
        <v>0</v>
      </c>
      <c r="Q109" s="40"/>
    </row>
    <row r="110" ht="15.75" customHeight="1">
      <c r="A110" s="32"/>
      <c r="B110" s="33"/>
      <c r="C110" s="33"/>
      <c r="D110" s="34"/>
      <c r="E110" s="35"/>
      <c r="F110" s="33"/>
      <c r="G110" s="36"/>
      <c r="H110" s="37">
        <f t="shared" si="1"/>
        <v>0</v>
      </c>
      <c r="I110" s="33"/>
      <c r="J110" s="33"/>
      <c r="K110" s="39"/>
      <c r="L110" s="37">
        <f t="shared" si="2"/>
        <v>0</v>
      </c>
      <c r="M110" s="33"/>
      <c r="N110" s="32"/>
      <c r="O110" s="39"/>
      <c r="P110" s="37">
        <f t="shared" si="3"/>
        <v>0</v>
      </c>
      <c r="Q110" s="40"/>
    </row>
    <row r="111" ht="15.75" customHeight="1">
      <c r="A111" s="32"/>
      <c r="B111" s="33"/>
      <c r="C111" s="33"/>
      <c r="D111" s="34"/>
      <c r="E111" s="35"/>
      <c r="F111" s="33"/>
      <c r="G111" s="36"/>
      <c r="H111" s="37">
        <f t="shared" si="1"/>
        <v>0</v>
      </c>
      <c r="I111" s="33"/>
      <c r="J111" s="33"/>
      <c r="K111" s="39"/>
      <c r="L111" s="37">
        <f t="shared" si="2"/>
        <v>0</v>
      </c>
      <c r="M111" s="33"/>
      <c r="N111" s="32"/>
      <c r="O111" s="39"/>
      <c r="P111" s="37">
        <f t="shared" si="3"/>
        <v>0</v>
      </c>
      <c r="Q111" s="40"/>
    </row>
    <row r="112" ht="15.75" customHeight="1">
      <c r="A112" s="32"/>
      <c r="B112" s="33"/>
      <c r="C112" s="33"/>
      <c r="D112" s="34"/>
      <c r="E112" s="35"/>
      <c r="F112" s="33"/>
      <c r="G112" s="36"/>
      <c r="H112" s="37">
        <f t="shared" si="1"/>
        <v>0</v>
      </c>
      <c r="I112" s="33"/>
      <c r="J112" s="33"/>
      <c r="K112" s="39"/>
      <c r="L112" s="37">
        <f t="shared" si="2"/>
        <v>0</v>
      </c>
      <c r="M112" s="33"/>
      <c r="N112" s="32"/>
      <c r="O112" s="39"/>
      <c r="P112" s="37">
        <f t="shared" si="3"/>
        <v>0</v>
      </c>
      <c r="Q112" s="40"/>
    </row>
    <row r="113" ht="15.75" customHeight="1">
      <c r="A113" s="32"/>
      <c r="B113" s="33"/>
      <c r="C113" s="33"/>
      <c r="D113" s="34"/>
      <c r="E113" s="35"/>
      <c r="F113" s="33"/>
      <c r="G113" s="36"/>
      <c r="H113" s="37">
        <f t="shared" si="1"/>
        <v>0</v>
      </c>
      <c r="I113" s="33"/>
      <c r="J113" s="33"/>
      <c r="K113" s="39"/>
      <c r="L113" s="37">
        <f t="shared" si="2"/>
        <v>0</v>
      </c>
      <c r="M113" s="33"/>
      <c r="N113" s="32"/>
      <c r="O113" s="39"/>
      <c r="P113" s="37">
        <f t="shared" si="3"/>
        <v>0</v>
      </c>
      <c r="Q113" s="40"/>
    </row>
    <row r="114" ht="15.75" customHeight="1">
      <c r="A114" s="32"/>
      <c r="B114" s="33"/>
      <c r="C114" s="33"/>
      <c r="D114" s="34"/>
      <c r="E114" s="35"/>
      <c r="F114" s="33"/>
      <c r="G114" s="36"/>
      <c r="H114" s="37">
        <f t="shared" si="1"/>
        <v>0</v>
      </c>
      <c r="I114" s="33"/>
      <c r="J114" s="33"/>
      <c r="K114" s="39"/>
      <c r="L114" s="37">
        <f t="shared" si="2"/>
        <v>0</v>
      </c>
      <c r="M114" s="33"/>
      <c r="N114" s="32"/>
      <c r="O114" s="39"/>
      <c r="P114" s="37">
        <f t="shared" si="3"/>
        <v>0</v>
      </c>
      <c r="Q114" s="40"/>
    </row>
    <row r="115" ht="15.75" customHeight="1">
      <c r="A115" s="32"/>
      <c r="B115" s="33"/>
      <c r="C115" s="33"/>
      <c r="D115" s="34"/>
      <c r="E115" s="35"/>
      <c r="F115" s="33"/>
      <c r="G115" s="36"/>
      <c r="H115" s="37">
        <f t="shared" si="1"/>
        <v>0</v>
      </c>
      <c r="I115" s="33"/>
      <c r="J115" s="33"/>
      <c r="K115" s="39"/>
      <c r="L115" s="37">
        <f t="shared" si="2"/>
        <v>0</v>
      </c>
      <c r="M115" s="33"/>
      <c r="N115" s="32"/>
      <c r="O115" s="39"/>
      <c r="P115" s="37">
        <f t="shared" si="3"/>
        <v>0</v>
      </c>
      <c r="Q115" s="40"/>
    </row>
    <row r="116" ht="15.75" customHeight="1">
      <c r="A116" s="32"/>
      <c r="B116" s="33"/>
      <c r="C116" s="33"/>
      <c r="D116" s="34"/>
      <c r="E116" s="35"/>
      <c r="F116" s="33"/>
      <c r="G116" s="36"/>
      <c r="H116" s="37">
        <f t="shared" si="1"/>
        <v>0</v>
      </c>
      <c r="I116" s="33"/>
      <c r="J116" s="33"/>
      <c r="K116" s="39"/>
      <c r="L116" s="37">
        <f t="shared" si="2"/>
        <v>0</v>
      </c>
      <c r="M116" s="33"/>
      <c r="N116" s="32"/>
      <c r="O116" s="39"/>
      <c r="P116" s="37">
        <f t="shared" si="3"/>
        <v>0</v>
      </c>
      <c r="Q116" s="40"/>
    </row>
    <row r="117" ht="15.75" customHeight="1">
      <c r="A117" s="32"/>
      <c r="B117" s="33"/>
      <c r="C117" s="33"/>
      <c r="D117" s="34"/>
      <c r="E117" s="35"/>
      <c r="F117" s="33"/>
      <c r="G117" s="36"/>
      <c r="H117" s="37">
        <f t="shared" si="1"/>
        <v>0</v>
      </c>
      <c r="I117" s="33"/>
      <c r="J117" s="33"/>
      <c r="K117" s="39"/>
      <c r="L117" s="37">
        <f t="shared" si="2"/>
        <v>0</v>
      </c>
      <c r="M117" s="33"/>
      <c r="N117" s="32"/>
      <c r="O117" s="39"/>
      <c r="P117" s="37">
        <f t="shared" si="3"/>
        <v>0</v>
      </c>
      <c r="Q117" s="40"/>
    </row>
    <row r="118" ht="15.75" customHeight="1">
      <c r="A118" s="32"/>
      <c r="B118" s="33"/>
      <c r="C118" s="33"/>
      <c r="D118" s="34"/>
      <c r="E118" s="35"/>
      <c r="F118" s="33"/>
      <c r="G118" s="36"/>
      <c r="H118" s="37">
        <f t="shared" si="1"/>
        <v>0</v>
      </c>
      <c r="I118" s="33"/>
      <c r="J118" s="33"/>
      <c r="K118" s="39"/>
      <c r="L118" s="37">
        <f t="shared" si="2"/>
        <v>0</v>
      </c>
      <c r="M118" s="33"/>
      <c r="N118" s="32"/>
      <c r="O118" s="39"/>
      <c r="P118" s="37">
        <f t="shared" si="3"/>
        <v>0</v>
      </c>
      <c r="Q118" s="40"/>
    </row>
    <row r="119" ht="15.75" customHeight="1">
      <c r="A119" s="32"/>
      <c r="B119" s="33"/>
      <c r="C119" s="33"/>
      <c r="D119" s="34"/>
      <c r="E119" s="35"/>
      <c r="F119" s="33"/>
      <c r="G119" s="36"/>
      <c r="H119" s="37">
        <f t="shared" si="1"/>
        <v>0</v>
      </c>
      <c r="I119" s="33"/>
      <c r="J119" s="33"/>
      <c r="K119" s="39"/>
      <c r="L119" s="37">
        <f t="shared" si="2"/>
        <v>0</v>
      </c>
      <c r="M119" s="33"/>
      <c r="N119" s="32"/>
      <c r="O119" s="39"/>
      <c r="P119" s="37">
        <f t="shared" si="3"/>
        <v>0</v>
      </c>
      <c r="Q119" s="40"/>
    </row>
    <row r="120" ht="15.75" customHeight="1">
      <c r="A120" s="32"/>
      <c r="B120" s="33"/>
      <c r="C120" s="33"/>
      <c r="D120" s="34"/>
      <c r="E120" s="35"/>
      <c r="F120" s="33"/>
      <c r="G120" s="36"/>
      <c r="H120" s="37">
        <f t="shared" si="1"/>
        <v>0</v>
      </c>
      <c r="I120" s="33"/>
      <c r="J120" s="33"/>
      <c r="K120" s="39"/>
      <c r="L120" s="37">
        <f t="shared" si="2"/>
        <v>0</v>
      </c>
      <c r="M120" s="33"/>
      <c r="N120" s="32"/>
      <c r="O120" s="39"/>
      <c r="P120" s="37">
        <f t="shared" si="3"/>
        <v>0</v>
      </c>
      <c r="Q120" s="40"/>
    </row>
    <row r="121" ht="15.75" customHeight="1">
      <c r="A121" s="32"/>
      <c r="B121" s="33"/>
      <c r="C121" s="33"/>
      <c r="D121" s="34"/>
      <c r="E121" s="35"/>
      <c r="F121" s="33"/>
      <c r="G121" s="36"/>
      <c r="H121" s="37">
        <f t="shared" si="1"/>
        <v>0</v>
      </c>
      <c r="I121" s="33"/>
      <c r="J121" s="33"/>
      <c r="K121" s="39"/>
      <c r="L121" s="37">
        <f t="shared" si="2"/>
        <v>0</v>
      </c>
      <c r="M121" s="33"/>
      <c r="N121" s="32"/>
      <c r="O121" s="39"/>
      <c r="P121" s="37">
        <f t="shared" si="3"/>
        <v>0</v>
      </c>
      <c r="Q121" s="40"/>
    </row>
    <row r="122" ht="15.75" customHeight="1">
      <c r="A122" s="32"/>
      <c r="B122" s="33"/>
      <c r="C122" s="33"/>
      <c r="D122" s="34"/>
      <c r="E122" s="35"/>
      <c r="F122" s="33"/>
      <c r="G122" s="36"/>
      <c r="H122" s="37">
        <f t="shared" si="1"/>
        <v>0</v>
      </c>
      <c r="I122" s="33"/>
      <c r="J122" s="33"/>
      <c r="K122" s="39"/>
      <c r="L122" s="37">
        <f t="shared" si="2"/>
        <v>0</v>
      </c>
      <c r="M122" s="33"/>
      <c r="N122" s="32"/>
      <c r="O122" s="39"/>
      <c r="P122" s="37">
        <f t="shared" si="3"/>
        <v>0</v>
      </c>
      <c r="Q122" s="40"/>
    </row>
    <row r="123" ht="15.75" customHeight="1">
      <c r="A123" s="32"/>
      <c r="B123" s="33"/>
      <c r="C123" s="33"/>
      <c r="D123" s="34"/>
      <c r="E123" s="35"/>
      <c r="F123" s="33"/>
      <c r="G123" s="36"/>
      <c r="H123" s="37">
        <f t="shared" si="1"/>
        <v>0</v>
      </c>
      <c r="I123" s="33"/>
      <c r="J123" s="33"/>
      <c r="K123" s="39"/>
      <c r="L123" s="37">
        <f t="shared" si="2"/>
        <v>0</v>
      </c>
      <c r="M123" s="33"/>
      <c r="N123" s="32"/>
      <c r="O123" s="39"/>
      <c r="P123" s="37">
        <f t="shared" si="3"/>
        <v>0</v>
      </c>
      <c r="Q123" s="40"/>
    </row>
    <row r="124" ht="15.75" customHeight="1">
      <c r="A124" s="32"/>
      <c r="B124" s="33"/>
      <c r="C124" s="33"/>
      <c r="D124" s="34"/>
      <c r="E124" s="35"/>
      <c r="F124" s="33"/>
      <c r="G124" s="36"/>
      <c r="H124" s="37">
        <f t="shared" si="1"/>
        <v>0</v>
      </c>
      <c r="I124" s="33"/>
      <c r="J124" s="33"/>
      <c r="K124" s="39"/>
      <c r="L124" s="37">
        <f t="shared" si="2"/>
        <v>0</v>
      </c>
      <c r="M124" s="33"/>
      <c r="N124" s="32"/>
      <c r="O124" s="39"/>
      <c r="P124" s="37">
        <f t="shared" si="3"/>
        <v>0</v>
      </c>
      <c r="Q124" s="40"/>
    </row>
    <row r="125" ht="15.75" customHeight="1">
      <c r="A125" s="32"/>
      <c r="B125" s="33"/>
      <c r="C125" s="33"/>
      <c r="D125" s="34"/>
      <c r="E125" s="35"/>
      <c r="F125" s="33"/>
      <c r="G125" s="36"/>
      <c r="H125" s="37">
        <f t="shared" si="1"/>
        <v>0</v>
      </c>
      <c r="I125" s="33"/>
      <c r="J125" s="33"/>
      <c r="K125" s="39"/>
      <c r="L125" s="37">
        <f t="shared" si="2"/>
        <v>0</v>
      </c>
      <c r="M125" s="33"/>
      <c r="N125" s="32"/>
      <c r="O125" s="39"/>
      <c r="P125" s="37">
        <f t="shared" si="3"/>
        <v>0</v>
      </c>
      <c r="Q125" s="40"/>
    </row>
    <row r="126" ht="15.75" customHeight="1">
      <c r="A126" s="32"/>
      <c r="B126" s="33"/>
      <c r="C126" s="33"/>
      <c r="D126" s="34"/>
      <c r="E126" s="35"/>
      <c r="F126" s="33"/>
      <c r="G126" s="36"/>
      <c r="H126" s="37">
        <f t="shared" si="1"/>
        <v>0</v>
      </c>
      <c r="I126" s="33"/>
      <c r="J126" s="33"/>
      <c r="K126" s="39"/>
      <c r="L126" s="37">
        <f t="shared" si="2"/>
        <v>0</v>
      </c>
      <c r="M126" s="33"/>
      <c r="N126" s="32"/>
      <c r="O126" s="39"/>
      <c r="P126" s="37">
        <f t="shared" si="3"/>
        <v>0</v>
      </c>
      <c r="Q126" s="40"/>
    </row>
    <row r="127" ht="15.75" customHeight="1">
      <c r="A127" s="32"/>
      <c r="B127" s="33"/>
      <c r="C127" s="33"/>
      <c r="D127" s="34"/>
      <c r="E127" s="35"/>
      <c r="F127" s="33"/>
      <c r="G127" s="36"/>
      <c r="H127" s="37">
        <f t="shared" si="1"/>
        <v>0</v>
      </c>
      <c r="I127" s="33"/>
      <c r="J127" s="33"/>
      <c r="K127" s="39"/>
      <c r="L127" s="37">
        <f t="shared" si="2"/>
        <v>0</v>
      </c>
      <c r="M127" s="33"/>
      <c r="N127" s="32"/>
      <c r="O127" s="39"/>
      <c r="P127" s="37">
        <f t="shared" si="3"/>
        <v>0</v>
      </c>
      <c r="Q127" s="40"/>
    </row>
    <row r="128" ht="15.75" customHeight="1">
      <c r="A128" s="32"/>
      <c r="B128" s="33"/>
      <c r="C128" s="33"/>
      <c r="D128" s="34"/>
      <c r="E128" s="35"/>
      <c r="F128" s="33"/>
      <c r="G128" s="36"/>
      <c r="H128" s="37">
        <f t="shared" si="1"/>
        <v>0</v>
      </c>
      <c r="I128" s="33"/>
      <c r="J128" s="33"/>
      <c r="K128" s="39"/>
      <c r="L128" s="37">
        <f t="shared" si="2"/>
        <v>0</v>
      </c>
      <c r="M128" s="33"/>
      <c r="N128" s="32"/>
      <c r="O128" s="39"/>
      <c r="P128" s="37">
        <f t="shared" si="3"/>
        <v>0</v>
      </c>
      <c r="Q128" s="40"/>
    </row>
    <row r="129" ht="15.75" customHeight="1">
      <c r="A129" s="32"/>
      <c r="B129" s="33"/>
      <c r="C129" s="33"/>
      <c r="D129" s="34"/>
      <c r="E129" s="35"/>
      <c r="F129" s="33"/>
      <c r="G129" s="36"/>
      <c r="H129" s="37">
        <f t="shared" si="1"/>
        <v>0</v>
      </c>
      <c r="I129" s="33"/>
      <c r="J129" s="33"/>
      <c r="K129" s="39"/>
      <c r="L129" s="37">
        <f t="shared" si="2"/>
        <v>0</v>
      </c>
      <c r="M129" s="33"/>
      <c r="N129" s="32"/>
      <c r="O129" s="39"/>
      <c r="P129" s="37">
        <f t="shared" si="3"/>
        <v>0</v>
      </c>
      <c r="Q129" s="40"/>
    </row>
    <row r="130" ht="15.75" customHeight="1">
      <c r="A130" s="32"/>
      <c r="B130" s="33"/>
      <c r="C130" s="33"/>
      <c r="D130" s="34"/>
      <c r="E130" s="35"/>
      <c r="F130" s="33"/>
      <c r="G130" s="36"/>
      <c r="H130" s="37">
        <f t="shared" si="1"/>
        <v>0</v>
      </c>
      <c r="I130" s="33"/>
      <c r="J130" s="33"/>
      <c r="K130" s="39"/>
      <c r="L130" s="37">
        <f t="shared" si="2"/>
        <v>0</v>
      </c>
      <c r="M130" s="33"/>
      <c r="N130" s="32"/>
      <c r="O130" s="39"/>
      <c r="P130" s="37">
        <f t="shared" si="3"/>
        <v>0</v>
      </c>
      <c r="Q130" s="40"/>
    </row>
    <row r="131" ht="15.75" customHeight="1">
      <c r="A131" s="32"/>
      <c r="B131" s="33"/>
      <c r="C131" s="33"/>
      <c r="D131" s="34"/>
      <c r="E131" s="35"/>
      <c r="F131" s="33"/>
      <c r="G131" s="36"/>
      <c r="H131" s="37">
        <f t="shared" si="1"/>
        <v>0</v>
      </c>
      <c r="I131" s="33"/>
      <c r="J131" s="33"/>
      <c r="K131" s="39"/>
      <c r="L131" s="37">
        <f t="shared" si="2"/>
        <v>0</v>
      </c>
      <c r="M131" s="33"/>
      <c r="N131" s="32"/>
      <c r="O131" s="39"/>
      <c r="P131" s="37">
        <f t="shared" si="3"/>
        <v>0</v>
      </c>
      <c r="Q131" s="40"/>
    </row>
    <row r="132" ht="15.75" customHeight="1">
      <c r="A132" s="32"/>
      <c r="B132" s="33"/>
      <c r="C132" s="33"/>
      <c r="D132" s="34"/>
      <c r="E132" s="35"/>
      <c r="F132" s="33"/>
      <c r="G132" s="36"/>
      <c r="H132" s="37">
        <f t="shared" si="1"/>
        <v>0</v>
      </c>
      <c r="I132" s="33"/>
      <c r="J132" s="33"/>
      <c r="K132" s="39"/>
      <c r="L132" s="37">
        <f t="shared" si="2"/>
        <v>0</v>
      </c>
      <c r="M132" s="33"/>
      <c r="N132" s="32"/>
      <c r="O132" s="39"/>
      <c r="P132" s="37">
        <f t="shared" si="3"/>
        <v>0</v>
      </c>
      <c r="Q132" s="40"/>
    </row>
    <row r="133" ht="15.75" customHeight="1">
      <c r="A133" s="32"/>
      <c r="B133" s="33"/>
      <c r="C133" s="33"/>
      <c r="D133" s="34"/>
      <c r="E133" s="35"/>
      <c r="F133" s="33"/>
      <c r="G133" s="36"/>
      <c r="H133" s="37">
        <f t="shared" si="1"/>
        <v>0</v>
      </c>
      <c r="I133" s="33"/>
      <c r="J133" s="33"/>
      <c r="K133" s="39"/>
      <c r="L133" s="37">
        <f t="shared" si="2"/>
        <v>0</v>
      </c>
      <c r="M133" s="33"/>
      <c r="N133" s="32"/>
      <c r="O133" s="39"/>
      <c r="P133" s="37">
        <f t="shared" si="3"/>
        <v>0</v>
      </c>
      <c r="Q133" s="40"/>
    </row>
    <row r="134" ht="15.75" customHeight="1">
      <c r="A134" s="32"/>
      <c r="B134" s="33"/>
      <c r="C134" s="33"/>
      <c r="D134" s="34"/>
      <c r="E134" s="35"/>
      <c r="F134" s="33"/>
      <c r="G134" s="36"/>
      <c r="H134" s="37">
        <f t="shared" si="1"/>
        <v>0</v>
      </c>
      <c r="I134" s="33"/>
      <c r="J134" s="33"/>
      <c r="K134" s="39"/>
      <c r="L134" s="37">
        <f t="shared" si="2"/>
        <v>0</v>
      </c>
      <c r="M134" s="33"/>
      <c r="N134" s="32"/>
      <c r="O134" s="39"/>
      <c r="P134" s="37">
        <f t="shared" si="3"/>
        <v>0</v>
      </c>
      <c r="Q134" s="40"/>
    </row>
    <row r="135" ht="15.75" customHeight="1">
      <c r="A135" s="32"/>
      <c r="B135" s="33"/>
      <c r="C135" s="33"/>
      <c r="D135" s="34"/>
      <c r="E135" s="35"/>
      <c r="F135" s="33"/>
      <c r="G135" s="36"/>
      <c r="H135" s="37">
        <f t="shared" si="1"/>
        <v>0</v>
      </c>
      <c r="I135" s="33"/>
      <c r="J135" s="33"/>
      <c r="K135" s="39"/>
      <c r="L135" s="37">
        <f t="shared" si="2"/>
        <v>0</v>
      </c>
      <c r="M135" s="33"/>
      <c r="N135" s="32"/>
      <c r="O135" s="39"/>
      <c r="P135" s="37">
        <f t="shared" si="3"/>
        <v>0</v>
      </c>
      <c r="Q135" s="40"/>
    </row>
    <row r="136" ht="15.75" customHeight="1">
      <c r="A136" s="32"/>
      <c r="B136" s="33"/>
      <c r="C136" s="33"/>
      <c r="D136" s="34"/>
      <c r="E136" s="35"/>
      <c r="F136" s="33"/>
      <c r="G136" s="36"/>
      <c r="H136" s="37">
        <f t="shared" si="1"/>
        <v>0</v>
      </c>
      <c r="I136" s="33"/>
      <c r="J136" s="33"/>
      <c r="K136" s="39"/>
      <c r="L136" s="37">
        <f t="shared" si="2"/>
        <v>0</v>
      </c>
      <c r="M136" s="33"/>
      <c r="N136" s="32"/>
      <c r="O136" s="39"/>
      <c r="P136" s="37">
        <f t="shared" si="3"/>
        <v>0</v>
      </c>
      <c r="Q136" s="40"/>
    </row>
    <row r="137" ht="15.75" customHeight="1">
      <c r="A137" s="32"/>
      <c r="B137" s="33"/>
      <c r="C137" s="33"/>
      <c r="D137" s="34"/>
      <c r="E137" s="35"/>
      <c r="F137" s="33"/>
      <c r="G137" s="36"/>
      <c r="H137" s="37">
        <f t="shared" si="1"/>
        <v>0</v>
      </c>
      <c r="I137" s="33"/>
      <c r="J137" s="33"/>
      <c r="K137" s="39"/>
      <c r="L137" s="37">
        <f t="shared" si="2"/>
        <v>0</v>
      </c>
      <c r="M137" s="33"/>
      <c r="N137" s="32"/>
      <c r="O137" s="39"/>
      <c r="P137" s="37">
        <f t="shared" si="3"/>
        <v>0</v>
      </c>
      <c r="Q137" s="40"/>
    </row>
    <row r="138" ht="15.75" customHeight="1">
      <c r="A138" s="32"/>
      <c r="B138" s="33"/>
      <c r="C138" s="33"/>
      <c r="D138" s="34"/>
      <c r="E138" s="35"/>
      <c r="F138" s="33"/>
      <c r="G138" s="36"/>
      <c r="H138" s="37">
        <f t="shared" si="1"/>
        <v>0</v>
      </c>
      <c r="I138" s="33"/>
      <c r="J138" s="33"/>
      <c r="K138" s="39"/>
      <c r="L138" s="37">
        <f t="shared" si="2"/>
        <v>0</v>
      </c>
      <c r="M138" s="33"/>
      <c r="N138" s="32"/>
      <c r="O138" s="39"/>
      <c r="P138" s="37">
        <f t="shared" si="3"/>
        <v>0</v>
      </c>
      <c r="Q138" s="40"/>
    </row>
    <row r="139" ht="15.75" customHeight="1">
      <c r="A139" s="32"/>
      <c r="B139" s="33"/>
      <c r="C139" s="33"/>
      <c r="D139" s="34"/>
      <c r="E139" s="35"/>
      <c r="F139" s="33"/>
      <c r="G139" s="36"/>
      <c r="H139" s="37">
        <f t="shared" si="1"/>
        <v>0</v>
      </c>
      <c r="I139" s="33"/>
      <c r="J139" s="33"/>
      <c r="K139" s="39"/>
      <c r="L139" s="37">
        <f t="shared" si="2"/>
        <v>0</v>
      </c>
      <c r="M139" s="33"/>
      <c r="N139" s="32"/>
      <c r="O139" s="39"/>
      <c r="P139" s="37">
        <f t="shared" si="3"/>
        <v>0</v>
      </c>
      <c r="Q139" s="40"/>
    </row>
    <row r="140" ht="15.75" customHeight="1">
      <c r="A140" s="32"/>
      <c r="B140" s="33"/>
      <c r="C140" s="33"/>
      <c r="D140" s="34"/>
      <c r="E140" s="35"/>
      <c r="F140" s="33"/>
      <c r="G140" s="36"/>
      <c r="H140" s="37">
        <f t="shared" si="1"/>
        <v>0</v>
      </c>
      <c r="I140" s="33"/>
      <c r="J140" s="33"/>
      <c r="K140" s="39"/>
      <c r="L140" s="37">
        <f t="shared" si="2"/>
        <v>0</v>
      </c>
      <c r="M140" s="33"/>
      <c r="N140" s="32"/>
      <c r="O140" s="39"/>
      <c r="P140" s="37">
        <f t="shared" si="3"/>
        <v>0</v>
      </c>
      <c r="Q140" s="40"/>
    </row>
    <row r="141" ht="15.75" customHeight="1">
      <c r="A141" s="32"/>
      <c r="B141" s="33"/>
      <c r="C141" s="33"/>
      <c r="D141" s="34"/>
      <c r="E141" s="35"/>
      <c r="F141" s="33"/>
      <c r="G141" s="36"/>
      <c r="H141" s="37">
        <f t="shared" si="1"/>
        <v>0</v>
      </c>
      <c r="I141" s="33"/>
      <c r="J141" s="33"/>
      <c r="K141" s="39"/>
      <c r="L141" s="37">
        <f t="shared" si="2"/>
        <v>0</v>
      </c>
      <c r="M141" s="33"/>
      <c r="N141" s="32"/>
      <c r="O141" s="39"/>
      <c r="P141" s="37">
        <f t="shared" si="3"/>
        <v>0</v>
      </c>
      <c r="Q141" s="40"/>
    </row>
    <row r="142" ht="15.75" customHeight="1">
      <c r="A142" s="32"/>
      <c r="B142" s="33"/>
      <c r="C142" s="33"/>
      <c r="D142" s="34"/>
      <c r="E142" s="35"/>
      <c r="F142" s="33"/>
      <c r="G142" s="36"/>
      <c r="H142" s="37">
        <f t="shared" si="1"/>
        <v>0</v>
      </c>
      <c r="I142" s="33"/>
      <c r="J142" s="33"/>
      <c r="K142" s="39"/>
      <c r="L142" s="37">
        <f t="shared" si="2"/>
        <v>0</v>
      </c>
      <c r="M142" s="33"/>
      <c r="N142" s="32"/>
      <c r="O142" s="39"/>
      <c r="P142" s="37">
        <f t="shared" si="3"/>
        <v>0</v>
      </c>
      <c r="Q142" s="40"/>
    </row>
    <row r="143" ht="15.75" customHeight="1">
      <c r="A143" s="32"/>
      <c r="B143" s="33"/>
      <c r="C143" s="33"/>
      <c r="D143" s="34"/>
      <c r="E143" s="35"/>
      <c r="F143" s="33"/>
      <c r="G143" s="36"/>
      <c r="H143" s="37">
        <f t="shared" si="1"/>
        <v>0</v>
      </c>
      <c r="I143" s="33"/>
      <c r="J143" s="33"/>
      <c r="K143" s="39"/>
      <c r="L143" s="37">
        <f t="shared" si="2"/>
        <v>0</v>
      </c>
      <c r="M143" s="33"/>
      <c r="N143" s="32"/>
      <c r="O143" s="39"/>
      <c r="P143" s="37">
        <f t="shared" si="3"/>
        <v>0</v>
      </c>
      <c r="Q143" s="40"/>
    </row>
    <row r="144" ht="15.75" customHeight="1">
      <c r="A144" s="32"/>
      <c r="B144" s="33"/>
      <c r="C144" s="33"/>
      <c r="D144" s="34"/>
      <c r="E144" s="35"/>
      <c r="F144" s="33"/>
      <c r="G144" s="36"/>
      <c r="H144" s="37">
        <f t="shared" si="1"/>
        <v>0</v>
      </c>
      <c r="I144" s="33"/>
      <c r="J144" s="33"/>
      <c r="K144" s="39"/>
      <c r="L144" s="37">
        <f t="shared" si="2"/>
        <v>0</v>
      </c>
      <c r="M144" s="33"/>
      <c r="N144" s="32"/>
      <c r="O144" s="39"/>
      <c r="P144" s="37">
        <f t="shared" si="3"/>
        <v>0</v>
      </c>
      <c r="Q144" s="40"/>
    </row>
    <row r="145" ht="15.75" customHeight="1">
      <c r="A145" s="32"/>
      <c r="B145" s="33"/>
      <c r="C145" s="33"/>
      <c r="D145" s="34"/>
      <c r="E145" s="35"/>
      <c r="F145" s="33"/>
      <c r="G145" s="36"/>
      <c r="H145" s="37">
        <f t="shared" si="1"/>
        <v>0</v>
      </c>
      <c r="I145" s="33"/>
      <c r="J145" s="33"/>
      <c r="K145" s="39"/>
      <c r="L145" s="37">
        <f t="shared" si="2"/>
        <v>0</v>
      </c>
      <c r="M145" s="33"/>
      <c r="N145" s="32"/>
      <c r="O145" s="39"/>
      <c r="P145" s="37">
        <f t="shared" si="3"/>
        <v>0</v>
      </c>
      <c r="Q145" s="40"/>
    </row>
    <row r="146" ht="15.75" customHeight="1">
      <c r="A146" s="32"/>
      <c r="B146" s="33"/>
      <c r="C146" s="33"/>
      <c r="D146" s="34"/>
      <c r="E146" s="35"/>
      <c r="F146" s="33"/>
      <c r="G146" s="36"/>
      <c r="H146" s="37">
        <f t="shared" si="1"/>
        <v>0</v>
      </c>
      <c r="I146" s="33"/>
      <c r="J146" s="33"/>
      <c r="K146" s="39"/>
      <c r="L146" s="37">
        <f t="shared" si="2"/>
        <v>0</v>
      </c>
      <c r="M146" s="33"/>
      <c r="N146" s="32"/>
      <c r="O146" s="39"/>
      <c r="P146" s="37">
        <f t="shared" si="3"/>
        <v>0</v>
      </c>
      <c r="Q146" s="40"/>
    </row>
    <row r="147" ht="15.75" customHeight="1">
      <c r="A147" s="32"/>
      <c r="B147" s="33"/>
      <c r="C147" s="33"/>
      <c r="D147" s="34"/>
      <c r="E147" s="35"/>
      <c r="F147" s="33"/>
      <c r="G147" s="36"/>
      <c r="H147" s="37">
        <f t="shared" si="1"/>
        <v>0</v>
      </c>
      <c r="I147" s="33"/>
      <c r="J147" s="33"/>
      <c r="K147" s="39"/>
      <c r="L147" s="37">
        <f t="shared" si="2"/>
        <v>0</v>
      </c>
      <c r="M147" s="33"/>
      <c r="N147" s="32"/>
      <c r="O147" s="39"/>
      <c r="P147" s="37">
        <f t="shared" si="3"/>
        <v>0</v>
      </c>
      <c r="Q147" s="40"/>
    </row>
    <row r="148" ht="15.75" customHeight="1">
      <c r="A148" s="32"/>
      <c r="B148" s="33"/>
      <c r="C148" s="33"/>
      <c r="D148" s="34"/>
      <c r="E148" s="35"/>
      <c r="F148" s="33"/>
      <c r="G148" s="36"/>
      <c r="H148" s="37">
        <f t="shared" si="1"/>
        <v>0</v>
      </c>
      <c r="I148" s="33"/>
      <c r="J148" s="33"/>
      <c r="K148" s="39"/>
      <c r="L148" s="37">
        <f t="shared" si="2"/>
        <v>0</v>
      </c>
      <c r="M148" s="33"/>
      <c r="N148" s="32"/>
      <c r="O148" s="39"/>
      <c r="P148" s="37">
        <f t="shared" si="3"/>
        <v>0</v>
      </c>
      <c r="Q148" s="40"/>
    </row>
    <row r="149" ht="15.75" customHeight="1">
      <c r="A149" s="32"/>
      <c r="B149" s="33"/>
      <c r="C149" s="33"/>
      <c r="D149" s="34"/>
      <c r="E149" s="35"/>
      <c r="F149" s="33"/>
      <c r="G149" s="36"/>
      <c r="H149" s="37">
        <f t="shared" si="1"/>
        <v>0</v>
      </c>
      <c r="I149" s="33"/>
      <c r="J149" s="33"/>
      <c r="K149" s="39"/>
      <c r="L149" s="37">
        <f t="shared" si="2"/>
        <v>0</v>
      </c>
      <c r="M149" s="33"/>
      <c r="N149" s="32"/>
      <c r="O149" s="39"/>
      <c r="P149" s="37">
        <f t="shared" si="3"/>
        <v>0</v>
      </c>
      <c r="Q149" s="40"/>
    </row>
    <row r="150" ht="15.75" customHeight="1">
      <c r="A150" s="32"/>
      <c r="B150" s="33"/>
      <c r="C150" s="33"/>
      <c r="D150" s="34"/>
      <c r="E150" s="35"/>
      <c r="F150" s="33"/>
      <c r="G150" s="36"/>
      <c r="H150" s="37">
        <f t="shared" si="1"/>
        <v>0</v>
      </c>
      <c r="I150" s="33"/>
      <c r="J150" s="33"/>
      <c r="K150" s="39"/>
      <c r="L150" s="37">
        <f t="shared" si="2"/>
        <v>0</v>
      </c>
      <c r="M150" s="33"/>
      <c r="N150" s="32"/>
      <c r="O150" s="39"/>
      <c r="P150" s="37">
        <f t="shared" si="3"/>
        <v>0</v>
      </c>
      <c r="Q150" s="40"/>
    </row>
    <row r="151" ht="15.75" customHeight="1">
      <c r="A151" s="32"/>
      <c r="B151" s="33"/>
      <c r="C151" s="33"/>
      <c r="D151" s="34"/>
      <c r="E151" s="35"/>
      <c r="F151" s="33"/>
      <c r="G151" s="36"/>
      <c r="H151" s="37">
        <f t="shared" si="1"/>
        <v>0</v>
      </c>
      <c r="I151" s="33"/>
      <c r="J151" s="33"/>
      <c r="K151" s="39"/>
      <c r="L151" s="37">
        <f t="shared" si="2"/>
        <v>0</v>
      </c>
      <c r="M151" s="33"/>
      <c r="N151" s="32"/>
      <c r="O151" s="39"/>
      <c r="P151" s="37">
        <f t="shared" si="3"/>
        <v>0</v>
      </c>
      <c r="Q151" s="40"/>
    </row>
    <row r="152" ht="15.75" customHeight="1">
      <c r="A152" s="32"/>
      <c r="B152" s="33"/>
      <c r="C152" s="33"/>
      <c r="D152" s="34"/>
      <c r="E152" s="35"/>
      <c r="F152" s="33"/>
      <c r="G152" s="36"/>
      <c r="H152" s="37">
        <f t="shared" si="1"/>
        <v>0</v>
      </c>
      <c r="I152" s="33"/>
      <c r="J152" s="33"/>
      <c r="K152" s="39"/>
      <c r="L152" s="37">
        <f t="shared" si="2"/>
        <v>0</v>
      </c>
      <c r="M152" s="33"/>
      <c r="N152" s="32"/>
      <c r="O152" s="39"/>
      <c r="P152" s="37">
        <f t="shared" si="3"/>
        <v>0</v>
      </c>
      <c r="Q152" s="40"/>
    </row>
    <row r="153" ht="15.75" customHeight="1">
      <c r="A153" s="32"/>
      <c r="B153" s="33"/>
      <c r="C153" s="33"/>
      <c r="D153" s="34"/>
      <c r="E153" s="35"/>
      <c r="F153" s="33"/>
      <c r="G153" s="36"/>
      <c r="H153" s="37">
        <f t="shared" si="1"/>
        <v>0</v>
      </c>
      <c r="I153" s="33"/>
      <c r="J153" s="33"/>
      <c r="K153" s="39"/>
      <c r="L153" s="37">
        <f t="shared" si="2"/>
        <v>0</v>
      </c>
      <c r="M153" s="33"/>
      <c r="N153" s="32"/>
      <c r="O153" s="39"/>
      <c r="P153" s="37">
        <f t="shared" si="3"/>
        <v>0</v>
      </c>
      <c r="Q153" s="40"/>
    </row>
    <row r="154" ht="15.75" customHeight="1">
      <c r="A154" s="32"/>
      <c r="B154" s="33"/>
      <c r="C154" s="33"/>
      <c r="D154" s="34"/>
      <c r="E154" s="35"/>
      <c r="F154" s="33"/>
      <c r="G154" s="36"/>
      <c r="H154" s="37">
        <f t="shared" si="1"/>
        <v>0</v>
      </c>
      <c r="I154" s="33"/>
      <c r="J154" s="33"/>
      <c r="K154" s="39"/>
      <c r="L154" s="37">
        <f t="shared" si="2"/>
        <v>0</v>
      </c>
      <c r="M154" s="33"/>
      <c r="N154" s="32"/>
      <c r="O154" s="39"/>
      <c r="P154" s="37">
        <f t="shared" si="3"/>
        <v>0</v>
      </c>
      <c r="Q154" s="40"/>
    </row>
    <row r="155" ht="15.75" customHeight="1">
      <c r="A155" s="32"/>
      <c r="B155" s="33"/>
      <c r="C155" s="33"/>
      <c r="D155" s="34"/>
      <c r="E155" s="35"/>
      <c r="F155" s="33"/>
      <c r="G155" s="36"/>
      <c r="H155" s="37">
        <f t="shared" si="1"/>
        <v>0</v>
      </c>
      <c r="I155" s="33"/>
      <c r="J155" s="33"/>
      <c r="K155" s="39"/>
      <c r="L155" s="37">
        <f t="shared" si="2"/>
        <v>0</v>
      </c>
      <c r="M155" s="33"/>
      <c r="N155" s="32"/>
      <c r="O155" s="39"/>
      <c r="P155" s="37">
        <f t="shared" si="3"/>
        <v>0</v>
      </c>
      <c r="Q155" s="40"/>
    </row>
    <row r="156" ht="15.75" customHeight="1">
      <c r="A156" s="32"/>
      <c r="B156" s="33"/>
      <c r="C156" s="33"/>
      <c r="D156" s="34"/>
      <c r="E156" s="35"/>
      <c r="F156" s="33"/>
      <c r="G156" s="36"/>
      <c r="H156" s="37">
        <f t="shared" si="1"/>
        <v>0</v>
      </c>
      <c r="I156" s="33"/>
      <c r="J156" s="33"/>
      <c r="K156" s="39"/>
      <c r="L156" s="37">
        <f t="shared" si="2"/>
        <v>0</v>
      </c>
      <c r="M156" s="33"/>
      <c r="N156" s="32"/>
      <c r="O156" s="39"/>
      <c r="P156" s="37">
        <f t="shared" si="3"/>
        <v>0</v>
      </c>
      <c r="Q156" s="40"/>
    </row>
    <row r="157" ht="15.75" customHeight="1">
      <c r="A157" s="32"/>
      <c r="B157" s="33"/>
      <c r="C157" s="33"/>
      <c r="D157" s="34"/>
      <c r="E157" s="35"/>
      <c r="F157" s="33"/>
      <c r="G157" s="36"/>
      <c r="H157" s="37">
        <f t="shared" si="1"/>
        <v>0</v>
      </c>
      <c r="I157" s="33"/>
      <c r="J157" s="33"/>
      <c r="K157" s="39"/>
      <c r="L157" s="37">
        <f t="shared" si="2"/>
        <v>0</v>
      </c>
      <c r="M157" s="33"/>
      <c r="N157" s="32"/>
      <c r="O157" s="39"/>
      <c r="P157" s="37">
        <f t="shared" si="3"/>
        <v>0</v>
      </c>
      <c r="Q157" s="40"/>
    </row>
    <row r="158" ht="15.75" customHeight="1">
      <c r="A158" s="32"/>
      <c r="B158" s="33"/>
      <c r="C158" s="33"/>
      <c r="D158" s="34"/>
      <c r="E158" s="35"/>
      <c r="F158" s="33"/>
      <c r="G158" s="36"/>
      <c r="H158" s="37">
        <f t="shared" si="1"/>
        <v>0</v>
      </c>
      <c r="I158" s="33"/>
      <c r="J158" s="33"/>
      <c r="K158" s="39"/>
      <c r="L158" s="37">
        <f t="shared" si="2"/>
        <v>0</v>
      </c>
      <c r="M158" s="33"/>
      <c r="N158" s="32"/>
      <c r="O158" s="39"/>
      <c r="P158" s="37">
        <f t="shared" si="3"/>
        <v>0</v>
      </c>
      <c r="Q158" s="40"/>
    </row>
    <row r="159" ht="15.75" customHeight="1">
      <c r="A159" s="32"/>
      <c r="B159" s="33"/>
      <c r="C159" s="33"/>
      <c r="D159" s="34"/>
      <c r="E159" s="35"/>
      <c r="F159" s="33"/>
      <c r="G159" s="36"/>
      <c r="H159" s="37">
        <f t="shared" si="1"/>
        <v>0</v>
      </c>
      <c r="I159" s="33"/>
      <c r="J159" s="33"/>
      <c r="K159" s="39"/>
      <c r="L159" s="37">
        <f t="shared" si="2"/>
        <v>0</v>
      </c>
      <c r="M159" s="33"/>
      <c r="N159" s="32"/>
      <c r="O159" s="39"/>
      <c r="P159" s="37">
        <f t="shared" si="3"/>
        <v>0</v>
      </c>
      <c r="Q159" s="40"/>
    </row>
    <row r="160" ht="15.75" customHeight="1">
      <c r="A160" s="32"/>
      <c r="B160" s="33"/>
      <c r="C160" s="33"/>
      <c r="D160" s="34"/>
      <c r="E160" s="35"/>
      <c r="F160" s="33"/>
      <c r="G160" s="36"/>
      <c r="H160" s="37">
        <f t="shared" si="1"/>
        <v>0</v>
      </c>
      <c r="I160" s="33"/>
      <c r="J160" s="33"/>
      <c r="K160" s="39"/>
      <c r="L160" s="37">
        <f t="shared" si="2"/>
        <v>0</v>
      </c>
      <c r="M160" s="33"/>
      <c r="N160" s="32"/>
      <c r="O160" s="39"/>
      <c r="P160" s="37">
        <f t="shared" si="3"/>
        <v>0</v>
      </c>
      <c r="Q160" s="40"/>
    </row>
    <row r="161" ht="15.75" customHeight="1">
      <c r="A161" s="32"/>
      <c r="B161" s="33"/>
      <c r="C161" s="33"/>
      <c r="D161" s="34"/>
      <c r="E161" s="35"/>
      <c r="F161" s="33"/>
      <c r="G161" s="36"/>
      <c r="H161" s="37">
        <f t="shared" si="1"/>
        <v>0</v>
      </c>
      <c r="I161" s="33"/>
      <c r="J161" s="33"/>
      <c r="K161" s="39"/>
      <c r="L161" s="37">
        <f t="shared" si="2"/>
        <v>0</v>
      </c>
      <c r="M161" s="33"/>
      <c r="N161" s="32"/>
      <c r="O161" s="39"/>
      <c r="P161" s="37">
        <f t="shared" si="3"/>
        <v>0</v>
      </c>
      <c r="Q161" s="40"/>
    </row>
    <row r="162" ht="15.75" customHeight="1">
      <c r="A162" s="32"/>
      <c r="B162" s="33"/>
      <c r="C162" s="33"/>
      <c r="D162" s="34"/>
      <c r="E162" s="35"/>
      <c r="F162" s="33"/>
      <c r="G162" s="36"/>
      <c r="H162" s="37">
        <f t="shared" si="1"/>
        <v>0</v>
      </c>
      <c r="I162" s="33"/>
      <c r="J162" s="33"/>
      <c r="K162" s="39"/>
      <c r="L162" s="37">
        <f t="shared" si="2"/>
        <v>0</v>
      </c>
      <c r="M162" s="33"/>
      <c r="N162" s="32"/>
      <c r="O162" s="39"/>
      <c r="P162" s="37">
        <f t="shared" si="3"/>
        <v>0</v>
      </c>
      <c r="Q162" s="40"/>
    </row>
    <row r="163" ht="15.75" customHeight="1">
      <c r="A163" s="32"/>
      <c r="B163" s="33"/>
      <c r="C163" s="33"/>
      <c r="D163" s="34"/>
      <c r="E163" s="35"/>
      <c r="F163" s="33"/>
      <c r="G163" s="36"/>
      <c r="H163" s="37">
        <f t="shared" si="1"/>
        <v>0</v>
      </c>
      <c r="I163" s="33"/>
      <c r="J163" s="33"/>
      <c r="K163" s="39"/>
      <c r="L163" s="37">
        <f t="shared" si="2"/>
        <v>0</v>
      </c>
      <c r="M163" s="33"/>
      <c r="N163" s="32"/>
      <c r="O163" s="39"/>
      <c r="P163" s="37">
        <f t="shared" si="3"/>
        <v>0</v>
      </c>
      <c r="Q163" s="40"/>
    </row>
    <row r="164" ht="15.75" customHeight="1">
      <c r="A164" s="32"/>
      <c r="B164" s="33"/>
      <c r="C164" s="33"/>
      <c r="D164" s="34"/>
      <c r="E164" s="35"/>
      <c r="F164" s="33"/>
      <c r="G164" s="36"/>
      <c r="H164" s="37">
        <f t="shared" si="1"/>
        <v>0</v>
      </c>
      <c r="I164" s="33"/>
      <c r="J164" s="33"/>
      <c r="K164" s="39"/>
      <c r="L164" s="37">
        <f t="shared" si="2"/>
        <v>0</v>
      </c>
      <c r="M164" s="33"/>
      <c r="N164" s="32"/>
      <c r="O164" s="39"/>
      <c r="P164" s="37">
        <f t="shared" si="3"/>
        <v>0</v>
      </c>
      <c r="Q164" s="40"/>
    </row>
    <row r="165" ht="15.75" customHeight="1">
      <c r="A165" s="32"/>
      <c r="B165" s="33"/>
      <c r="C165" s="33"/>
      <c r="D165" s="34"/>
      <c r="E165" s="35"/>
      <c r="F165" s="33"/>
      <c r="G165" s="36"/>
      <c r="H165" s="37">
        <f t="shared" si="1"/>
        <v>0</v>
      </c>
      <c r="I165" s="33"/>
      <c r="J165" s="33"/>
      <c r="K165" s="39"/>
      <c r="L165" s="37">
        <f t="shared" si="2"/>
        <v>0</v>
      </c>
      <c r="M165" s="33"/>
      <c r="N165" s="32"/>
      <c r="O165" s="39"/>
      <c r="P165" s="37">
        <f t="shared" si="3"/>
        <v>0</v>
      </c>
      <c r="Q165" s="40"/>
    </row>
    <row r="166" ht="15.75" customHeight="1">
      <c r="A166" s="32"/>
      <c r="B166" s="33"/>
      <c r="C166" s="33"/>
      <c r="D166" s="34"/>
      <c r="E166" s="35"/>
      <c r="F166" s="33"/>
      <c r="G166" s="36"/>
      <c r="H166" s="37">
        <f t="shared" si="1"/>
        <v>0</v>
      </c>
      <c r="I166" s="33"/>
      <c r="J166" s="33"/>
      <c r="K166" s="39"/>
      <c r="L166" s="37">
        <f t="shared" si="2"/>
        <v>0</v>
      </c>
      <c r="M166" s="33"/>
      <c r="N166" s="32"/>
      <c r="O166" s="39"/>
      <c r="P166" s="37">
        <f t="shared" si="3"/>
        <v>0</v>
      </c>
      <c r="Q166" s="40"/>
    </row>
    <row r="167" ht="15.75" customHeight="1">
      <c r="A167" s="32"/>
      <c r="B167" s="33"/>
      <c r="C167" s="33"/>
      <c r="D167" s="34"/>
      <c r="E167" s="35"/>
      <c r="F167" s="33"/>
      <c r="G167" s="36"/>
      <c r="H167" s="37">
        <f t="shared" si="1"/>
        <v>0</v>
      </c>
      <c r="I167" s="33"/>
      <c r="J167" s="33"/>
      <c r="K167" s="39"/>
      <c r="L167" s="37">
        <f t="shared" si="2"/>
        <v>0</v>
      </c>
      <c r="M167" s="33"/>
      <c r="N167" s="32"/>
      <c r="O167" s="39"/>
      <c r="P167" s="37">
        <f t="shared" si="3"/>
        <v>0</v>
      </c>
      <c r="Q167" s="40"/>
    </row>
    <row r="168" ht="15.75" customHeight="1">
      <c r="A168" s="32"/>
      <c r="B168" s="33"/>
      <c r="C168" s="33"/>
      <c r="D168" s="34"/>
      <c r="E168" s="35"/>
      <c r="F168" s="33"/>
      <c r="G168" s="36"/>
      <c r="H168" s="37">
        <f t="shared" si="1"/>
        <v>0</v>
      </c>
      <c r="I168" s="33"/>
      <c r="J168" s="33"/>
      <c r="K168" s="39"/>
      <c r="L168" s="37">
        <f t="shared" si="2"/>
        <v>0</v>
      </c>
      <c r="M168" s="33"/>
      <c r="N168" s="32"/>
      <c r="O168" s="39"/>
      <c r="P168" s="37">
        <f t="shared" si="3"/>
        <v>0</v>
      </c>
      <c r="Q168" s="40"/>
    </row>
    <row r="169" ht="15.75" customHeight="1">
      <c r="A169" s="32"/>
      <c r="B169" s="33"/>
      <c r="C169" s="33"/>
      <c r="D169" s="34"/>
      <c r="E169" s="35"/>
      <c r="F169" s="33"/>
      <c r="G169" s="36"/>
      <c r="H169" s="37">
        <f t="shared" si="1"/>
        <v>0</v>
      </c>
      <c r="I169" s="33"/>
      <c r="J169" s="33"/>
      <c r="K169" s="39"/>
      <c r="L169" s="37">
        <f t="shared" si="2"/>
        <v>0</v>
      </c>
      <c r="M169" s="33"/>
      <c r="N169" s="32"/>
      <c r="O169" s="39"/>
      <c r="P169" s="37">
        <f t="shared" si="3"/>
        <v>0</v>
      </c>
      <c r="Q169" s="40"/>
    </row>
    <row r="170" ht="15.75" customHeight="1">
      <c r="A170" s="32"/>
      <c r="B170" s="33"/>
      <c r="C170" s="33"/>
      <c r="D170" s="34"/>
      <c r="E170" s="35"/>
      <c r="F170" s="33"/>
      <c r="G170" s="36"/>
      <c r="H170" s="37">
        <f t="shared" si="1"/>
        <v>0</v>
      </c>
      <c r="I170" s="33"/>
      <c r="J170" s="33"/>
      <c r="K170" s="39"/>
      <c r="L170" s="37">
        <f t="shared" si="2"/>
        <v>0</v>
      </c>
      <c r="M170" s="33"/>
      <c r="N170" s="32"/>
      <c r="O170" s="39"/>
      <c r="P170" s="37">
        <f t="shared" si="3"/>
        <v>0</v>
      </c>
      <c r="Q170" s="40"/>
    </row>
    <row r="171" ht="15.75" customHeight="1">
      <c r="A171" s="32"/>
      <c r="B171" s="33"/>
      <c r="C171" s="33"/>
      <c r="D171" s="34"/>
      <c r="E171" s="35"/>
      <c r="F171" s="33"/>
      <c r="G171" s="36"/>
      <c r="H171" s="37">
        <f t="shared" si="1"/>
        <v>0</v>
      </c>
      <c r="I171" s="33"/>
      <c r="J171" s="33"/>
      <c r="K171" s="39"/>
      <c r="L171" s="37">
        <f t="shared" si="2"/>
        <v>0</v>
      </c>
      <c r="M171" s="33"/>
      <c r="N171" s="32"/>
      <c r="O171" s="39"/>
      <c r="P171" s="37">
        <f t="shared" si="3"/>
        <v>0</v>
      </c>
      <c r="Q171" s="40"/>
    </row>
    <row r="172" ht="15.75" customHeight="1">
      <c r="A172" s="32"/>
      <c r="B172" s="33"/>
      <c r="C172" s="33"/>
      <c r="D172" s="34"/>
      <c r="E172" s="35"/>
      <c r="F172" s="33"/>
      <c r="G172" s="36"/>
      <c r="H172" s="37">
        <f t="shared" si="1"/>
        <v>0</v>
      </c>
      <c r="I172" s="33"/>
      <c r="J172" s="33"/>
      <c r="K172" s="39"/>
      <c r="L172" s="37">
        <f t="shared" si="2"/>
        <v>0</v>
      </c>
      <c r="M172" s="33"/>
      <c r="N172" s="32"/>
      <c r="O172" s="39"/>
      <c r="P172" s="37">
        <f t="shared" si="3"/>
        <v>0</v>
      </c>
      <c r="Q172" s="40"/>
    </row>
    <row r="173" ht="15.75" customHeight="1">
      <c r="A173" s="32"/>
      <c r="B173" s="33"/>
      <c r="C173" s="33"/>
      <c r="D173" s="34"/>
      <c r="E173" s="35"/>
      <c r="F173" s="33"/>
      <c r="G173" s="36"/>
      <c r="H173" s="37">
        <f t="shared" si="1"/>
        <v>0</v>
      </c>
      <c r="I173" s="33"/>
      <c r="J173" s="33"/>
      <c r="K173" s="39"/>
      <c r="L173" s="37">
        <f t="shared" si="2"/>
        <v>0</v>
      </c>
      <c r="M173" s="33"/>
      <c r="N173" s="32"/>
      <c r="O173" s="39"/>
      <c r="P173" s="37">
        <f t="shared" si="3"/>
        <v>0</v>
      </c>
      <c r="Q173" s="40"/>
    </row>
    <row r="174" ht="15.75" customHeight="1">
      <c r="A174" s="32"/>
      <c r="B174" s="33"/>
      <c r="C174" s="33"/>
      <c r="D174" s="34"/>
      <c r="E174" s="35"/>
      <c r="F174" s="33"/>
      <c r="G174" s="36"/>
      <c r="H174" s="37">
        <f t="shared" si="1"/>
        <v>0</v>
      </c>
      <c r="I174" s="33"/>
      <c r="J174" s="33"/>
      <c r="K174" s="39"/>
      <c r="L174" s="37">
        <f t="shared" si="2"/>
        <v>0</v>
      </c>
      <c r="M174" s="33"/>
      <c r="N174" s="32"/>
      <c r="O174" s="39"/>
      <c r="P174" s="37">
        <f t="shared" si="3"/>
        <v>0</v>
      </c>
      <c r="Q174" s="40"/>
    </row>
    <row r="175" ht="15.75" customHeight="1">
      <c r="A175" s="32"/>
      <c r="B175" s="33"/>
      <c r="C175" s="33"/>
      <c r="D175" s="34"/>
      <c r="E175" s="35"/>
      <c r="F175" s="33"/>
      <c r="G175" s="36"/>
      <c r="H175" s="37">
        <f t="shared" si="1"/>
        <v>0</v>
      </c>
      <c r="I175" s="33"/>
      <c r="J175" s="33"/>
      <c r="K175" s="39"/>
      <c r="L175" s="37">
        <f t="shared" si="2"/>
        <v>0</v>
      </c>
      <c r="M175" s="33"/>
      <c r="N175" s="32"/>
      <c r="O175" s="39"/>
      <c r="P175" s="37">
        <f t="shared" si="3"/>
        <v>0</v>
      </c>
      <c r="Q175" s="40"/>
    </row>
    <row r="176" ht="15.75" customHeight="1">
      <c r="A176" s="32"/>
      <c r="B176" s="33"/>
      <c r="C176" s="33"/>
      <c r="D176" s="34"/>
      <c r="E176" s="35"/>
      <c r="F176" s="33"/>
      <c r="G176" s="36"/>
      <c r="H176" s="37">
        <f t="shared" si="1"/>
        <v>0</v>
      </c>
      <c r="I176" s="33"/>
      <c r="J176" s="33"/>
      <c r="K176" s="39"/>
      <c r="L176" s="37">
        <f t="shared" si="2"/>
        <v>0</v>
      </c>
      <c r="M176" s="33"/>
      <c r="N176" s="32"/>
      <c r="O176" s="39"/>
      <c r="P176" s="37">
        <f t="shared" si="3"/>
        <v>0</v>
      </c>
      <c r="Q176" s="40"/>
    </row>
    <row r="177" ht="15.75" customHeight="1">
      <c r="A177" s="32"/>
      <c r="B177" s="33"/>
      <c r="C177" s="33"/>
      <c r="D177" s="34"/>
      <c r="E177" s="35"/>
      <c r="F177" s="33"/>
      <c r="G177" s="36"/>
      <c r="H177" s="37">
        <f t="shared" si="1"/>
        <v>0</v>
      </c>
      <c r="I177" s="33"/>
      <c r="J177" s="33"/>
      <c r="K177" s="39"/>
      <c r="L177" s="37">
        <f t="shared" si="2"/>
        <v>0</v>
      </c>
      <c r="M177" s="33"/>
      <c r="N177" s="32"/>
      <c r="O177" s="39"/>
      <c r="P177" s="37">
        <f t="shared" si="3"/>
        <v>0</v>
      </c>
      <c r="Q177" s="40"/>
    </row>
    <row r="178" ht="15.75" customHeight="1">
      <c r="A178" s="32"/>
      <c r="B178" s="33"/>
      <c r="C178" s="33"/>
      <c r="D178" s="34"/>
      <c r="E178" s="35"/>
      <c r="F178" s="33"/>
      <c r="G178" s="36"/>
      <c r="H178" s="37">
        <f t="shared" si="1"/>
        <v>0</v>
      </c>
      <c r="I178" s="33"/>
      <c r="J178" s="33"/>
      <c r="K178" s="39"/>
      <c r="L178" s="37">
        <f t="shared" si="2"/>
        <v>0</v>
      </c>
      <c r="M178" s="33"/>
      <c r="N178" s="32"/>
      <c r="O178" s="39"/>
      <c r="P178" s="37">
        <f t="shared" si="3"/>
        <v>0</v>
      </c>
      <c r="Q178" s="40"/>
    </row>
    <row r="179" ht="15.75" customHeight="1">
      <c r="A179" s="32"/>
      <c r="B179" s="33"/>
      <c r="C179" s="33"/>
      <c r="D179" s="34"/>
      <c r="E179" s="35"/>
      <c r="F179" s="33"/>
      <c r="G179" s="36"/>
      <c r="H179" s="37">
        <f t="shared" si="1"/>
        <v>0</v>
      </c>
      <c r="I179" s="33"/>
      <c r="J179" s="33"/>
      <c r="K179" s="39"/>
      <c r="L179" s="37">
        <f t="shared" si="2"/>
        <v>0</v>
      </c>
      <c r="M179" s="33"/>
      <c r="N179" s="32"/>
      <c r="O179" s="39"/>
      <c r="P179" s="37">
        <f t="shared" si="3"/>
        <v>0</v>
      </c>
      <c r="Q179" s="40"/>
    </row>
    <row r="180" ht="15.75" customHeight="1">
      <c r="A180" s="32"/>
      <c r="B180" s="33"/>
      <c r="C180" s="33"/>
      <c r="D180" s="34"/>
      <c r="E180" s="35"/>
      <c r="F180" s="33"/>
      <c r="G180" s="36"/>
      <c r="H180" s="37">
        <f t="shared" si="1"/>
        <v>0</v>
      </c>
      <c r="I180" s="33"/>
      <c r="J180" s="33"/>
      <c r="K180" s="39"/>
      <c r="L180" s="37">
        <f t="shared" si="2"/>
        <v>0</v>
      </c>
      <c r="M180" s="33"/>
      <c r="N180" s="32"/>
      <c r="O180" s="39"/>
      <c r="P180" s="37">
        <f t="shared" si="3"/>
        <v>0</v>
      </c>
      <c r="Q180" s="40"/>
    </row>
    <row r="181" ht="15.75" customHeight="1">
      <c r="A181" s="32"/>
      <c r="B181" s="33"/>
      <c r="C181" s="33"/>
      <c r="D181" s="34"/>
      <c r="E181" s="35"/>
      <c r="F181" s="33"/>
      <c r="G181" s="36"/>
      <c r="H181" s="37">
        <f t="shared" si="1"/>
        <v>0</v>
      </c>
      <c r="I181" s="33"/>
      <c r="J181" s="33"/>
      <c r="K181" s="39"/>
      <c r="L181" s="37">
        <f t="shared" si="2"/>
        <v>0</v>
      </c>
      <c r="M181" s="33"/>
      <c r="N181" s="32"/>
      <c r="O181" s="39"/>
      <c r="P181" s="37">
        <f t="shared" si="3"/>
        <v>0</v>
      </c>
      <c r="Q181" s="40"/>
    </row>
    <row r="182" ht="15.75" customHeight="1">
      <c r="A182" s="32"/>
      <c r="B182" s="33"/>
      <c r="C182" s="33"/>
      <c r="D182" s="34"/>
      <c r="E182" s="35"/>
      <c r="F182" s="33"/>
      <c r="G182" s="36"/>
      <c r="H182" s="37">
        <f t="shared" si="1"/>
        <v>0</v>
      </c>
      <c r="I182" s="33"/>
      <c r="J182" s="33"/>
      <c r="K182" s="39"/>
      <c r="L182" s="37">
        <f t="shared" si="2"/>
        <v>0</v>
      </c>
      <c r="M182" s="33"/>
      <c r="N182" s="32"/>
      <c r="O182" s="39"/>
      <c r="P182" s="37">
        <f t="shared" si="3"/>
        <v>0</v>
      </c>
      <c r="Q182" s="40"/>
    </row>
    <row r="183" ht="15.75" customHeight="1">
      <c r="A183" s="32"/>
      <c r="B183" s="33"/>
      <c r="C183" s="33"/>
      <c r="D183" s="34"/>
      <c r="E183" s="35"/>
      <c r="F183" s="33"/>
      <c r="G183" s="36"/>
      <c r="H183" s="37">
        <f t="shared" si="1"/>
        <v>0</v>
      </c>
      <c r="I183" s="33"/>
      <c r="J183" s="33"/>
      <c r="K183" s="39"/>
      <c r="L183" s="37">
        <f t="shared" si="2"/>
        <v>0</v>
      </c>
      <c r="M183" s="33"/>
      <c r="N183" s="32"/>
      <c r="O183" s="39"/>
      <c r="P183" s="37">
        <f t="shared" si="3"/>
        <v>0</v>
      </c>
      <c r="Q183" s="40"/>
    </row>
    <row r="184" ht="15.75" customHeight="1">
      <c r="A184" s="32"/>
      <c r="B184" s="33"/>
      <c r="C184" s="33"/>
      <c r="D184" s="34"/>
      <c r="E184" s="35"/>
      <c r="F184" s="33"/>
      <c r="G184" s="36"/>
      <c r="H184" s="37">
        <f t="shared" si="1"/>
        <v>0</v>
      </c>
      <c r="I184" s="33"/>
      <c r="J184" s="33"/>
      <c r="K184" s="39"/>
      <c r="L184" s="37">
        <f t="shared" si="2"/>
        <v>0</v>
      </c>
      <c r="M184" s="33"/>
      <c r="N184" s="32"/>
      <c r="O184" s="39"/>
      <c r="P184" s="37">
        <f t="shared" si="3"/>
        <v>0</v>
      </c>
      <c r="Q184" s="40"/>
    </row>
    <row r="185" ht="15.75" customHeight="1">
      <c r="A185" s="32"/>
      <c r="B185" s="33"/>
      <c r="C185" s="33"/>
      <c r="D185" s="34"/>
      <c r="E185" s="35"/>
      <c r="F185" s="33"/>
      <c r="G185" s="36"/>
      <c r="H185" s="37">
        <f t="shared" si="1"/>
        <v>0</v>
      </c>
      <c r="I185" s="33"/>
      <c r="J185" s="33"/>
      <c r="K185" s="39"/>
      <c r="L185" s="37">
        <f t="shared" si="2"/>
        <v>0</v>
      </c>
      <c r="M185" s="33"/>
      <c r="N185" s="32"/>
      <c r="O185" s="39"/>
      <c r="P185" s="37">
        <f t="shared" si="3"/>
        <v>0</v>
      </c>
      <c r="Q185" s="40"/>
    </row>
    <row r="186" ht="15.75" customHeight="1">
      <c r="A186" s="32"/>
      <c r="B186" s="33"/>
      <c r="C186" s="33"/>
      <c r="D186" s="34"/>
      <c r="E186" s="35"/>
      <c r="F186" s="33"/>
      <c r="G186" s="36"/>
      <c r="H186" s="37">
        <f t="shared" si="1"/>
        <v>0</v>
      </c>
      <c r="I186" s="33"/>
      <c r="J186" s="33"/>
      <c r="K186" s="39"/>
      <c r="L186" s="37">
        <f t="shared" si="2"/>
        <v>0</v>
      </c>
      <c r="M186" s="33"/>
      <c r="N186" s="32"/>
      <c r="O186" s="39"/>
      <c r="P186" s="37">
        <f t="shared" si="3"/>
        <v>0</v>
      </c>
      <c r="Q186" s="40"/>
    </row>
    <row r="187" ht="15.75" customHeight="1">
      <c r="A187" s="32"/>
      <c r="B187" s="33"/>
      <c r="C187" s="33"/>
      <c r="D187" s="34"/>
      <c r="E187" s="35"/>
      <c r="F187" s="33"/>
      <c r="G187" s="36"/>
      <c r="H187" s="37">
        <f t="shared" si="1"/>
        <v>0</v>
      </c>
      <c r="I187" s="33"/>
      <c r="J187" s="33"/>
      <c r="K187" s="39"/>
      <c r="L187" s="37">
        <f t="shared" si="2"/>
        <v>0</v>
      </c>
      <c r="M187" s="33"/>
      <c r="N187" s="32"/>
      <c r="O187" s="39"/>
      <c r="P187" s="37">
        <f t="shared" si="3"/>
        <v>0</v>
      </c>
      <c r="Q187" s="40"/>
    </row>
    <row r="188" ht="15.75" customHeight="1">
      <c r="A188" s="32"/>
      <c r="B188" s="33"/>
      <c r="C188" s="33"/>
      <c r="D188" s="34"/>
      <c r="E188" s="35"/>
      <c r="F188" s="33"/>
      <c r="G188" s="36"/>
      <c r="H188" s="37">
        <f t="shared" si="1"/>
        <v>0</v>
      </c>
      <c r="I188" s="33"/>
      <c r="J188" s="33"/>
      <c r="K188" s="39"/>
      <c r="L188" s="37">
        <f t="shared" si="2"/>
        <v>0</v>
      </c>
      <c r="M188" s="33"/>
      <c r="N188" s="32"/>
      <c r="O188" s="39"/>
      <c r="P188" s="37">
        <f t="shared" si="3"/>
        <v>0</v>
      </c>
      <c r="Q188" s="40"/>
    </row>
    <row r="189" ht="15.75" customHeight="1">
      <c r="A189" s="32"/>
      <c r="B189" s="33"/>
      <c r="C189" s="33"/>
      <c r="D189" s="34"/>
      <c r="E189" s="35"/>
      <c r="F189" s="33"/>
      <c r="G189" s="36"/>
      <c r="H189" s="37">
        <f t="shared" si="1"/>
        <v>0</v>
      </c>
      <c r="I189" s="33"/>
      <c r="J189" s="33"/>
      <c r="K189" s="39"/>
      <c r="L189" s="37">
        <f t="shared" si="2"/>
        <v>0</v>
      </c>
      <c r="M189" s="33"/>
      <c r="N189" s="32"/>
      <c r="O189" s="39"/>
      <c r="P189" s="37">
        <f t="shared" si="3"/>
        <v>0</v>
      </c>
      <c r="Q189" s="40"/>
    </row>
    <row r="190" ht="15.75" customHeight="1">
      <c r="A190" s="32"/>
      <c r="B190" s="33"/>
      <c r="C190" s="33"/>
      <c r="D190" s="34"/>
      <c r="E190" s="35"/>
      <c r="F190" s="33"/>
      <c r="G190" s="36"/>
      <c r="H190" s="37">
        <f t="shared" si="1"/>
        <v>0</v>
      </c>
      <c r="I190" s="33"/>
      <c r="J190" s="33"/>
      <c r="K190" s="39"/>
      <c r="L190" s="37">
        <f t="shared" si="2"/>
        <v>0</v>
      </c>
      <c r="M190" s="33"/>
      <c r="N190" s="32"/>
      <c r="O190" s="39"/>
      <c r="P190" s="37">
        <f t="shared" si="3"/>
        <v>0</v>
      </c>
      <c r="Q190" s="40"/>
    </row>
    <row r="191" ht="15.75" customHeight="1">
      <c r="A191" s="32"/>
      <c r="B191" s="33"/>
      <c r="C191" s="33"/>
      <c r="D191" s="34"/>
      <c r="E191" s="35"/>
      <c r="F191" s="33"/>
      <c r="G191" s="36"/>
      <c r="H191" s="37">
        <f t="shared" si="1"/>
        <v>0</v>
      </c>
      <c r="I191" s="33"/>
      <c r="J191" s="33"/>
      <c r="K191" s="39"/>
      <c r="L191" s="37">
        <f t="shared" si="2"/>
        <v>0</v>
      </c>
      <c r="M191" s="33"/>
      <c r="N191" s="32"/>
      <c r="O191" s="39"/>
      <c r="P191" s="37">
        <f t="shared" si="3"/>
        <v>0</v>
      </c>
      <c r="Q191" s="40"/>
    </row>
    <row r="192" ht="15.75" customHeight="1">
      <c r="A192" s="32"/>
      <c r="B192" s="33"/>
      <c r="C192" s="33"/>
      <c r="D192" s="34"/>
      <c r="E192" s="35"/>
      <c r="F192" s="33"/>
      <c r="G192" s="36"/>
      <c r="H192" s="37">
        <f t="shared" si="1"/>
        <v>0</v>
      </c>
      <c r="I192" s="33"/>
      <c r="J192" s="33"/>
      <c r="K192" s="39"/>
      <c r="L192" s="37">
        <f t="shared" si="2"/>
        <v>0</v>
      </c>
      <c r="M192" s="33"/>
      <c r="N192" s="32"/>
      <c r="O192" s="39"/>
      <c r="P192" s="37">
        <f t="shared" si="3"/>
        <v>0</v>
      </c>
      <c r="Q192" s="40"/>
    </row>
    <row r="193" ht="15.75" customHeight="1">
      <c r="A193" s="32"/>
      <c r="B193" s="33"/>
      <c r="C193" s="33"/>
      <c r="D193" s="34"/>
      <c r="E193" s="35"/>
      <c r="F193" s="33"/>
      <c r="G193" s="36"/>
      <c r="H193" s="37">
        <f t="shared" si="1"/>
        <v>0</v>
      </c>
      <c r="I193" s="33"/>
      <c r="J193" s="33"/>
      <c r="K193" s="39"/>
      <c r="L193" s="37">
        <f t="shared" si="2"/>
        <v>0</v>
      </c>
      <c r="M193" s="33"/>
      <c r="N193" s="32"/>
      <c r="O193" s="39"/>
      <c r="P193" s="37">
        <f t="shared" si="3"/>
        <v>0</v>
      </c>
      <c r="Q193" s="40"/>
    </row>
    <row r="194" ht="15.75" customHeight="1">
      <c r="A194" s="32"/>
      <c r="B194" s="33"/>
      <c r="C194" s="33"/>
      <c r="D194" s="34"/>
      <c r="E194" s="35"/>
      <c r="F194" s="33"/>
      <c r="G194" s="36"/>
      <c r="H194" s="37">
        <f t="shared" si="1"/>
        <v>0</v>
      </c>
      <c r="I194" s="33"/>
      <c r="J194" s="33"/>
      <c r="K194" s="39"/>
      <c r="L194" s="37">
        <f t="shared" si="2"/>
        <v>0</v>
      </c>
      <c r="M194" s="33"/>
      <c r="N194" s="32"/>
      <c r="O194" s="39"/>
      <c r="P194" s="37">
        <f t="shared" si="3"/>
        <v>0</v>
      </c>
      <c r="Q194" s="40"/>
    </row>
    <row r="195" ht="15.75" customHeight="1">
      <c r="A195" s="32"/>
      <c r="B195" s="33"/>
      <c r="C195" s="33"/>
      <c r="D195" s="34"/>
      <c r="E195" s="35"/>
      <c r="F195" s="33"/>
      <c r="G195" s="36"/>
      <c r="H195" s="37">
        <f t="shared" si="1"/>
        <v>0</v>
      </c>
      <c r="I195" s="33"/>
      <c r="J195" s="33"/>
      <c r="K195" s="39"/>
      <c r="L195" s="37">
        <f t="shared" si="2"/>
        <v>0</v>
      </c>
      <c r="M195" s="33"/>
      <c r="N195" s="32"/>
      <c r="O195" s="39"/>
      <c r="P195" s="37">
        <f t="shared" si="3"/>
        <v>0</v>
      </c>
      <c r="Q195" s="40"/>
    </row>
    <row r="196" ht="15.75" customHeight="1">
      <c r="A196" s="32"/>
      <c r="B196" s="33"/>
      <c r="C196" s="33"/>
      <c r="D196" s="34"/>
      <c r="E196" s="35"/>
      <c r="F196" s="33"/>
      <c r="G196" s="36"/>
      <c r="H196" s="37">
        <f t="shared" si="1"/>
        <v>0</v>
      </c>
      <c r="I196" s="33"/>
      <c r="J196" s="33"/>
      <c r="K196" s="39"/>
      <c r="L196" s="37">
        <f t="shared" si="2"/>
        <v>0</v>
      </c>
      <c r="M196" s="33"/>
      <c r="N196" s="32"/>
      <c r="O196" s="39"/>
      <c r="P196" s="37">
        <f t="shared" si="3"/>
        <v>0</v>
      </c>
      <c r="Q196" s="40"/>
    </row>
    <row r="197" ht="15.75" customHeight="1">
      <c r="A197" s="32"/>
      <c r="B197" s="33"/>
      <c r="C197" s="33"/>
      <c r="D197" s="34"/>
      <c r="E197" s="35"/>
      <c r="F197" s="33"/>
      <c r="G197" s="36"/>
      <c r="H197" s="37">
        <f t="shared" si="1"/>
        <v>0</v>
      </c>
      <c r="I197" s="33"/>
      <c r="J197" s="33"/>
      <c r="K197" s="39"/>
      <c r="L197" s="37">
        <f t="shared" si="2"/>
        <v>0</v>
      </c>
      <c r="M197" s="33"/>
      <c r="N197" s="32"/>
      <c r="O197" s="39"/>
      <c r="P197" s="37">
        <f t="shared" si="3"/>
        <v>0</v>
      </c>
      <c r="Q197" s="40"/>
    </row>
    <row r="198" ht="15.75" customHeight="1">
      <c r="A198" s="32"/>
      <c r="B198" s="33"/>
      <c r="C198" s="33"/>
      <c r="D198" s="34"/>
      <c r="E198" s="35"/>
      <c r="F198" s="33"/>
      <c r="G198" s="36"/>
      <c r="H198" s="37">
        <f t="shared" si="1"/>
        <v>0</v>
      </c>
      <c r="I198" s="33"/>
      <c r="J198" s="33"/>
      <c r="K198" s="39"/>
      <c r="L198" s="37">
        <f t="shared" si="2"/>
        <v>0</v>
      </c>
      <c r="M198" s="33"/>
      <c r="N198" s="32"/>
      <c r="O198" s="39"/>
      <c r="P198" s="37">
        <f t="shared" si="3"/>
        <v>0</v>
      </c>
      <c r="Q198" s="40"/>
    </row>
    <row r="199" ht="15.75" customHeight="1">
      <c r="A199" s="32"/>
      <c r="B199" s="33"/>
      <c r="C199" s="33"/>
      <c r="D199" s="34"/>
      <c r="E199" s="35"/>
      <c r="F199" s="33"/>
      <c r="G199" s="36"/>
      <c r="H199" s="37">
        <f t="shared" si="1"/>
        <v>0</v>
      </c>
      <c r="I199" s="33"/>
      <c r="J199" s="33"/>
      <c r="K199" s="39"/>
      <c r="L199" s="37">
        <f t="shared" si="2"/>
        <v>0</v>
      </c>
      <c r="M199" s="33"/>
      <c r="N199" s="32"/>
      <c r="O199" s="39"/>
      <c r="P199" s="37">
        <f t="shared" si="3"/>
        <v>0</v>
      </c>
      <c r="Q199" s="40"/>
    </row>
    <row r="200" ht="15.75" customHeight="1">
      <c r="A200" s="32"/>
      <c r="B200" s="33"/>
      <c r="C200" s="33"/>
      <c r="D200" s="34"/>
      <c r="E200" s="35"/>
      <c r="F200" s="33"/>
      <c r="G200" s="36"/>
      <c r="H200" s="37">
        <f t="shared" si="1"/>
        <v>0</v>
      </c>
      <c r="I200" s="33"/>
      <c r="J200" s="33"/>
      <c r="K200" s="39"/>
      <c r="L200" s="37">
        <f t="shared" si="2"/>
        <v>0</v>
      </c>
      <c r="M200" s="33"/>
      <c r="N200" s="32"/>
      <c r="O200" s="39"/>
      <c r="P200" s="37">
        <f t="shared" si="3"/>
        <v>0</v>
      </c>
      <c r="Q200" s="40"/>
    </row>
    <row r="201" ht="15.75" customHeight="1">
      <c r="A201" s="32"/>
      <c r="B201" s="33"/>
      <c r="C201" s="33"/>
      <c r="D201" s="34"/>
      <c r="E201" s="35"/>
      <c r="F201" s="33"/>
      <c r="G201" s="36"/>
      <c r="H201" s="37">
        <f t="shared" si="1"/>
        <v>0</v>
      </c>
      <c r="I201" s="33"/>
      <c r="J201" s="33"/>
      <c r="K201" s="39"/>
      <c r="L201" s="37">
        <f t="shared" si="2"/>
        <v>0</v>
      </c>
      <c r="M201" s="33"/>
      <c r="N201" s="32"/>
      <c r="O201" s="39"/>
      <c r="P201" s="37">
        <f t="shared" si="3"/>
        <v>0</v>
      </c>
      <c r="Q201" s="40"/>
    </row>
    <row r="202" ht="15.75" customHeight="1">
      <c r="A202" s="32"/>
      <c r="B202" s="33"/>
      <c r="C202" s="33"/>
      <c r="D202" s="34"/>
      <c r="E202" s="35"/>
      <c r="F202" s="33"/>
      <c r="G202" s="36"/>
      <c r="H202" s="37">
        <f t="shared" si="1"/>
        <v>0</v>
      </c>
      <c r="I202" s="33"/>
      <c r="J202" s="33"/>
      <c r="K202" s="39"/>
      <c r="L202" s="37">
        <f t="shared" si="2"/>
        <v>0</v>
      </c>
      <c r="M202" s="33"/>
      <c r="N202" s="32"/>
      <c r="O202" s="39"/>
      <c r="P202" s="37">
        <f t="shared" si="3"/>
        <v>0</v>
      </c>
      <c r="Q202" s="40"/>
    </row>
    <row r="203" ht="15.75" customHeight="1">
      <c r="A203" s="32"/>
      <c r="B203" s="33"/>
      <c r="C203" s="33"/>
      <c r="D203" s="34"/>
      <c r="E203" s="35"/>
      <c r="F203" s="33"/>
      <c r="G203" s="36"/>
      <c r="H203" s="37">
        <f t="shared" si="1"/>
        <v>0</v>
      </c>
      <c r="I203" s="33"/>
      <c r="J203" s="33"/>
      <c r="K203" s="39"/>
      <c r="L203" s="37">
        <f t="shared" si="2"/>
        <v>0</v>
      </c>
      <c r="M203" s="33"/>
      <c r="N203" s="32"/>
      <c r="O203" s="39"/>
      <c r="P203" s="37">
        <f t="shared" si="3"/>
        <v>0</v>
      </c>
      <c r="Q203" s="40"/>
    </row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Q$203"/>
  <mergeCells count="2">
    <mergeCell ref="A1:Q1"/>
    <mergeCell ref="A2:Q2"/>
  </mergeCells>
  <conditionalFormatting sqref="G4:G203">
    <cfRule type="expression" dxfId="6" priority="1">
      <formula>AND($F4="USD",$G4="")</formula>
    </cfRule>
  </conditionalFormatting>
  <conditionalFormatting sqref="M4:M203">
    <cfRule type="expression" dxfId="4" priority="2">
      <formula>M4="PAGADO"</formula>
    </cfRule>
  </conditionalFormatting>
  <conditionalFormatting sqref="M4:M203">
    <cfRule type="expression" dxfId="6" priority="3">
      <formula>M4="PENDIENTE"</formula>
    </cfRule>
  </conditionalFormatting>
  <conditionalFormatting sqref="M4:M203">
    <cfRule type="expression" dxfId="1" priority="4">
      <formula>M4="PARCIAL"</formula>
    </cfRule>
  </conditionalFormatting>
  <conditionalFormatting sqref="M4:M203">
    <cfRule type="expression" dxfId="5" priority="5">
      <formula>M4="ANULADO"</formula>
    </cfRule>
  </conditionalFormatting>
  <dataValidations>
    <dataValidation type="list" allowBlank="1" sqref="I4:I203">
      <formula1>LISTA_PROVEEDORES</formula1>
    </dataValidation>
    <dataValidation type="list" allowBlank="1" sqref="C4:C203">
      <formula1>LISTA_HILOS</formula1>
    </dataValidation>
    <dataValidation type="list" allowBlank="1" sqref="F4:F203">
      <formula1>"PEN,USD"</formula1>
    </dataValidation>
    <dataValidation type="list" allowBlank="1" sqref="B4:B203">
      <formula1>LISTA_PROGRAMAS</formula1>
    </dataValidation>
    <dataValidation type="list" allowBlank="1" sqref="M4:M203">
      <formula1>"PAGADO,PENDIENTE,PARCIAL,ANULADO"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5911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46.14"/>
    <col customWidth="1" min="2" max="2" width="14.0"/>
    <col customWidth="1" min="3" max="3" width="11.0"/>
    <col customWidth="1" min="4" max="4" width="22.0"/>
    <col customWidth="1" min="5" max="5" width="11.0"/>
    <col customWidth="1" min="6" max="6" width="12.0"/>
    <col customWidth="1" min="7" max="7" width="11.0"/>
    <col customWidth="1" min="8" max="8" width="21.86"/>
    <col customWidth="1" min="9" max="9" width="25.29"/>
    <col customWidth="1" min="10" max="10" width="26.14"/>
    <col customWidth="1" min="11" max="11" width="9.0"/>
    <col customWidth="1" min="12" max="12" width="12.43"/>
    <col customWidth="1" min="13" max="13" width="13.0"/>
    <col customWidth="1" min="14" max="14" width="14.0"/>
    <col customWidth="1" min="15" max="15" width="12.0"/>
    <col customWidth="1" min="16" max="17" width="11.0"/>
    <col customWidth="1" min="18" max="19" width="12.0"/>
    <col customWidth="1" min="20" max="21" width="11.0"/>
    <col customWidth="1" min="22" max="22" width="9.0"/>
    <col customWidth="1" min="23" max="23" width="15.71"/>
    <col customWidth="1" min="24" max="24" width="9.0"/>
    <col customWidth="1" min="25" max="25" width="8.0"/>
    <col customWidth="1" min="26" max="26" width="13.0"/>
    <col customWidth="1" min="27" max="28" width="14.0"/>
    <col customWidth="1" min="29" max="29" width="15.29"/>
    <col customWidth="1" min="30" max="32" width="13.0"/>
    <col customWidth="1" min="33" max="33" width="14.0"/>
    <col customWidth="1" min="34" max="34" width="13.0"/>
    <col customWidth="1" min="35" max="35" width="24.0"/>
  </cols>
  <sheetData>
    <row r="1" ht="27.75" customHeight="1">
      <c r="A1" s="1" t="s">
        <v>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</row>
    <row r="2">
      <c r="A2" s="4" t="s">
        <v>82</v>
      </c>
    </row>
    <row r="3" ht="25.5" customHeight="1">
      <c r="A3" s="5" t="s">
        <v>2</v>
      </c>
      <c r="B3" s="5" t="s">
        <v>83</v>
      </c>
      <c r="C3" s="5" t="s">
        <v>84</v>
      </c>
      <c r="D3" s="5" t="s">
        <v>85</v>
      </c>
      <c r="E3" s="5" t="s">
        <v>86</v>
      </c>
      <c r="F3" s="5" t="s">
        <v>87</v>
      </c>
      <c r="G3" s="5" t="s">
        <v>88</v>
      </c>
      <c r="H3" s="5" t="s">
        <v>18</v>
      </c>
      <c r="I3" s="5" t="s">
        <v>19</v>
      </c>
      <c r="J3" s="5" t="s">
        <v>89</v>
      </c>
      <c r="K3" s="5" t="s">
        <v>90</v>
      </c>
      <c r="L3" s="5" t="s">
        <v>91</v>
      </c>
      <c r="M3" s="5" t="s">
        <v>92</v>
      </c>
      <c r="N3" s="5" t="s">
        <v>93</v>
      </c>
      <c r="O3" s="5" t="s">
        <v>94</v>
      </c>
      <c r="P3" s="5" t="s">
        <v>95</v>
      </c>
      <c r="Q3" s="5" t="s">
        <v>96</v>
      </c>
      <c r="R3" s="5" t="s">
        <v>97</v>
      </c>
      <c r="S3" s="5" t="s">
        <v>98</v>
      </c>
      <c r="T3" s="5" t="s">
        <v>99</v>
      </c>
      <c r="U3" s="5" t="s">
        <v>100</v>
      </c>
      <c r="V3" s="5" t="s">
        <v>26</v>
      </c>
      <c r="W3" s="5" t="s">
        <v>101</v>
      </c>
      <c r="X3" s="5" t="s">
        <v>102</v>
      </c>
      <c r="Y3" s="5" t="s">
        <v>103</v>
      </c>
      <c r="Z3" s="5" t="s">
        <v>104</v>
      </c>
      <c r="AA3" s="5" t="s">
        <v>105</v>
      </c>
      <c r="AB3" s="5" t="s">
        <v>106</v>
      </c>
      <c r="AC3" s="5" t="s">
        <v>107</v>
      </c>
      <c r="AD3" s="5" t="s">
        <v>108</v>
      </c>
      <c r="AE3" s="5" t="s">
        <v>109</v>
      </c>
      <c r="AF3" s="5" t="s">
        <v>110</v>
      </c>
      <c r="AG3" s="5" t="s">
        <v>111</v>
      </c>
      <c r="AH3" s="5" t="s">
        <v>112</v>
      </c>
      <c r="AI3" s="5" t="s">
        <v>11</v>
      </c>
    </row>
    <row r="4">
      <c r="A4" s="40" t="s">
        <v>35</v>
      </c>
      <c r="B4" s="33" t="s">
        <v>113</v>
      </c>
      <c r="C4" s="45" t="str">
        <f>IFERROR(VLOOKUP(B4,COLORES!$A$4:$B$52,2,FALSE()),"")</f>
        <v>OSCURO</v>
      </c>
      <c r="D4" s="33" t="s">
        <v>114</v>
      </c>
      <c r="E4" s="46">
        <v>20.0</v>
      </c>
      <c r="F4" s="34">
        <v>400.0</v>
      </c>
      <c r="G4" s="33" t="s">
        <v>115</v>
      </c>
      <c r="H4" s="47">
        <v>400.0</v>
      </c>
      <c r="I4" s="47">
        <v>395.0</v>
      </c>
      <c r="J4" s="48">
        <f>IFERROR(VLOOKUP(VLOOKUP(A4,PROGRAMAS!$A$4:$G$103,7,FALSE()),PRECIOS_TEJEDURIA!$A$4:$B$22,2,FALSE()),0)</f>
        <v>0.5</v>
      </c>
      <c r="K4" s="49" t="s">
        <v>76</v>
      </c>
      <c r="L4" s="50">
        <v>3.55</v>
      </c>
      <c r="M4" s="51">
        <f t="shared" ref="M4:M503" si="1">IFERROR(H4*J4*IF(K4="USD",L4,1),0)</f>
        <v>710</v>
      </c>
      <c r="N4" s="49" t="s">
        <v>116</v>
      </c>
      <c r="O4" s="49" t="s">
        <v>116</v>
      </c>
      <c r="P4" s="49" t="s">
        <v>79</v>
      </c>
      <c r="Q4" s="52">
        <v>46114.0</v>
      </c>
      <c r="R4" s="53">
        <v>395.0</v>
      </c>
      <c r="S4" s="53">
        <v>380.0</v>
      </c>
      <c r="T4" s="54">
        <v>20.0</v>
      </c>
      <c r="U4" s="19">
        <f t="shared" ref="U4:U503" si="2">IFERROR(R4-S4,0)</f>
        <v>15</v>
      </c>
      <c r="V4" s="20">
        <f t="shared" ref="V4:V503" si="3">IFERROR(U4/R4,0)</f>
        <v>0.03797468354</v>
      </c>
      <c r="W4" s="55">
        <f t="array" ref="W4">IFERROR(INDEX(PRECIOS_TINTORERIA!$B$4:$U$15,MATCH(D4,PRECIOS_TINTORERIA!$A$4:$A$15,0),MATCH(VLOOKUP(A4,PROGRAMAS!$A$4:$G$103,7,FALSE()),PRECIOS_TINTORERIA!$B$3:$U$3,0)),0)</f>
        <v>2.7</v>
      </c>
      <c r="X4" s="56" t="s">
        <v>76</v>
      </c>
      <c r="Y4" s="57">
        <v>3.55</v>
      </c>
      <c r="Z4" s="58">
        <f t="shared" ref="Z4:Z503" si="4">IFERROR(R4*W4*IF(X4="USD",Y4,1),0)</f>
        <v>3786.075</v>
      </c>
      <c r="AA4" s="56" t="s">
        <v>117</v>
      </c>
      <c r="AB4" s="56" t="s">
        <v>117</v>
      </c>
      <c r="AC4" s="56" t="s">
        <v>79</v>
      </c>
      <c r="AD4" s="23">
        <f>IFERROR((SUMIFS(COMPRAS_HILO!$H$4:$H$203,COMPRAS_HILO!$B$4:$B$203,A4))*F4/SUMIFS($F$4:$F$503,$A$4:$A$503,A4),0)</f>
        <v>4200</v>
      </c>
      <c r="AE4" s="23">
        <f t="shared" ref="AE4:AE503" si="5">M4</f>
        <v>710</v>
      </c>
      <c r="AF4" s="23">
        <f t="shared" ref="AF4:AF503" si="6">Z4</f>
        <v>3786.075</v>
      </c>
      <c r="AG4" s="25">
        <f t="shared" ref="AG4:AG503" si="7">AD4+AE4+AF4</f>
        <v>8696.075</v>
      </c>
      <c r="AH4" s="25">
        <f t="shared" ref="AH4:AH503" si="8">IFERROR(AG4/S4,0)</f>
        <v>22.88440789</v>
      </c>
      <c r="AI4" s="59"/>
    </row>
    <row r="5">
      <c r="A5" s="40" t="s">
        <v>35</v>
      </c>
      <c r="B5" s="33" t="s">
        <v>118</v>
      </c>
      <c r="C5" s="45" t="str">
        <f>IFERROR(VLOOKUP(B5,COLORES!$A$4:$B$52,2,FALSE()),"")</f>
        <v>PPT</v>
      </c>
      <c r="D5" s="33" t="s">
        <v>119</v>
      </c>
      <c r="E5" s="46">
        <v>10.0</v>
      </c>
      <c r="F5" s="34">
        <v>200.0</v>
      </c>
      <c r="G5" s="33" t="s">
        <v>120</v>
      </c>
      <c r="H5" s="47">
        <v>200.0</v>
      </c>
      <c r="I5" s="47">
        <v>195.0</v>
      </c>
      <c r="J5" s="48">
        <f>IFERROR(VLOOKUP(VLOOKUP(A5,PROGRAMAS!$A$4:$G$103,7,FALSE()),PRECIOS_TEJEDURIA!$A$4:$B$22,2,FALSE()),0)</f>
        <v>0.5</v>
      </c>
      <c r="K5" s="49" t="s">
        <v>76</v>
      </c>
      <c r="L5" s="50">
        <v>3.55</v>
      </c>
      <c r="M5" s="51">
        <f t="shared" si="1"/>
        <v>355</v>
      </c>
      <c r="N5" s="49" t="s">
        <v>121</v>
      </c>
      <c r="O5" s="49" t="s">
        <v>121</v>
      </c>
      <c r="P5" s="49" t="s">
        <v>79</v>
      </c>
      <c r="Q5" s="52">
        <v>46114.0</v>
      </c>
      <c r="R5" s="53">
        <v>195.0</v>
      </c>
      <c r="S5" s="53">
        <v>170.0</v>
      </c>
      <c r="T5" s="54">
        <v>10.0</v>
      </c>
      <c r="U5" s="19">
        <f t="shared" si="2"/>
        <v>25</v>
      </c>
      <c r="V5" s="20">
        <f t="shared" si="3"/>
        <v>0.1282051282</v>
      </c>
      <c r="W5" s="55">
        <f t="array" ref="W5">IFERROR(INDEX(PRECIOS_TINTORERIA!$B$4:$U$15,MATCH(D5,PRECIOS_TINTORERIA!$A$4:$A$15,0),MATCH(VLOOKUP(A5,PROGRAMAS!$A$4:$G$103,7,FALSE()),PRECIOS_TINTORERIA!$B$3:$U$3,0)),0)</f>
        <v>1.1</v>
      </c>
      <c r="X5" s="56" t="s">
        <v>76</v>
      </c>
      <c r="Y5" s="57">
        <v>3.55</v>
      </c>
      <c r="Z5" s="58">
        <f t="shared" si="4"/>
        <v>761.475</v>
      </c>
      <c r="AA5" s="56" t="s">
        <v>122</v>
      </c>
      <c r="AB5" s="56" t="s">
        <v>122</v>
      </c>
      <c r="AC5" s="56" t="s">
        <v>79</v>
      </c>
      <c r="AD5" s="23">
        <f>IFERROR((SUMIFS(COMPRAS_HILO!$H$4:$H$203,COMPRAS_HILO!$B$4:$B$203,A5))*F5/SUMIFS($F$4:$F$503,$A$4:$A$503,A5),0)</f>
        <v>2100</v>
      </c>
      <c r="AE5" s="23">
        <f t="shared" si="5"/>
        <v>355</v>
      </c>
      <c r="AF5" s="23">
        <f t="shared" si="6"/>
        <v>761.475</v>
      </c>
      <c r="AG5" s="25">
        <f t="shared" si="7"/>
        <v>3216.475</v>
      </c>
      <c r="AH5" s="25">
        <f t="shared" si="8"/>
        <v>18.92044118</v>
      </c>
      <c r="AI5" s="59"/>
    </row>
    <row r="6">
      <c r="A6" s="40" t="s">
        <v>35</v>
      </c>
      <c r="B6" s="33" t="s">
        <v>123</v>
      </c>
      <c r="C6" s="45" t="str">
        <f>IFERROR(VLOOKUP(B6,COLORES!$A$4:$B$52,2,FALSE()),"")</f>
        <v>CLARO</v>
      </c>
      <c r="D6" s="33" t="s">
        <v>124</v>
      </c>
      <c r="E6" s="46">
        <v>10.0</v>
      </c>
      <c r="F6" s="34">
        <v>200.0</v>
      </c>
      <c r="G6" s="33" t="s">
        <v>125</v>
      </c>
      <c r="H6" s="47">
        <v>200.0</v>
      </c>
      <c r="I6" s="47">
        <v>195.0</v>
      </c>
      <c r="J6" s="48">
        <f>IFERROR(VLOOKUP(VLOOKUP(A6,PROGRAMAS!$A$4:$G$103,7,FALSE()),PRECIOS_TEJEDURIA!$A$4:$B$22,2,FALSE()),0)</f>
        <v>0.5</v>
      </c>
      <c r="K6" s="49" t="s">
        <v>76</v>
      </c>
      <c r="L6" s="50">
        <v>3.55</v>
      </c>
      <c r="M6" s="51">
        <f t="shared" si="1"/>
        <v>355</v>
      </c>
      <c r="N6" s="49" t="s">
        <v>126</v>
      </c>
      <c r="O6" s="49" t="s">
        <v>126</v>
      </c>
      <c r="P6" s="49" t="s">
        <v>79</v>
      </c>
      <c r="Q6" s="52">
        <v>46114.0</v>
      </c>
      <c r="R6" s="53">
        <v>195.0</v>
      </c>
      <c r="S6" s="53">
        <v>170.0</v>
      </c>
      <c r="T6" s="54">
        <v>10.0</v>
      </c>
      <c r="U6" s="19">
        <f t="shared" si="2"/>
        <v>25</v>
      </c>
      <c r="V6" s="20">
        <f t="shared" si="3"/>
        <v>0.1282051282</v>
      </c>
      <c r="W6" s="55">
        <f t="array" ref="W6">IFERROR(INDEX(PRECIOS_TINTORERIA!$B$4:$U$15,MATCH(D6,PRECIOS_TINTORERIA!$A$4:$A$15,0),MATCH(VLOOKUP(A6,PROGRAMAS!$A$4:$G$103,7,FALSE()),PRECIOS_TINTORERIA!$B$3:$U$3,0)),0)</f>
        <v>1.95</v>
      </c>
      <c r="X6" s="56" t="s">
        <v>76</v>
      </c>
      <c r="Y6" s="57">
        <v>3.5</v>
      </c>
      <c r="Z6" s="58">
        <f t="shared" si="4"/>
        <v>1330.875</v>
      </c>
      <c r="AA6" s="56" t="s">
        <v>127</v>
      </c>
      <c r="AB6" s="56" t="s">
        <v>127</v>
      </c>
      <c r="AC6" s="56" t="s">
        <v>79</v>
      </c>
      <c r="AD6" s="23">
        <f>IFERROR((SUMIFS(COMPRAS_HILO!$H$4:$H$203,COMPRAS_HILO!$B$4:$B$203,A6))*F6/SUMIFS($F$4:$F$503,$A$4:$A$503,A6),0)</f>
        <v>2100</v>
      </c>
      <c r="AE6" s="23">
        <f t="shared" si="5"/>
        <v>355</v>
      </c>
      <c r="AF6" s="23">
        <f t="shared" si="6"/>
        <v>1330.875</v>
      </c>
      <c r="AG6" s="25">
        <f t="shared" si="7"/>
        <v>3785.875</v>
      </c>
      <c r="AH6" s="25">
        <f t="shared" si="8"/>
        <v>22.26985294</v>
      </c>
      <c r="AI6" s="59"/>
    </row>
    <row r="7">
      <c r="A7" s="40" t="s">
        <v>35</v>
      </c>
      <c r="B7" s="33" t="s">
        <v>128</v>
      </c>
      <c r="C7" s="45" t="str">
        <f>IFERROR(VLOOKUP(B7,COLORES!$A$4:$B$52,2,FALSE()),"")</f>
        <v>MELANGE</v>
      </c>
      <c r="D7" s="33" t="s">
        <v>129</v>
      </c>
      <c r="E7" s="46">
        <v>10.0</v>
      </c>
      <c r="F7" s="34">
        <v>200.0</v>
      </c>
      <c r="G7" s="33" t="s">
        <v>130</v>
      </c>
      <c r="H7" s="47">
        <v>200.0</v>
      </c>
      <c r="I7" s="47">
        <v>195.0</v>
      </c>
      <c r="J7" s="48">
        <f>IFERROR(VLOOKUP(VLOOKUP(A7,PROGRAMAS!$A$4:$G$103,7,FALSE()),PRECIOS_TEJEDURIA!$A$4:$B$22,2,FALSE()),0)</f>
        <v>0.5</v>
      </c>
      <c r="K7" s="49" t="s">
        <v>76</v>
      </c>
      <c r="L7" s="50">
        <v>3.55</v>
      </c>
      <c r="M7" s="51">
        <f t="shared" si="1"/>
        <v>355</v>
      </c>
      <c r="N7" s="49" t="s">
        <v>131</v>
      </c>
      <c r="O7" s="49" t="s">
        <v>131</v>
      </c>
      <c r="P7" s="49" t="s">
        <v>79</v>
      </c>
      <c r="Q7" s="52">
        <v>46114.0</v>
      </c>
      <c r="R7" s="53">
        <v>195.0</v>
      </c>
      <c r="S7" s="53">
        <v>170.0</v>
      </c>
      <c r="T7" s="54">
        <v>10.0</v>
      </c>
      <c r="U7" s="19">
        <f t="shared" si="2"/>
        <v>25</v>
      </c>
      <c r="V7" s="20">
        <f t="shared" si="3"/>
        <v>0.1282051282</v>
      </c>
      <c r="W7" s="55">
        <f t="array" ref="W7">IFERROR(INDEX(PRECIOS_TINTORERIA!$B$4:$U$15,MATCH(D7,PRECIOS_TINTORERIA!$A$4:$A$15,0),MATCH(VLOOKUP(A7,PROGRAMAS!$A$4:$G$103,7,FALSE()),PRECIOS_TINTORERIA!$B$3:$U$3,0)),0)</f>
        <v>1.1</v>
      </c>
      <c r="X7" s="56" t="s">
        <v>76</v>
      </c>
      <c r="Y7" s="57">
        <v>3.5</v>
      </c>
      <c r="Z7" s="58">
        <f t="shared" si="4"/>
        <v>750.75</v>
      </c>
      <c r="AA7" s="56" t="s">
        <v>132</v>
      </c>
      <c r="AB7" s="56" t="s">
        <v>132</v>
      </c>
      <c r="AC7" s="56" t="s">
        <v>79</v>
      </c>
      <c r="AD7" s="23">
        <f>IFERROR((SUMIFS(COMPRAS_HILO!$H$4:$H$203,COMPRAS_HILO!$B$4:$B$203,A7))*F7/SUMIFS($F$4:$F$503,$A$4:$A$503,A7),0)</f>
        <v>2100</v>
      </c>
      <c r="AE7" s="23">
        <f t="shared" si="5"/>
        <v>355</v>
      </c>
      <c r="AF7" s="23">
        <f t="shared" si="6"/>
        <v>750.75</v>
      </c>
      <c r="AG7" s="25">
        <f t="shared" si="7"/>
        <v>3205.75</v>
      </c>
      <c r="AH7" s="25">
        <f t="shared" si="8"/>
        <v>18.85735294</v>
      </c>
      <c r="AI7" s="59"/>
    </row>
    <row r="8">
      <c r="A8" s="40"/>
      <c r="B8" s="33"/>
      <c r="C8" s="45" t="str">
        <f>IFERROR(VLOOKUP(B8,COLORES!$A$4:$B$52,2,FALSE()),"")</f>
        <v/>
      </c>
      <c r="D8" s="33"/>
      <c r="E8" s="46"/>
      <c r="F8" s="34"/>
      <c r="G8" s="33"/>
      <c r="H8" s="47"/>
      <c r="I8" s="47"/>
      <c r="J8" s="48">
        <f>IFERROR(VLOOKUP(VLOOKUP(A8,PROGRAMAS!$A$4:$G$103,7,FALSE()),PRECIOS_TEJEDURIA!$A$4:$B$22,2,FALSE()),0)</f>
        <v>0</v>
      </c>
      <c r="K8" s="49"/>
      <c r="L8" s="50"/>
      <c r="M8" s="51">
        <f t="shared" si="1"/>
        <v>0</v>
      </c>
      <c r="N8" s="49"/>
      <c r="O8" s="49"/>
      <c r="P8" s="49"/>
      <c r="Q8" s="52"/>
      <c r="R8" s="53"/>
      <c r="S8" s="53"/>
      <c r="T8" s="54"/>
      <c r="U8" s="19">
        <f t="shared" si="2"/>
        <v>0</v>
      </c>
      <c r="V8" s="20">
        <f t="shared" si="3"/>
        <v>0</v>
      </c>
      <c r="W8" s="55">
        <f t="array" ref="W8">IFERROR(INDEX(PRECIOS_TINTORERIA!$B$4:$U$15,MATCH(D8,PRECIOS_TINTORERIA!$A$4:$A$15,0),MATCH(VLOOKUP(A8,PROGRAMAS!$A$4:$G$103,7,FALSE()),PRECIOS_TINTORERIA!$B$3:$U$3,0)),0)</f>
        <v>0</v>
      </c>
      <c r="X8" s="56"/>
      <c r="Y8" s="57"/>
      <c r="Z8" s="58">
        <f t="shared" si="4"/>
        <v>0</v>
      </c>
      <c r="AA8" s="56"/>
      <c r="AB8" s="56"/>
      <c r="AC8" s="56"/>
      <c r="AD8" s="23">
        <f>IFERROR((SUMIFS(COMPRAS_HILO!$H$4:$H$203,COMPRAS_HILO!$B$4:$B$203,A8))*F8/SUMIFS($F$4:$F$503,$A$4:$A$503,A8),0)</f>
        <v>0</v>
      </c>
      <c r="AE8" s="23">
        <f t="shared" si="5"/>
        <v>0</v>
      </c>
      <c r="AF8" s="23">
        <f t="shared" si="6"/>
        <v>0</v>
      </c>
      <c r="AG8" s="25">
        <f t="shared" si="7"/>
        <v>0</v>
      </c>
      <c r="AH8" s="25">
        <f t="shared" si="8"/>
        <v>0</v>
      </c>
      <c r="AI8" s="59"/>
    </row>
    <row r="9">
      <c r="A9" s="40"/>
      <c r="B9" s="33"/>
      <c r="C9" s="45" t="str">
        <f>IFERROR(VLOOKUP(B9,COLORES!$A$4:$B$52,2,FALSE()),"")</f>
        <v/>
      </c>
      <c r="D9" s="33"/>
      <c r="E9" s="46"/>
      <c r="F9" s="34"/>
      <c r="G9" s="33"/>
      <c r="H9" s="47"/>
      <c r="I9" s="47"/>
      <c r="J9" s="48">
        <f>IFERROR(VLOOKUP(VLOOKUP(A9,PROGRAMAS!$A$4:$G$103,7,FALSE()),PRECIOS_TEJEDURIA!$A$4:$B$22,2,FALSE()),0)</f>
        <v>0</v>
      </c>
      <c r="K9" s="49"/>
      <c r="L9" s="50"/>
      <c r="M9" s="51">
        <f t="shared" si="1"/>
        <v>0</v>
      </c>
      <c r="N9" s="49"/>
      <c r="O9" s="49"/>
      <c r="P9" s="49"/>
      <c r="Q9" s="52"/>
      <c r="R9" s="53"/>
      <c r="S9" s="53"/>
      <c r="T9" s="54"/>
      <c r="U9" s="19">
        <f t="shared" si="2"/>
        <v>0</v>
      </c>
      <c r="V9" s="20">
        <f t="shared" si="3"/>
        <v>0</v>
      </c>
      <c r="W9" s="55">
        <f t="array" ref="W9">IFERROR(INDEX(PRECIOS_TINTORERIA!$B$4:$U$15,MATCH(D9,PRECIOS_TINTORERIA!$A$4:$A$15,0),MATCH(VLOOKUP(A9,PROGRAMAS!$A$4:$G$103,7,FALSE()),PRECIOS_TINTORERIA!$B$3:$U$3,0)),0)</f>
        <v>0</v>
      </c>
      <c r="X9" s="56"/>
      <c r="Y9" s="57"/>
      <c r="Z9" s="58">
        <f t="shared" si="4"/>
        <v>0</v>
      </c>
      <c r="AA9" s="56"/>
      <c r="AB9" s="56"/>
      <c r="AC9" s="56"/>
      <c r="AD9" s="23">
        <f>IFERROR((SUMIFS(COMPRAS_HILO!$H$4:$H$203,COMPRAS_HILO!$B$4:$B$203,A9))*F9/SUMIFS($F$4:$F$503,$A$4:$A$503,A9),0)</f>
        <v>0</v>
      </c>
      <c r="AE9" s="23">
        <f t="shared" si="5"/>
        <v>0</v>
      </c>
      <c r="AF9" s="23">
        <f t="shared" si="6"/>
        <v>0</v>
      </c>
      <c r="AG9" s="25">
        <f t="shared" si="7"/>
        <v>0</v>
      </c>
      <c r="AH9" s="25">
        <f t="shared" si="8"/>
        <v>0</v>
      </c>
      <c r="AI9" s="59"/>
    </row>
    <row r="10">
      <c r="A10" s="40" t="s">
        <v>42</v>
      </c>
      <c r="B10" s="33" t="s">
        <v>113</v>
      </c>
      <c r="C10" s="45" t="str">
        <f>IFERROR(VLOOKUP(B10,COLORES!$A$4:$B$52,2,FALSE()),"")</f>
        <v>OSCURO</v>
      </c>
      <c r="D10" s="33" t="s">
        <v>114</v>
      </c>
      <c r="E10" s="46">
        <v>8.0</v>
      </c>
      <c r="F10" s="34">
        <v>160.0</v>
      </c>
      <c r="G10" s="33" t="s">
        <v>120</v>
      </c>
      <c r="H10" s="47">
        <v>160.0</v>
      </c>
      <c r="I10" s="47"/>
      <c r="J10" s="48">
        <f>IFERROR(VLOOKUP(VLOOKUP(A10,PROGRAMAS!$A$4:$G$103,7,FALSE()),PRECIOS_TEJEDURIA!$A$4:$B$22,2,FALSE()),0)</f>
        <v>0.7</v>
      </c>
      <c r="K10" s="49" t="s">
        <v>76</v>
      </c>
      <c r="L10" s="50"/>
      <c r="M10" s="51">
        <f t="shared" si="1"/>
        <v>0</v>
      </c>
      <c r="N10" s="49"/>
      <c r="O10" s="49"/>
      <c r="P10" s="49"/>
      <c r="Q10" s="52"/>
      <c r="R10" s="53"/>
      <c r="S10" s="53"/>
      <c r="T10" s="54"/>
      <c r="U10" s="19">
        <f t="shared" si="2"/>
        <v>0</v>
      </c>
      <c r="V10" s="20">
        <f t="shared" si="3"/>
        <v>0</v>
      </c>
      <c r="W10" s="55">
        <f t="array" ref="W10">IFERROR(INDEX(PRECIOS_TINTORERIA!$B$4:$U$15,MATCH(D10,PRECIOS_TINTORERIA!$A$4:$A$15,0),MATCH(VLOOKUP(A10,PROGRAMAS!$A$4:$G$103,7,FALSE()),PRECIOS_TINTORERIA!$B$3:$U$3,0)),0)</f>
        <v>0</v>
      </c>
      <c r="X10" s="56"/>
      <c r="Y10" s="57"/>
      <c r="Z10" s="58">
        <f t="shared" si="4"/>
        <v>0</v>
      </c>
      <c r="AA10" s="56"/>
      <c r="AB10" s="56"/>
      <c r="AC10" s="56"/>
      <c r="AD10" s="23">
        <f>IFERROR((SUMIFS(COMPRAS_HILO!$H$4:$H$203,COMPRAS_HILO!$B$4:$B$203,A10))*F10/SUMIFS($F$4:$F$503,$A$4:$A$503,A10),0)</f>
        <v>3080</v>
      </c>
      <c r="AE10" s="23">
        <f t="shared" si="5"/>
        <v>0</v>
      </c>
      <c r="AF10" s="23">
        <f t="shared" si="6"/>
        <v>0</v>
      </c>
      <c r="AG10" s="25">
        <f t="shared" si="7"/>
        <v>3080</v>
      </c>
      <c r="AH10" s="25">
        <f t="shared" si="8"/>
        <v>0</v>
      </c>
      <c r="AI10" s="59"/>
    </row>
    <row r="11">
      <c r="A11" s="40" t="s">
        <v>42</v>
      </c>
      <c r="B11" s="33" t="s">
        <v>118</v>
      </c>
      <c r="C11" s="45" t="str">
        <f>IFERROR(VLOOKUP(B11,COLORES!$A$4:$B$52,2,FALSE()),"")</f>
        <v>PPT</v>
      </c>
      <c r="D11" s="33" t="s">
        <v>119</v>
      </c>
      <c r="E11" s="46">
        <v>9.0</v>
      </c>
      <c r="F11" s="34">
        <v>180.0</v>
      </c>
      <c r="G11" s="33" t="s">
        <v>120</v>
      </c>
      <c r="H11" s="47">
        <v>180.0</v>
      </c>
      <c r="I11" s="47"/>
      <c r="J11" s="48">
        <f>IFERROR(VLOOKUP(VLOOKUP(A11,PROGRAMAS!$A$4:$G$103,7,FALSE()),PRECIOS_TEJEDURIA!$A$4:$B$22,2,FALSE()),0)</f>
        <v>0.7</v>
      </c>
      <c r="K11" s="49" t="s">
        <v>76</v>
      </c>
      <c r="L11" s="50"/>
      <c r="M11" s="51">
        <f t="shared" si="1"/>
        <v>0</v>
      </c>
      <c r="N11" s="49"/>
      <c r="O11" s="49"/>
      <c r="P11" s="49"/>
      <c r="Q11" s="52"/>
      <c r="R11" s="53"/>
      <c r="S11" s="53"/>
      <c r="T11" s="54"/>
      <c r="U11" s="19">
        <f t="shared" si="2"/>
        <v>0</v>
      </c>
      <c r="V11" s="20">
        <f t="shared" si="3"/>
        <v>0</v>
      </c>
      <c r="W11" s="55">
        <f t="array" ref="W11">IFERROR(INDEX(PRECIOS_TINTORERIA!$B$4:$U$15,MATCH(D11,PRECIOS_TINTORERIA!$A$4:$A$15,0),MATCH(VLOOKUP(A11,PROGRAMAS!$A$4:$G$103,7,FALSE()),PRECIOS_TINTORERIA!$B$3:$U$3,0)),0)</f>
        <v>0</v>
      </c>
      <c r="X11" s="56"/>
      <c r="Y11" s="57"/>
      <c r="Z11" s="58">
        <f t="shared" si="4"/>
        <v>0</v>
      </c>
      <c r="AA11" s="56"/>
      <c r="AB11" s="56"/>
      <c r="AC11" s="56"/>
      <c r="AD11" s="23">
        <f>IFERROR((SUMIFS(COMPRAS_HILO!$H$4:$H$203,COMPRAS_HILO!$B$4:$B$203,A11))*F11/SUMIFS($F$4:$F$503,$A$4:$A$503,A11),0)</f>
        <v>3465</v>
      </c>
      <c r="AE11" s="23">
        <f t="shared" si="5"/>
        <v>0</v>
      </c>
      <c r="AF11" s="23">
        <f t="shared" si="6"/>
        <v>0</v>
      </c>
      <c r="AG11" s="25">
        <f t="shared" si="7"/>
        <v>3465</v>
      </c>
      <c r="AH11" s="25">
        <f t="shared" si="8"/>
        <v>0</v>
      </c>
      <c r="AI11" s="59"/>
    </row>
    <row r="12">
      <c r="A12" s="40" t="s">
        <v>42</v>
      </c>
      <c r="B12" s="33" t="s">
        <v>133</v>
      </c>
      <c r="C12" s="45" t="str">
        <f>IFERROR(VLOOKUP(B12,COLORES!$A$4:$B$52,2,FALSE()),"")</f>
        <v>OSCURO</v>
      </c>
      <c r="D12" s="33" t="s">
        <v>114</v>
      </c>
      <c r="E12" s="46">
        <v>8.0</v>
      </c>
      <c r="F12" s="34">
        <v>160.0</v>
      </c>
      <c r="G12" s="33" t="s">
        <v>120</v>
      </c>
      <c r="H12" s="47">
        <v>160.0</v>
      </c>
      <c r="I12" s="47"/>
      <c r="J12" s="48">
        <f>IFERROR(VLOOKUP(VLOOKUP(A12,PROGRAMAS!$A$4:$G$103,7,FALSE()),PRECIOS_TEJEDURIA!$A$4:$B$22,2,FALSE()),0)</f>
        <v>0.7</v>
      </c>
      <c r="K12" s="49" t="s">
        <v>76</v>
      </c>
      <c r="L12" s="50"/>
      <c r="M12" s="51">
        <f t="shared" si="1"/>
        <v>0</v>
      </c>
      <c r="N12" s="49"/>
      <c r="O12" s="49"/>
      <c r="P12" s="49"/>
      <c r="Q12" s="52"/>
      <c r="R12" s="53"/>
      <c r="S12" s="53"/>
      <c r="T12" s="54"/>
      <c r="U12" s="19">
        <f t="shared" si="2"/>
        <v>0</v>
      </c>
      <c r="V12" s="20">
        <f t="shared" si="3"/>
        <v>0</v>
      </c>
      <c r="W12" s="55">
        <f t="array" ref="W12">IFERROR(INDEX(PRECIOS_TINTORERIA!$B$4:$U$15,MATCH(D12,PRECIOS_TINTORERIA!$A$4:$A$15,0),MATCH(VLOOKUP(A12,PROGRAMAS!$A$4:$G$103,7,FALSE()),PRECIOS_TINTORERIA!$B$3:$U$3,0)),0)</f>
        <v>0</v>
      </c>
      <c r="X12" s="56"/>
      <c r="Y12" s="57"/>
      <c r="Z12" s="58">
        <f t="shared" si="4"/>
        <v>0</v>
      </c>
      <c r="AA12" s="56"/>
      <c r="AB12" s="56"/>
      <c r="AC12" s="56"/>
      <c r="AD12" s="23">
        <f>IFERROR((SUMIFS(COMPRAS_HILO!$H$4:$H$203,COMPRAS_HILO!$B$4:$B$203,A12))*F12/SUMIFS($F$4:$F$503,$A$4:$A$503,A12),0)</f>
        <v>3080</v>
      </c>
      <c r="AE12" s="23">
        <f t="shared" si="5"/>
        <v>0</v>
      </c>
      <c r="AF12" s="23">
        <f t="shared" si="6"/>
        <v>0</v>
      </c>
      <c r="AG12" s="25">
        <f t="shared" si="7"/>
        <v>3080</v>
      </c>
      <c r="AH12" s="25">
        <f t="shared" si="8"/>
        <v>0</v>
      </c>
      <c r="AI12" s="59"/>
    </row>
    <row r="13">
      <c r="A13" s="40"/>
      <c r="B13" s="33"/>
      <c r="C13" s="45" t="str">
        <f>IFERROR(VLOOKUP(B13,COLORES!$A$4:$B$52,2,FALSE()),"")</f>
        <v/>
      </c>
      <c r="D13" s="33"/>
      <c r="E13" s="46"/>
      <c r="F13" s="34"/>
      <c r="G13" s="33"/>
      <c r="H13" s="47"/>
      <c r="I13" s="47"/>
      <c r="J13" s="48">
        <f>IFERROR(VLOOKUP(VLOOKUP(A13,PROGRAMAS!$A$4:$G$103,7,FALSE()),PRECIOS_TEJEDURIA!$A$4:$B$22,2,FALSE()),0)</f>
        <v>0</v>
      </c>
      <c r="K13" s="49"/>
      <c r="L13" s="50"/>
      <c r="M13" s="51">
        <f t="shared" si="1"/>
        <v>0</v>
      </c>
      <c r="N13" s="49"/>
      <c r="O13" s="49"/>
      <c r="P13" s="49"/>
      <c r="Q13" s="52"/>
      <c r="R13" s="53"/>
      <c r="S13" s="53"/>
      <c r="T13" s="54"/>
      <c r="U13" s="19">
        <f t="shared" si="2"/>
        <v>0</v>
      </c>
      <c r="V13" s="20">
        <f t="shared" si="3"/>
        <v>0</v>
      </c>
      <c r="W13" s="55">
        <f t="array" ref="W13">IFERROR(INDEX(PRECIOS_TINTORERIA!$B$4:$U$15,MATCH(D13,PRECIOS_TINTORERIA!$A$4:$A$15,0),MATCH(VLOOKUP(A13,PROGRAMAS!$A$4:$G$103,7,FALSE()),PRECIOS_TINTORERIA!$B$3:$U$3,0)),0)</f>
        <v>0</v>
      </c>
      <c r="X13" s="56"/>
      <c r="Y13" s="57"/>
      <c r="Z13" s="58">
        <f t="shared" si="4"/>
        <v>0</v>
      </c>
      <c r="AA13" s="56"/>
      <c r="AB13" s="56"/>
      <c r="AC13" s="56"/>
      <c r="AD13" s="23">
        <f>IFERROR((SUMIFS(COMPRAS_HILO!$H$4:$H$203,COMPRAS_HILO!$B$4:$B$203,A13))*F13/SUMIFS($F$4:$F$503,$A$4:$A$503,A13),0)</f>
        <v>0</v>
      </c>
      <c r="AE13" s="23">
        <f t="shared" si="5"/>
        <v>0</v>
      </c>
      <c r="AF13" s="23">
        <f t="shared" si="6"/>
        <v>0</v>
      </c>
      <c r="AG13" s="25">
        <f t="shared" si="7"/>
        <v>0</v>
      </c>
      <c r="AH13" s="25">
        <f t="shared" si="8"/>
        <v>0</v>
      </c>
      <c r="AI13" s="59"/>
    </row>
    <row r="14">
      <c r="A14" s="40" t="s">
        <v>47</v>
      </c>
      <c r="B14" s="33" t="s">
        <v>113</v>
      </c>
      <c r="C14" s="45" t="str">
        <f>IFERROR(VLOOKUP(B14,COLORES!$A$4:$B$52,2,FALSE()),"")</f>
        <v>OSCURO</v>
      </c>
      <c r="D14" s="33" t="s">
        <v>114</v>
      </c>
      <c r="E14" s="46">
        <v>40.0</v>
      </c>
      <c r="F14" s="34">
        <v>800.0</v>
      </c>
      <c r="G14" s="33" t="s">
        <v>125</v>
      </c>
      <c r="H14" s="47"/>
      <c r="I14" s="47"/>
      <c r="J14" s="48">
        <f>IFERROR(VLOOKUP(VLOOKUP(A14,PROGRAMAS!$A$4:$G$103,7,FALSE()),PRECIOS_TEJEDURIA!$A$4:$B$22,2,FALSE()),0)</f>
        <v>0.4</v>
      </c>
      <c r="K14" s="49"/>
      <c r="L14" s="50"/>
      <c r="M14" s="51">
        <f t="shared" si="1"/>
        <v>0</v>
      </c>
      <c r="N14" s="49"/>
      <c r="O14" s="49"/>
      <c r="P14" s="49"/>
      <c r="Q14" s="52"/>
      <c r="R14" s="53"/>
      <c r="S14" s="53"/>
      <c r="T14" s="54"/>
      <c r="U14" s="19">
        <f t="shared" si="2"/>
        <v>0</v>
      </c>
      <c r="V14" s="20">
        <f t="shared" si="3"/>
        <v>0</v>
      </c>
      <c r="W14" s="55">
        <f t="array" ref="W14">IFERROR(INDEX(PRECIOS_TINTORERIA!$B$4:$U$15,MATCH(D14,PRECIOS_TINTORERIA!$A$4:$A$15,0),MATCH(VLOOKUP(A14,PROGRAMAS!$A$4:$G$103,7,FALSE()),PRECIOS_TINTORERIA!$B$3:$U$3,0)),0)</f>
        <v>0</v>
      </c>
      <c r="X14" s="56"/>
      <c r="Y14" s="57"/>
      <c r="Z14" s="58">
        <f t="shared" si="4"/>
        <v>0</v>
      </c>
      <c r="AA14" s="56"/>
      <c r="AB14" s="56"/>
      <c r="AC14" s="56"/>
      <c r="AD14" s="23">
        <f>IFERROR((SUMIFS(COMPRAS_HILO!$H$4:$H$203,COMPRAS_HILO!$B$4:$B$203,A14))*F14/SUMIFS($F$4:$F$503,$A$4:$A$503,A14),0)</f>
        <v>8565.517241</v>
      </c>
      <c r="AE14" s="23">
        <f t="shared" si="5"/>
        <v>0</v>
      </c>
      <c r="AF14" s="23">
        <f t="shared" si="6"/>
        <v>0</v>
      </c>
      <c r="AG14" s="25">
        <f t="shared" si="7"/>
        <v>8565.517241</v>
      </c>
      <c r="AH14" s="25">
        <f t="shared" si="8"/>
        <v>0</v>
      </c>
      <c r="AI14" s="59"/>
    </row>
    <row r="15">
      <c r="A15" s="40" t="s">
        <v>47</v>
      </c>
      <c r="B15" s="33" t="s">
        <v>118</v>
      </c>
      <c r="C15" s="45" t="str">
        <f>IFERROR(VLOOKUP(B15,COLORES!$A$4:$B$52,2,FALSE()),"")</f>
        <v>PPT</v>
      </c>
      <c r="D15" s="33" t="s">
        <v>119</v>
      </c>
      <c r="E15" s="46">
        <v>10.0</v>
      </c>
      <c r="F15" s="34">
        <v>200.0</v>
      </c>
      <c r="G15" s="33" t="s">
        <v>134</v>
      </c>
      <c r="H15" s="47"/>
      <c r="I15" s="47"/>
      <c r="J15" s="48">
        <f>IFERROR(VLOOKUP(VLOOKUP(A15,PROGRAMAS!$A$4:$G$103,7,FALSE()),PRECIOS_TEJEDURIA!$A$4:$B$22,2,FALSE()),0)</f>
        <v>0.4</v>
      </c>
      <c r="K15" s="49"/>
      <c r="L15" s="50"/>
      <c r="M15" s="51">
        <f t="shared" si="1"/>
        <v>0</v>
      </c>
      <c r="N15" s="49"/>
      <c r="O15" s="49"/>
      <c r="P15" s="49"/>
      <c r="Q15" s="52"/>
      <c r="R15" s="53"/>
      <c r="S15" s="53"/>
      <c r="T15" s="54"/>
      <c r="U15" s="19">
        <f t="shared" si="2"/>
        <v>0</v>
      </c>
      <c r="V15" s="20">
        <f t="shared" si="3"/>
        <v>0</v>
      </c>
      <c r="W15" s="55">
        <f t="array" ref="W15">IFERROR(INDEX(PRECIOS_TINTORERIA!$B$4:$U$15,MATCH(D15,PRECIOS_TINTORERIA!$A$4:$A$15,0),MATCH(VLOOKUP(A15,PROGRAMAS!$A$4:$G$103,7,FALSE()),PRECIOS_TINTORERIA!$B$3:$U$3,0)),0)</f>
        <v>0</v>
      </c>
      <c r="X15" s="56"/>
      <c r="Y15" s="57"/>
      <c r="Z15" s="58">
        <f t="shared" si="4"/>
        <v>0</v>
      </c>
      <c r="AA15" s="56"/>
      <c r="AB15" s="56"/>
      <c r="AC15" s="56"/>
      <c r="AD15" s="23">
        <f>IFERROR((SUMIFS(COMPRAS_HILO!$H$4:$H$203,COMPRAS_HILO!$B$4:$B$203,A15))*F15/SUMIFS($F$4:$F$503,$A$4:$A$503,A15),0)</f>
        <v>2141.37931</v>
      </c>
      <c r="AE15" s="23">
        <f t="shared" si="5"/>
        <v>0</v>
      </c>
      <c r="AF15" s="23">
        <f t="shared" si="6"/>
        <v>0</v>
      </c>
      <c r="AG15" s="25">
        <f t="shared" si="7"/>
        <v>2141.37931</v>
      </c>
      <c r="AH15" s="25">
        <f t="shared" si="8"/>
        <v>0</v>
      </c>
      <c r="AI15" s="59"/>
    </row>
    <row r="16">
      <c r="A16" s="40" t="s">
        <v>47</v>
      </c>
      <c r="B16" s="33" t="s">
        <v>135</v>
      </c>
      <c r="C16" s="45" t="str">
        <f>IFERROR(VLOOKUP(B16,COLORES!$A$4:$B$52,2,FALSE()),"")</f>
        <v>OSCURO</v>
      </c>
      <c r="D16" s="33" t="s">
        <v>114</v>
      </c>
      <c r="E16" s="46">
        <v>25.0</v>
      </c>
      <c r="F16" s="34">
        <v>500.0</v>
      </c>
      <c r="G16" s="33" t="s">
        <v>125</v>
      </c>
      <c r="H16" s="47"/>
      <c r="I16" s="47"/>
      <c r="J16" s="48">
        <f>IFERROR(VLOOKUP(VLOOKUP(A16,PROGRAMAS!$A$4:$G$103,7,FALSE()),PRECIOS_TEJEDURIA!$A$4:$B$22,2,FALSE()),0)</f>
        <v>0.4</v>
      </c>
      <c r="K16" s="49"/>
      <c r="L16" s="50"/>
      <c r="M16" s="51">
        <f t="shared" si="1"/>
        <v>0</v>
      </c>
      <c r="N16" s="49"/>
      <c r="O16" s="49"/>
      <c r="P16" s="49"/>
      <c r="Q16" s="52"/>
      <c r="R16" s="53"/>
      <c r="S16" s="53"/>
      <c r="T16" s="54"/>
      <c r="U16" s="19">
        <f t="shared" si="2"/>
        <v>0</v>
      </c>
      <c r="V16" s="20">
        <f t="shared" si="3"/>
        <v>0</v>
      </c>
      <c r="W16" s="55">
        <f t="array" ref="W16">IFERROR(INDEX(PRECIOS_TINTORERIA!$B$4:$U$15,MATCH(D16,PRECIOS_TINTORERIA!$A$4:$A$15,0),MATCH(VLOOKUP(A16,PROGRAMAS!$A$4:$G$103,7,FALSE()),PRECIOS_TINTORERIA!$B$3:$U$3,0)),0)</f>
        <v>0</v>
      </c>
      <c r="X16" s="56"/>
      <c r="Y16" s="57"/>
      <c r="Z16" s="58">
        <f t="shared" si="4"/>
        <v>0</v>
      </c>
      <c r="AA16" s="56"/>
      <c r="AB16" s="56"/>
      <c r="AC16" s="56"/>
      <c r="AD16" s="23">
        <f>IFERROR((SUMIFS(COMPRAS_HILO!$H$4:$H$203,COMPRAS_HILO!$B$4:$B$203,A16))*F16/SUMIFS($F$4:$F$503,$A$4:$A$503,A16),0)</f>
        <v>5353.448276</v>
      </c>
      <c r="AE16" s="23">
        <f t="shared" si="5"/>
        <v>0</v>
      </c>
      <c r="AF16" s="23">
        <f t="shared" si="6"/>
        <v>0</v>
      </c>
      <c r="AG16" s="25">
        <f t="shared" si="7"/>
        <v>5353.448276</v>
      </c>
      <c r="AH16" s="25">
        <f t="shared" si="8"/>
        <v>0</v>
      </c>
      <c r="AI16" s="59"/>
    </row>
    <row r="17">
      <c r="A17" s="40" t="s">
        <v>47</v>
      </c>
      <c r="B17" s="33" t="s">
        <v>136</v>
      </c>
      <c r="C17" s="45" t="str">
        <f>IFERROR(VLOOKUP(B17,COLORES!$A$4:$B$52,2,FALSE()),"")</f>
        <v>OSCURO</v>
      </c>
      <c r="D17" s="33" t="s">
        <v>114</v>
      </c>
      <c r="E17" s="46">
        <v>20.0</v>
      </c>
      <c r="F17" s="34">
        <v>400.0</v>
      </c>
      <c r="G17" s="33" t="s">
        <v>125</v>
      </c>
      <c r="H17" s="47"/>
      <c r="I17" s="47"/>
      <c r="J17" s="48">
        <f>IFERROR(VLOOKUP(VLOOKUP(A17,PROGRAMAS!$A$4:$G$103,7,FALSE()),PRECIOS_TEJEDURIA!$A$4:$B$22,2,FALSE()),0)</f>
        <v>0.4</v>
      </c>
      <c r="K17" s="49"/>
      <c r="L17" s="50"/>
      <c r="M17" s="51">
        <f t="shared" si="1"/>
        <v>0</v>
      </c>
      <c r="N17" s="49"/>
      <c r="O17" s="49"/>
      <c r="P17" s="49"/>
      <c r="Q17" s="52"/>
      <c r="R17" s="53"/>
      <c r="S17" s="53"/>
      <c r="T17" s="54"/>
      <c r="U17" s="19">
        <f t="shared" si="2"/>
        <v>0</v>
      </c>
      <c r="V17" s="20">
        <f t="shared" si="3"/>
        <v>0</v>
      </c>
      <c r="W17" s="55">
        <f t="array" ref="W17">IFERROR(INDEX(PRECIOS_TINTORERIA!$B$4:$U$15,MATCH(D17,PRECIOS_TINTORERIA!$A$4:$A$15,0),MATCH(VLOOKUP(A17,PROGRAMAS!$A$4:$G$103,7,FALSE()),PRECIOS_TINTORERIA!$B$3:$U$3,0)),0)</f>
        <v>0</v>
      </c>
      <c r="X17" s="56"/>
      <c r="Y17" s="57"/>
      <c r="Z17" s="58">
        <f t="shared" si="4"/>
        <v>0</v>
      </c>
      <c r="AA17" s="56"/>
      <c r="AB17" s="56"/>
      <c r="AC17" s="56"/>
      <c r="AD17" s="23">
        <f>IFERROR((SUMIFS(COMPRAS_HILO!$H$4:$H$203,COMPRAS_HILO!$B$4:$B$203,A17))*F17/SUMIFS($F$4:$F$503,$A$4:$A$503,A17),0)</f>
        <v>4282.758621</v>
      </c>
      <c r="AE17" s="23">
        <f t="shared" si="5"/>
        <v>0</v>
      </c>
      <c r="AF17" s="23">
        <f t="shared" si="6"/>
        <v>0</v>
      </c>
      <c r="AG17" s="25">
        <f t="shared" si="7"/>
        <v>4282.758621</v>
      </c>
      <c r="AH17" s="25">
        <f t="shared" si="8"/>
        <v>0</v>
      </c>
      <c r="AI17" s="59"/>
    </row>
    <row r="18">
      <c r="A18" s="40" t="s">
        <v>47</v>
      </c>
      <c r="B18" s="33" t="s">
        <v>137</v>
      </c>
      <c r="C18" s="45" t="str">
        <f>IFERROR(VLOOKUP(B18,COLORES!$A$4:$B$52,2,FALSE()),"")</f>
        <v>CLARO</v>
      </c>
      <c r="D18" s="33" t="s">
        <v>124</v>
      </c>
      <c r="E18" s="46">
        <v>10.0</v>
      </c>
      <c r="F18" s="34">
        <v>200.0</v>
      </c>
      <c r="G18" s="33" t="s">
        <v>120</v>
      </c>
      <c r="H18" s="47"/>
      <c r="I18" s="47"/>
      <c r="J18" s="48">
        <f>IFERROR(VLOOKUP(VLOOKUP(A18,PROGRAMAS!$A$4:$G$103,7,FALSE()),PRECIOS_TEJEDURIA!$A$4:$B$22,2,FALSE()),0)</f>
        <v>0.4</v>
      </c>
      <c r="K18" s="49"/>
      <c r="L18" s="50"/>
      <c r="M18" s="51">
        <f t="shared" si="1"/>
        <v>0</v>
      </c>
      <c r="N18" s="49"/>
      <c r="O18" s="49"/>
      <c r="P18" s="49"/>
      <c r="Q18" s="52"/>
      <c r="R18" s="53"/>
      <c r="S18" s="53"/>
      <c r="T18" s="54"/>
      <c r="U18" s="19">
        <f t="shared" si="2"/>
        <v>0</v>
      </c>
      <c r="V18" s="20">
        <f t="shared" si="3"/>
        <v>0</v>
      </c>
      <c r="W18" s="55">
        <f t="array" ref="W18">IFERROR(INDEX(PRECIOS_TINTORERIA!$B$4:$U$15,MATCH(D18,PRECIOS_TINTORERIA!$A$4:$A$15,0),MATCH(VLOOKUP(A18,PROGRAMAS!$A$4:$G$103,7,FALSE()),PRECIOS_TINTORERIA!$B$3:$U$3,0)),0)</f>
        <v>0</v>
      </c>
      <c r="X18" s="56"/>
      <c r="Y18" s="57"/>
      <c r="Z18" s="58">
        <f t="shared" si="4"/>
        <v>0</v>
      </c>
      <c r="AA18" s="56"/>
      <c r="AB18" s="56"/>
      <c r="AC18" s="56"/>
      <c r="AD18" s="23">
        <f>IFERROR((SUMIFS(COMPRAS_HILO!$H$4:$H$203,COMPRAS_HILO!$B$4:$B$203,A18))*F18/SUMIFS($F$4:$F$503,$A$4:$A$503,A18),0)</f>
        <v>2141.37931</v>
      </c>
      <c r="AE18" s="23">
        <f t="shared" si="5"/>
        <v>0</v>
      </c>
      <c r="AF18" s="23">
        <f t="shared" si="6"/>
        <v>0</v>
      </c>
      <c r="AG18" s="25">
        <f t="shared" si="7"/>
        <v>2141.37931</v>
      </c>
      <c r="AH18" s="25">
        <f t="shared" si="8"/>
        <v>0</v>
      </c>
      <c r="AI18" s="59"/>
    </row>
    <row r="19">
      <c r="A19" s="40" t="s">
        <v>47</v>
      </c>
      <c r="B19" s="33" t="s">
        <v>138</v>
      </c>
      <c r="C19" s="45" t="str">
        <f>IFERROR(VLOOKUP(B19,COLORES!$A$4:$B$52,2,FALSE()),"")</f>
        <v>CLARO</v>
      </c>
      <c r="D19" s="33" t="s">
        <v>124</v>
      </c>
      <c r="E19" s="46">
        <v>10.0</v>
      </c>
      <c r="F19" s="34">
        <v>200.0</v>
      </c>
      <c r="G19" s="33" t="s">
        <v>120</v>
      </c>
      <c r="H19" s="47"/>
      <c r="I19" s="47"/>
      <c r="J19" s="48">
        <f>IFERROR(VLOOKUP(VLOOKUP(A19,PROGRAMAS!$A$4:$G$103,7,FALSE()),PRECIOS_TEJEDURIA!$A$4:$B$22,2,FALSE()),0)</f>
        <v>0.4</v>
      </c>
      <c r="K19" s="49"/>
      <c r="L19" s="50"/>
      <c r="M19" s="51">
        <f t="shared" si="1"/>
        <v>0</v>
      </c>
      <c r="N19" s="49"/>
      <c r="O19" s="49"/>
      <c r="P19" s="49"/>
      <c r="Q19" s="52"/>
      <c r="R19" s="53"/>
      <c r="S19" s="53"/>
      <c r="T19" s="54"/>
      <c r="U19" s="19">
        <f t="shared" si="2"/>
        <v>0</v>
      </c>
      <c r="V19" s="20">
        <f t="shared" si="3"/>
        <v>0</v>
      </c>
      <c r="W19" s="55">
        <f t="array" ref="W19">IFERROR(INDEX(PRECIOS_TINTORERIA!$B$4:$U$15,MATCH(D19,PRECIOS_TINTORERIA!$A$4:$A$15,0),MATCH(VLOOKUP(A19,PROGRAMAS!$A$4:$G$103,7,FALSE()),PRECIOS_TINTORERIA!$B$3:$U$3,0)),0)</f>
        <v>0</v>
      </c>
      <c r="X19" s="56"/>
      <c r="Y19" s="57"/>
      <c r="Z19" s="58">
        <f t="shared" si="4"/>
        <v>0</v>
      </c>
      <c r="AA19" s="56"/>
      <c r="AB19" s="56"/>
      <c r="AC19" s="56"/>
      <c r="AD19" s="23">
        <f>IFERROR((SUMIFS(COMPRAS_HILO!$H$4:$H$203,COMPRAS_HILO!$B$4:$B$203,A19))*F19/SUMIFS($F$4:$F$503,$A$4:$A$503,A19),0)</f>
        <v>2141.37931</v>
      </c>
      <c r="AE19" s="23">
        <f t="shared" si="5"/>
        <v>0</v>
      </c>
      <c r="AF19" s="23">
        <f t="shared" si="6"/>
        <v>0</v>
      </c>
      <c r="AG19" s="25">
        <f t="shared" si="7"/>
        <v>2141.37931</v>
      </c>
      <c r="AH19" s="25">
        <f t="shared" si="8"/>
        <v>0</v>
      </c>
      <c r="AI19" s="59"/>
    </row>
    <row r="20">
      <c r="A20" s="40" t="s">
        <v>47</v>
      </c>
      <c r="B20" s="33" t="s">
        <v>139</v>
      </c>
      <c r="C20" s="45" t="str">
        <f>IFERROR(VLOOKUP(B20,COLORES!$A$4:$B$52,2,FALSE()),"")</f>
        <v>CLARO</v>
      </c>
      <c r="D20" s="33" t="s">
        <v>124</v>
      </c>
      <c r="E20" s="46">
        <v>10.0</v>
      </c>
      <c r="F20" s="34">
        <v>200.0</v>
      </c>
      <c r="G20" s="33" t="s">
        <v>120</v>
      </c>
      <c r="H20" s="47"/>
      <c r="I20" s="47"/>
      <c r="J20" s="48">
        <f>IFERROR(VLOOKUP(VLOOKUP(A20,PROGRAMAS!$A$4:$G$103,7,FALSE()),PRECIOS_TEJEDURIA!$A$4:$B$22,2,FALSE()),0)</f>
        <v>0.4</v>
      </c>
      <c r="K20" s="49"/>
      <c r="L20" s="50"/>
      <c r="M20" s="51">
        <f t="shared" si="1"/>
        <v>0</v>
      </c>
      <c r="N20" s="49"/>
      <c r="O20" s="49"/>
      <c r="P20" s="49"/>
      <c r="Q20" s="52"/>
      <c r="R20" s="53"/>
      <c r="S20" s="53"/>
      <c r="T20" s="54"/>
      <c r="U20" s="19">
        <f t="shared" si="2"/>
        <v>0</v>
      </c>
      <c r="V20" s="20">
        <f t="shared" si="3"/>
        <v>0</v>
      </c>
      <c r="W20" s="55">
        <f t="array" ref="W20">IFERROR(INDEX(PRECIOS_TINTORERIA!$B$4:$U$15,MATCH(D20,PRECIOS_TINTORERIA!$A$4:$A$15,0),MATCH(VLOOKUP(A20,PROGRAMAS!$A$4:$G$103,7,FALSE()),PRECIOS_TINTORERIA!$B$3:$U$3,0)),0)</f>
        <v>0</v>
      </c>
      <c r="X20" s="56"/>
      <c r="Y20" s="57"/>
      <c r="Z20" s="58">
        <f t="shared" si="4"/>
        <v>0</v>
      </c>
      <c r="AA20" s="56"/>
      <c r="AB20" s="56"/>
      <c r="AC20" s="56"/>
      <c r="AD20" s="23">
        <f>IFERROR((SUMIFS(COMPRAS_HILO!$H$4:$H$203,COMPRAS_HILO!$B$4:$B$203,A20))*F20/SUMIFS($F$4:$F$503,$A$4:$A$503,A20),0)</f>
        <v>2141.37931</v>
      </c>
      <c r="AE20" s="23">
        <f t="shared" si="5"/>
        <v>0</v>
      </c>
      <c r="AF20" s="23">
        <f t="shared" si="6"/>
        <v>0</v>
      </c>
      <c r="AG20" s="25">
        <f t="shared" si="7"/>
        <v>2141.37931</v>
      </c>
      <c r="AH20" s="25">
        <f t="shared" si="8"/>
        <v>0</v>
      </c>
      <c r="AI20" s="59"/>
    </row>
    <row r="21" ht="15.75" customHeight="1">
      <c r="A21" s="40" t="s">
        <v>47</v>
      </c>
      <c r="B21" s="33" t="s">
        <v>140</v>
      </c>
      <c r="C21" s="45" t="str">
        <f>IFERROR(VLOOKUP(B21,COLORES!$A$4:$B$52,2,FALSE()),"")</f>
        <v>CLARO</v>
      </c>
      <c r="D21" s="33" t="s">
        <v>124</v>
      </c>
      <c r="E21" s="46">
        <v>10.0</v>
      </c>
      <c r="F21" s="34">
        <v>200.0</v>
      </c>
      <c r="G21" s="33" t="s">
        <v>120</v>
      </c>
      <c r="H21" s="47"/>
      <c r="I21" s="47"/>
      <c r="J21" s="48">
        <f>IFERROR(VLOOKUP(VLOOKUP(A21,PROGRAMAS!$A$4:$G$103,7,FALSE()),PRECIOS_TEJEDURIA!$A$4:$B$22,2,FALSE()),0)</f>
        <v>0.4</v>
      </c>
      <c r="K21" s="49"/>
      <c r="L21" s="50"/>
      <c r="M21" s="51">
        <f t="shared" si="1"/>
        <v>0</v>
      </c>
      <c r="N21" s="49"/>
      <c r="O21" s="49"/>
      <c r="P21" s="49"/>
      <c r="Q21" s="52"/>
      <c r="R21" s="53"/>
      <c r="S21" s="53"/>
      <c r="T21" s="54"/>
      <c r="U21" s="19">
        <f t="shared" si="2"/>
        <v>0</v>
      </c>
      <c r="V21" s="20">
        <f t="shared" si="3"/>
        <v>0</v>
      </c>
      <c r="W21" s="55">
        <f t="array" ref="W21">IFERROR(INDEX(PRECIOS_TINTORERIA!$B$4:$U$15,MATCH(D21,PRECIOS_TINTORERIA!$A$4:$A$15,0),MATCH(VLOOKUP(A21,PROGRAMAS!$A$4:$G$103,7,FALSE()),PRECIOS_TINTORERIA!$B$3:$U$3,0)),0)</f>
        <v>0</v>
      </c>
      <c r="X21" s="56"/>
      <c r="Y21" s="57"/>
      <c r="Z21" s="58">
        <f t="shared" si="4"/>
        <v>0</v>
      </c>
      <c r="AA21" s="56"/>
      <c r="AB21" s="56"/>
      <c r="AC21" s="56"/>
      <c r="AD21" s="23">
        <f>IFERROR((SUMIFS(COMPRAS_HILO!$H$4:$H$203,COMPRAS_HILO!$B$4:$B$203,A21))*F21/SUMIFS($F$4:$F$503,$A$4:$A$503,A21),0)</f>
        <v>2141.37931</v>
      </c>
      <c r="AE21" s="23">
        <f t="shared" si="5"/>
        <v>0</v>
      </c>
      <c r="AF21" s="23">
        <f t="shared" si="6"/>
        <v>0</v>
      </c>
      <c r="AG21" s="25">
        <f t="shared" si="7"/>
        <v>2141.37931</v>
      </c>
      <c r="AH21" s="25">
        <f t="shared" si="8"/>
        <v>0</v>
      </c>
      <c r="AI21" s="59"/>
    </row>
    <row r="22" ht="15.75" customHeight="1">
      <c r="A22" s="40" t="s">
        <v>47</v>
      </c>
      <c r="B22" s="33" t="s">
        <v>123</v>
      </c>
      <c r="C22" s="45" t="str">
        <f>IFERROR(VLOOKUP(B22,COLORES!$A$4:$B$52,2,FALSE()),"")</f>
        <v>CLARO</v>
      </c>
      <c r="D22" s="33" t="s">
        <v>124</v>
      </c>
      <c r="E22" s="46">
        <v>10.0</v>
      </c>
      <c r="F22" s="34">
        <v>200.0</v>
      </c>
      <c r="G22" s="33" t="s">
        <v>120</v>
      </c>
      <c r="H22" s="47"/>
      <c r="I22" s="47"/>
      <c r="J22" s="48">
        <f>IFERROR(VLOOKUP(VLOOKUP(A22,PROGRAMAS!$A$4:$G$103,7,FALSE()),PRECIOS_TEJEDURIA!$A$4:$B$22,2,FALSE()),0)</f>
        <v>0.4</v>
      </c>
      <c r="K22" s="49"/>
      <c r="L22" s="50"/>
      <c r="M22" s="51">
        <f t="shared" si="1"/>
        <v>0</v>
      </c>
      <c r="N22" s="49"/>
      <c r="O22" s="49"/>
      <c r="P22" s="49"/>
      <c r="Q22" s="52"/>
      <c r="R22" s="53"/>
      <c r="S22" s="53"/>
      <c r="T22" s="54"/>
      <c r="U22" s="19">
        <f t="shared" si="2"/>
        <v>0</v>
      </c>
      <c r="V22" s="20">
        <f t="shared" si="3"/>
        <v>0</v>
      </c>
      <c r="W22" s="55">
        <f t="array" ref="W22">IFERROR(INDEX(PRECIOS_TINTORERIA!$B$4:$U$15,MATCH(D22,PRECIOS_TINTORERIA!$A$4:$A$15,0),MATCH(VLOOKUP(A22,PROGRAMAS!$A$4:$G$103,7,FALSE()),PRECIOS_TINTORERIA!$B$3:$U$3,0)),0)</f>
        <v>0</v>
      </c>
      <c r="X22" s="56"/>
      <c r="Y22" s="57"/>
      <c r="Z22" s="58">
        <f t="shared" si="4"/>
        <v>0</v>
      </c>
      <c r="AA22" s="56"/>
      <c r="AB22" s="56"/>
      <c r="AC22" s="56"/>
      <c r="AD22" s="23">
        <f>IFERROR((SUMIFS(COMPRAS_HILO!$H$4:$H$203,COMPRAS_HILO!$B$4:$B$203,A22))*F22/SUMIFS($F$4:$F$503,$A$4:$A$503,A22),0)</f>
        <v>2141.37931</v>
      </c>
      <c r="AE22" s="23">
        <f t="shared" si="5"/>
        <v>0</v>
      </c>
      <c r="AF22" s="23">
        <f t="shared" si="6"/>
        <v>0</v>
      </c>
      <c r="AG22" s="25">
        <f t="shared" si="7"/>
        <v>2141.37931</v>
      </c>
      <c r="AH22" s="25">
        <f t="shared" si="8"/>
        <v>0</v>
      </c>
      <c r="AI22" s="59"/>
    </row>
    <row r="23" ht="15.75" customHeight="1">
      <c r="A23" s="40"/>
      <c r="B23" s="33"/>
      <c r="C23" s="45" t="str">
        <f>IFERROR(VLOOKUP(B23,COLORES!$A$4:$B$52,2,FALSE()),"")</f>
        <v/>
      </c>
      <c r="D23" s="33"/>
      <c r="E23" s="46"/>
      <c r="F23" s="34"/>
      <c r="G23" s="33"/>
      <c r="H23" s="47"/>
      <c r="I23" s="47"/>
      <c r="J23" s="48">
        <f>IFERROR(VLOOKUP(VLOOKUP(A23,PROGRAMAS!$A$4:$G$103,7,FALSE()),PRECIOS_TEJEDURIA!$A$4:$B$22,2,FALSE()),0)</f>
        <v>0</v>
      </c>
      <c r="K23" s="49"/>
      <c r="L23" s="50"/>
      <c r="M23" s="51">
        <f t="shared" si="1"/>
        <v>0</v>
      </c>
      <c r="N23" s="49"/>
      <c r="O23" s="49"/>
      <c r="P23" s="49"/>
      <c r="Q23" s="52"/>
      <c r="R23" s="53"/>
      <c r="S23" s="53"/>
      <c r="T23" s="54"/>
      <c r="U23" s="19">
        <f t="shared" si="2"/>
        <v>0</v>
      </c>
      <c r="V23" s="20">
        <f t="shared" si="3"/>
        <v>0</v>
      </c>
      <c r="W23" s="55">
        <f t="array" ref="W23">IFERROR(INDEX(PRECIOS_TINTORERIA!$B$4:$U$15,MATCH(D23,PRECIOS_TINTORERIA!$A$4:$A$15,0),MATCH(VLOOKUP(A23,PROGRAMAS!$A$4:$G$103,7,FALSE()),PRECIOS_TINTORERIA!$B$3:$U$3,0)),0)</f>
        <v>0</v>
      </c>
      <c r="X23" s="56"/>
      <c r="Y23" s="57"/>
      <c r="Z23" s="58">
        <f t="shared" si="4"/>
        <v>0</v>
      </c>
      <c r="AA23" s="56"/>
      <c r="AB23" s="56"/>
      <c r="AC23" s="56"/>
      <c r="AD23" s="23">
        <f>IFERROR((SUMIFS(COMPRAS_HILO!$H$4:$H$203,COMPRAS_HILO!$B$4:$B$203,A23))*F23/SUMIFS($F$4:$F$503,$A$4:$A$503,A23),0)</f>
        <v>0</v>
      </c>
      <c r="AE23" s="23">
        <f t="shared" si="5"/>
        <v>0</v>
      </c>
      <c r="AF23" s="23">
        <f t="shared" si="6"/>
        <v>0</v>
      </c>
      <c r="AG23" s="25">
        <f t="shared" si="7"/>
        <v>0</v>
      </c>
      <c r="AH23" s="25">
        <f t="shared" si="8"/>
        <v>0</v>
      </c>
      <c r="AI23" s="59"/>
    </row>
    <row r="24" ht="15.75" customHeight="1">
      <c r="A24" s="60" t="s">
        <v>51</v>
      </c>
      <c r="B24" s="38" t="s">
        <v>113</v>
      </c>
      <c r="C24" s="45" t="str">
        <f>IFERROR(VLOOKUP(B24,COLORES!$A$4:$B$52,2,FALSE()),"")</f>
        <v>OSCURO</v>
      </c>
      <c r="D24" s="38" t="s">
        <v>114</v>
      </c>
      <c r="E24" s="46"/>
      <c r="F24" s="34"/>
      <c r="G24" s="33"/>
      <c r="H24" s="47"/>
      <c r="I24" s="47"/>
      <c r="J24" s="48">
        <f>IFERROR(VLOOKUP(VLOOKUP(A24,PROGRAMAS!$A$4:$G$103,7,FALSE()),PRECIOS_TEJEDURIA!$A$4:$B$22,2,FALSE()),0)</f>
        <v>0</v>
      </c>
      <c r="K24" s="49"/>
      <c r="L24" s="50"/>
      <c r="M24" s="51">
        <f t="shared" si="1"/>
        <v>0</v>
      </c>
      <c r="N24" s="49"/>
      <c r="O24" s="49"/>
      <c r="P24" s="49"/>
      <c r="Q24" s="52"/>
      <c r="R24" s="53"/>
      <c r="S24" s="53"/>
      <c r="T24" s="54"/>
      <c r="U24" s="19">
        <f t="shared" si="2"/>
        <v>0</v>
      </c>
      <c r="V24" s="20">
        <f t="shared" si="3"/>
        <v>0</v>
      </c>
      <c r="W24" s="55">
        <f t="array" ref="W24">IFERROR(INDEX(PRECIOS_TINTORERIA!$B$4:$U$15,MATCH(D24,PRECIOS_TINTORERIA!$A$4:$A$15,0),MATCH(VLOOKUP(A24,PROGRAMAS!$A$4:$G$103,7,FALSE()),PRECIOS_TINTORERIA!$B$3:$U$3,0)),0)</f>
        <v>0</v>
      </c>
      <c r="X24" s="56"/>
      <c r="Y24" s="57"/>
      <c r="Z24" s="58">
        <f t="shared" si="4"/>
        <v>0</v>
      </c>
      <c r="AA24" s="56"/>
      <c r="AB24" s="56"/>
      <c r="AC24" s="56"/>
      <c r="AD24" s="23">
        <f>IFERROR((SUMIFS(COMPRAS_HILO!$H$4:$H$203,COMPRAS_HILO!$B$4:$B$203,A24))*F24/SUMIFS($F$4:$F$503,$A$4:$A$503,A24),0)</f>
        <v>0</v>
      </c>
      <c r="AE24" s="23">
        <f t="shared" si="5"/>
        <v>0</v>
      </c>
      <c r="AF24" s="23">
        <f t="shared" si="6"/>
        <v>0</v>
      </c>
      <c r="AG24" s="25">
        <f t="shared" si="7"/>
        <v>0</v>
      </c>
      <c r="AH24" s="25">
        <f t="shared" si="8"/>
        <v>0</v>
      </c>
      <c r="AI24" s="59"/>
    </row>
    <row r="25" ht="15.75" customHeight="1">
      <c r="A25" s="60" t="s">
        <v>56</v>
      </c>
      <c r="B25" s="38" t="s">
        <v>113</v>
      </c>
      <c r="C25" s="45" t="str">
        <f>IFERROR(VLOOKUP(B25,COLORES!$A$4:$B$52,2,FALSE()),"")</f>
        <v>OSCURO</v>
      </c>
      <c r="D25" s="38" t="s">
        <v>114</v>
      </c>
      <c r="E25" s="46"/>
      <c r="F25" s="34"/>
      <c r="G25" s="33"/>
      <c r="H25" s="47"/>
      <c r="I25" s="47"/>
      <c r="J25" s="48">
        <f>IFERROR(VLOOKUP(VLOOKUP(A25,PROGRAMAS!$A$4:$G$103,7,FALSE()),PRECIOS_TEJEDURIA!$A$4:$B$22,2,FALSE()),0)</f>
        <v>0.6</v>
      </c>
      <c r="K25" s="49"/>
      <c r="L25" s="50"/>
      <c r="M25" s="51">
        <f t="shared" si="1"/>
        <v>0</v>
      </c>
      <c r="N25" s="49"/>
      <c r="O25" s="49"/>
      <c r="P25" s="49"/>
      <c r="Q25" s="52"/>
      <c r="R25" s="53"/>
      <c r="S25" s="53"/>
      <c r="T25" s="54"/>
      <c r="U25" s="19">
        <f t="shared" si="2"/>
        <v>0</v>
      </c>
      <c r="V25" s="20">
        <f t="shared" si="3"/>
        <v>0</v>
      </c>
      <c r="W25" s="55">
        <f t="array" ref="W25">IFERROR(INDEX(PRECIOS_TINTORERIA!$B$4:$U$15,MATCH(D25,PRECIOS_TINTORERIA!$A$4:$A$15,0),MATCH(VLOOKUP(A25,PROGRAMAS!$A$4:$G$103,7,FALSE()),PRECIOS_TINTORERIA!$B$3:$U$3,0)),0)</f>
        <v>3</v>
      </c>
      <c r="X25" s="56"/>
      <c r="Y25" s="57"/>
      <c r="Z25" s="58">
        <f t="shared" si="4"/>
        <v>0</v>
      </c>
      <c r="AA25" s="56"/>
      <c r="AB25" s="56"/>
      <c r="AC25" s="56"/>
      <c r="AD25" s="23">
        <f>IFERROR((SUMIFS(COMPRAS_HILO!$H$4:$H$203,COMPRAS_HILO!$B$4:$B$203,A25))*F25/SUMIFS($F$4:$F$503,$A$4:$A$503,A25),0)</f>
        <v>0</v>
      </c>
      <c r="AE25" s="23">
        <f t="shared" si="5"/>
        <v>0</v>
      </c>
      <c r="AF25" s="23">
        <f t="shared" si="6"/>
        <v>0</v>
      </c>
      <c r="AG25" s="25">
        <f t="shared" si="7"/>
        <v>0</v>
      </c>
      <c r="AH25" s="25">
        <f t="shared" si="8"/>
        <v>0</v>
      </c>
      <c r="AI25" s="59"/>
    </row>
    <row r="26" ht="15.75" customHeight="1">
      <c r="A26" s="61" t="s">
        <v>51</v>
      </c>
      <c r="B26" s="38" t="s">
        <v>118</v>
      </c>
      <c r="C26" s="45" t="str">
        <f>IFERROR(VLOOKUP(B26,COLORES!$A$4:$B$52,2,FALSE()),"")</f>
        <v>PPT</v>
      </c>
      <c r="D26" s="38" t="s">
        <v>114</v>
      </c>
      <c r="E26" s="46"/>
      <c r="F26" s="34"/>
      <c r="G26" s="33"/>
      <c r="H26" s="47"/>
      <c r="I26" s="47"/>
      <c r="J26" s="48">
        <f>IFERROR(VLOOKUP(VLOOKUP(A26,PROGRAMAS!$A$4:$G$103,7,FALSE()),PRECIOS_TEJEDURIA!$A$4:$B$22,2,FALSE()),0)</f>
        <v>0</v>
      </c>
      <c r="K26" s="49"/>
      <c r="L26" s="50"/>
      <c r="M26" s="51">
        <f t="shared" si="1"/>
        <v>0</v>
      </c>
      <c r="N26" s="49"/>
      <c r="O26" s="49"/>
      <c r="P26" s="49"/>
      <c r="Q26" s="52"/>
      <c r="R26" s="53"/>
      <c r="S26" s="53"/>
      <c r="T26" s="54"/>
      <c r="U26" s="19">
        <f t="shared" si="2"/>
        <v>0</v>
      </c>
      <c r="V26" s="20">
        <f t="shared" si="3"/>
        <v>0</v>
      </c>
      <c r="W26" s="55">
        <f t="array" ref="W26">IFERROR(INDEX(PRECIOS_TINTORERIA!$B$4:$U$15,MATCH(D26,PRECIOS_TINTORERIA!$A$4:$A$15,0),MATCH(VLOOKUP(A26,PROGRAMAS!$A$4:$G$103,7,FALSE()),PRECIOS_TINTORERIA!$B$3:$U$3,0)),0)</f>
        <v>0</v>
      </c>
      <c r="X26" s="56"/>
      <c r="Y26" s="57"/>
      <c r="Z26" s="58">
        <f t="shared" si="4"/>
        <v>0</v>
      </c>
      <c r="AA26" s="56"/>
      <c r="AB26" s="56"/>
      <c r="AC26" s="56"/>
      <c r="AD26" s="23">
        <f>IFERROR((SUMIFS(COMPRAS_HILO!$H$4:$H$203,COMPRAS_HILO!$B$4:$B$203,A26))*F26/SUMIFS($F$4:$F$503,$A$4:$A$503,A26),0)</f>
        <v>0</v>
      </c>
      <c r="AE26" s="23">
        <f t="shared" si="5"/>
        <v>0</v>
      </c>
      <c r="AF26" s="23">
        <f t="shared" si="6"/>
        <v>0</v>
      </c>
      <c r="AG26" s="25">
        <f t="shared" si="7"/>
        <v>0</v>
      </c>
      <c r="AH26" s="25">
        <f t="shared" si="8"/>
        <v>0</v>
      </c>
      <c r="AI26" s="59"/>
    </row>
    <row r="27" ht="15.75" customHeight="1">
      <c r="A27" s="61" t="s">
        <v>56</v>
      </c>
      <c r="B27" s="38" t="s">
        <v>118</v>
      </c>
      <c r="C27" s="45" t="str">
        <f>IFERROR(VLOOKUP(B27,COLORES!$A$4:$B$52,2,FALSE()),"")</f>
        <v>PPT</v>
      </c>
      <c r="D27" s="38" t="s">
        <v>114</v>
      </c>
      <c r="E27" s="46"/>
      <c r="F27" s="34"/>
      <c r="G27" s="33"/>
      <c r="H27" s="47"/>
      <c r="I27" s="47"/>
      <c r="J27" s="48">
        <f>IFERROR(VLOOKUP(VLOOKUP(A27,PROGRAMAS!$A$4:$G$103,7,FALSE()),PRECIOS_TEJEDURIA!$A$4:$B$22,2,FALSE()),0)</f>
        <v>0.6</v>
      </c>
      <c r="K27" s="49"/>
      <c r="L27" s="50"/>
      <c r="M27" s="51">
        <f t="shared" si="1"/>
        <v>0</v>
      </c>
      <c r="N27" s="49"/>
      <c r="O27" s="49"/>
      <c r="P27" s="49"/>
      <c r="Q27" s="52"/>
      <c r="R27" s="53"/>
      <c r="S27" s="53"/>
      <c r="T27" s="54"/>
      <c r="U27" s="19">
        <f t="shared" si="2"/>
        <v>0</v>
      </c>
      <c r="V27" s="20">
        <f t="shared" si="3"/>
        <v>0</v>
      </c>
      <c r="W27" s="55">
        <f t="array" ref="W27">IFERROR(INDEX(PRECIOS_TINTORERIA!$B$4:$U$15,MATCH(D27,PRECIOS_TINTORERIA!$A$4:$A$15,0),MATCH(VLOOKUP(A27,PROGRAMAS!$A$4:$G$103,7,FALSE()),PRECIOS_TINTORERIA!$B$3:$U$3,0)),0)</f>
        <v>3</v>
      </c>
      <c r="X27" s="56"/>
      <c r="Y27" s="57"/>
      <c r="Z27" s="58">
        <f t="shared" si="4"/>
        <v>0</v>
      </c>
      <c r="AA27" s="56"/>
      <c r="AB27" s="56"/>
      <c r="AC27" s="56"/>
      <c r="AD27" s="23">
        <f>IFERROR((SUMIFS(COMPRAS_HILO!$H$4:$H$203,COMPRAS_HILO!$B$4:$B$203,A27))*F27/SUMIFS($F$4:$F$503,$A$4:$A$503,A27),0)</f>
        <v>0</v>
      </c>
      <c r="AE27" s="23">
        <f t="shared" si="5"/>
        <v>0</v>
      </c>
      <c r="AF27" s="23">
        <f t="shared" si="6"/>
        <v>0</v>
      </c>
      <c r="AG27" s="25">
        <f t="shared" si="7"/>
        <v>0</v>
      </c>
      <c r="AH27" s="25">
        <f t="shared" si="8"/>
        <v>0</v>
      </c>
      <c r="AI27" s="59"/>
    </row>
    <row r="28" ht="15.75" customHeight="1">
      <c r="A28" s="60" t="s">
        <v>51</v>
      </c>
      <c r="B28" s="38" t="s">
        <v>123</v>
      </c>
      <c r="C28" s="45" t="str">
        <f>IFERROR(VLOOKUP(B28,COLORES!$A$4:$B$52,2,FALSE()),"")</f>
        <v>CLARO</v>
      </c>
      <c r="D28" s="33"/>
      <c r="E28" s="46"/>
      <c r="F28" s="34"/>
      <c r="G28" s="33"/>
      <c r="H28" s="47"/>
      <c r="I28" s="47"/>
      <c r="J28" s="48">
        <f>IFERROR(VLOOKUP(VLOOKUP(A28,PROGRAMAS!$A$4:$G$103,7,FALSE()),PRECIOS_TEJEDURIA!$A$4:$B$22,2,FALSE()),0)</f>
        <v>0</v>
      </c>
      <c r="K28" s="49"/>
      <c r="L28" s="50"/>
      <c r="M28" s="51">
        <f t="shared" si="1"/>
        <v>0</v>
      </c>
      <c r="N28" s="49"/>
      <c r="O28" s="49"/>
      <c r="P28" s="49"/>
      <c r="Q28" s="52"/>
      <c r="R28" s="53"/>
      <c r="S28" s="53"/>
      <c r="T28" s="54"/>
      <c r="U28" s="19">
        <f t="shared" si="2"/>
        <v>0</v>
      </c>
      <c r="V28" s="20">
        <f t="shared" si="3"/>
        <v>0</v>
      </c>
      <c r="W28" s="55">
        <f t="array" ref="W28">IFERROR(INDEX(PRECIOS_TINTORERIA!$B$4:$U$15,MATCH(D28,PRECIOS_TINTORERIA!$A$4:$A$15,0),MATCH(VLOOKUP(A28,PROGRAMAS!$A$4:$G$103,7,FALSE()),PRECIOS_TINTORERIA!$B$3:$U$3,0)),0)</f>
        <v>0</v>
      </c>
      <c r="X28" s="56"/>
      <c r="Y28" s="57"/>
      <c r="Z28" s="58">
        <f t="shared" si="4"/>
        <v>0</v>
      </c>
      <c r="AA28" s="56"/>
      <c r="AB28" s="56"/>
      <c r="AC28" s="56"/>
      <c r="AD28" s="23">
        <f>IFERROR((SUMIFS(COMPRAS_HILO!$H$4:$H$203,COMPRAS_HILO!$B$4:$B$203,A28))*F28/SUMIFS($F$4:$F$503,$A$4:$A$503,A28),0)</f>
        <v>0</v>
      </c>
      <c r="AE28" s="23">
        <f t="shared" si="5"/>
        <v>0</v>
      </c>
      <c r="AF28" s="23">
        <f t="shared" si="6"/>
        <v>0</v>
      </c>
      <c r="AG28" s="25">
        <f t="shared" si="7"/>
        <v>0</v>
      </c>
      <c r="AH28" s="25">
        <f t="shared" si="8"/>
        <v>0</v>
      </c>
      <c r="AI28" s="59"/>
    </row>
    <row r="29" ht="15.75" customHeight="1">
      <c r="A29" s="60" t="s">
        <v>56</v>
      </c>
      <c r="B29" s="38" t="s">
        <v>123</v>
      </c>
      <c r="C29" s="45" t="str">
        <f>IFERROR(VLOOKUP(B29,COLORES!$A$4:$B$52,2,FALSE()),"")</f>
        <v>CLARO</v>
      </c>
      <c r="D29" s="33"/>
      <c r="E29" s="46"/>
      <c r="F29" s="34"/>
      <c r="G29" s="33"/>
      <c r="H29" s="47"/>
      <c r="I29" s="47"/>
      <c r="J29" s="48">
        <f>IFERROR(VLOOKUP(VLOOKUP(A29,PROGRAMAS!$A$4:$G$103,7,FALSE()),PRECIOS_TEJEDURIA!$A$4:$B$22,2,FALSE()),0)</f>
        <v>0.6</v>
      </c>
      <c r="K29" s="49"/>
      <c r="L29" s="50"/>
      <c r="M29" s="51">
        <f t="shared" si="1"/>
        <v>0</v>
      </c>
      <c r="N29" s="49"/>
      <c r="O29" s="49"/>
      <c r="P29" s="49"/>
      <c r="Q29" s="52"/>
      <c r="R29" s="53"/>
      <c r="S29" s="53"/>
      <c r="T29" s="54"/>
      <c r="U29" s="19">
        <f t="shared" si="2"/>
        <v>0</v>
      </c>
      <c r="V29" s="20">
        <f t="shared" si="3"/>
        <v>0</v>
      </c>
      <c r="W29" s="55">
        <f t="array" ref="W29">IFERROR(INDEX(PRECIOS_TINTORERIA!$B$4:$U$15,MATCH(D29,PRECIOS_TINTORERIA!$A$4:$A$15,0),MATCH(VLOOKUP(A29,PROGRAMAS!$A$4:$G$103,7,FALSE()),PRECIOS_TINTORERIA!$B$3:$U$3,0)),0)</f>
        <v>0</v>
      </c>
      <c r="X29" s="56"/>
      <c r="Y29" s="57"/>
      <c r="Z29" s="58">
        <f t="shared" si="4"/>
        <v>0</v>
      </c>
      <c r="AA29" s="56"/>
      <c r="AB29" s="56"/>
      <c r="AC29" s="56"/>
      <c r="AD29" s="23">
        <f>IFERROR((SUMIFS(COMPRAS_HILO!$H$4:$H$203,COMPRAS_HILO!$B$4:$B$203,A29))*F29/SUMIFS($F$4:$F$503,$A$4:$A$503,A29),0)</f>
        <v>0</v>
      </c>
      <c r="AE29" s="23">
        <f t="shared" si="5"/>
        <v>0</v>
      </c>
      <c r="AF29" s="23">
        <f t="shared" si="6"/>
        <v>0</v>
      </c>
      <c r="AG29" s="25">
        <f t="shared" si="7"/>
        <v>0</v>
      </c>
      <c r="AH29" s="25">
        <f t="shared" si="8"/>
        <v>0</v>
      </c>
      <c r="AI29" s="59"/>
    </row>
    <row r="30" ht="15.75" customHeight="1">
      <c r="A30" s="61" t="s">
        <v>51</v>
      </c>
      <c r="B30" s="38" t="s">
        <v>141</v>
      </c>
      <c r="C30" s="45" t="str">
        <f>IFERROR(VLOOKUP(B30,COLORES!$A$4:$B$52,2,FALSE()),"")</f>
        <v>OSCURO</v>
      </c>
      <c r="D30" s="33"/>
      <c r="E30" s="46"/>
      <c r="F30" s="34"/>
      <c r="G30" s="33"/>
      <c r="H30" s="47"/>
      <c r="I30" s="47"/>
      <c r="J30" s="48">
        <f>IFERROR(VLOOKUP(VLOOKUP(A30,PROGRAMAS!$A$4:$G$103,7,FALSE()),PRECIOS_TEJEDURIA!$A$4:$B$22,2,FALSE()),0)</f>
        <v>0</v>
      </c>
      <c r="K30" s="49"/>
      <c r="L30" s="50"/>
      <c r="M30" s="51">
        <f t="shared" si="1"/>
        <v>0</v>
      </c>
      <c r="N30" s="49"/>
      <c r="O30" s="49"/>
      <c r="P30" s="49"/>
      <c r="Q30" s="52"/>
      <c r="R30" s="53"/>
      <c r="S30" s="53"/>
      <c r="T30" s="54"/>
      <c r="U30" s="19">
        <f t="shared" si="2"/>
        <v>0</v>
      </c>
      <c r="V30" s="20">
        <f t="shared" si="3"/>
        <v>0</v>
      </c>
      <c r="W30" s="55">
        <f t="array" ref="W30">IFERROR(INDEX(PRECIOS_TINTORERIA!$B$4:$U$15,MATCH(D30,PRECIOS_TINTORERIA!$A$4:$A$15,0),MATCH(VLOOKUP(A30,PROGRAMAS!$A$4:$G$103,7,FALSE()),PRECIOS_TINTORERIA!$B$3:$U$3,0)),0)</f>
        <v>0</v>
      </c>
      <c r="X30" s="56"/>
      <c r="Y30" s="57"/>
      <c r="Z30" s="58">
        <f t="shared" si="4"/>
        <v>0</v>
      </c>
      <c r="AA30" s="56"/>
      <c r="AB30" s="56"/>
      <c r="AC30" s="56"/>
      <c r="AD30" s="23">
        <f>IFERROR((SUMIFS(COMPRAS_HILO!$H$4:$H$203,COMPRAS_HILO!$B$4:$B$203,A30))*F30/SUMIFS($F$4:$F$503,$A$4:$A$503,A30),0)</f>
        <v>0</v>
      </c>
      <c r="AE30" s="23">
        <f t="shared" si="5"/>
        <v>0</v>
      </c>
      <c r="AF30" s="23">
        <f t="shared" si="6"/>
        <v>0</v>
      </c>
      <c r="AG30" s="25">
        <f t="shared" si="7"/>
        <v>0</v>
      </c>
      <c r="AH30" s="25">
        <f t="shared" si="8"/>
        <v>0</v>
      </c>
      <c r="AI30" s="59"/>
    </row>
    <row r="31" ht="15.75" customHeight="1">
      <c r="A31" s="61" t="s">
        <v>56</v>
      </c>
      <c r="B31" s="38" t="s">
        <v>141</v>
      </c>
      <c r="C31" s="45" t="str">
        <f>IFERROR(VLOOKUP(B31,COLORES!$A$4:$B$52,2,FALSE()),"")</f>
        <v>OSCURO</v>
      </c>
      <c r="D31" s="33"/>
      <c r="E31" s="46"/>
      <c r="F31" s="34"/>
      <c r="G31" s="33"/>
      <c r="H31" s="47"/>
      <c r="I31" s="47"/>
      <c r="J31" s="48">
        <f>IFERROR(VLOOKUP(VLOOKUP(A31,PROGRAMAS!$A$4:$G$103,7,FALSE()),PRECIOS_TEJEDURIA!$A$4:$B$22,2,FALSE()),0)</f>
        <v>0.6</v>
      </c>
      <c r="K31" s="49"/>
      <c r="L31" s="50"/>
      <c r="M31" s="51">
        <f t="shared" si="1"/>
        <v>0</v>
      </c>
      <c r="N31" s="49"/>
      <c r="O31" s="49"/>
      <c r="P31" s="49"/>
      <c r="Q31" s="52"/>
      <c r="R31" s="53"/>
      <c r="S31" s="53"/>
      <c r="T31" s="54"/>
      <c r="U31" s="19">
        <f t="shared" si="2"/>
        <v>0</v>
      </c>
      <c r="V31" s="20">
        <f t="shared" si="3"/>
        <v>0</v>
      </c>
      <c r="W31" s="55">
        <f t="array" ref="W31">IFERROR(INDEX(PRECIOS_TINTORERIA!$B$4:$U$15,MATCH(D31,PRECIOS_TINTORERIA!$A$4:$A$15,0),MATCH(VLOOKUP(A31,PROGRAMAS!$A$4:$G$103,7,FALSE()),PRECIOS_TINTORERIA!$B$3:$U$3,0)),0)</f>
        <v>0</v>
      </c>
      <c r="X31" s="56"/>
      <c r="Y31" s="57"/>
      <c r="Z31" s="58">
        <f t="shared" si="4"/>
        <v>0</v>
      </c>
      <c r="AA31" s="56"/>
      <c r="AB31" s="56"/>
      <c r="AC31" s="56"/>
      <c r="AD31" s="23">
        <f>IFERROR((SUMIFS(COMPRAS_HILO!$H$4:$H$203,COMPRAS_HILO!$B$4:$B$203,A31))*F31/SUMIFS($F$4:$F$503,$A$4:$A$503,A31),0)</f>
        <v>0</v>
      </c>
      <c r="AE31" s="23">
        <f t="shared" si="5"/>
        <v>0</v>
      </c>
      <c r="AF31" s="23">
        <f t="shared" si="6"/>
        <v>0</v>
      </c>
      <c r="AG31" s="25">
        <f t="shared" si="7"/>
        <v>0</v>
      </c>
      <c r="AH31" s="25">
        <f t="shared" si="8"/>
        <v>0</v>
      </c>
      <c r="AI31" s="59"/>
    </row>
    <row r="32" ht="15.75" customHeight="1">
      <c r="A32" s="40"/>
      <c r="B32" s="33"/>
      <c r="C32" s="45" t="str">
        <f>IFERROR(VLOOKUP(B32,COLORES!$A$4:$B$52,2,FALSE()),"")</f>
        <v/>
      </c>
      <c r="D32" s="33"/>
      <c r="E32" s="46"/>
      <c r="F32" s="34"/>
      <c r="G32" s="33"/>
      <c r="H32" s="47"/>
      <c r="I32" s="47"/>
      <c r="J32" s="48">
        <f>IFERROR(VLOOKUP(VLOOKUP(A32,PROGRAMAS!$A$4:$G$103,7,FALSE()),PRECIOS_TEJEDURIA!$A$4:$B$22,2,FALSE()),0)</f>
        <v>0</v>
      </c>
      <c r="K32" s="49"/>
      <c r="L32" s="50"/>
      <c r="M32" s="51">
        <f t="shared" si="1"/>
        <v>0</v>
      </c>
      <c r="N32" s="49"/>
      <c r="O32" s="49"/>
      <c r="P32" s="49"/>
      <c r="Q32" s="52"/>
      <c r="R32" s="53"/>
      <c r="S32" s="53"/>
      <c r="T32" s="54"/>
      <c r="U32" s="19">
        <f t="shared" si="2"/>
        <v>0</v>
      </c>
      <c r="V32" s="20">
        <f t="shared" si="3"/>
        <v>0</v>
      </c>
      <c r="W32" s="55">
        <f t="array" ref="W32">IFERROR(INDEX(PRECIOS_TINTORERIA!$B$4:$U$15,MATCH(D32,PRECIOS_TINTORERIA!$A$4:$A$15,0),MATCH(VLOOKUP(A32,PROGRAMAS!$A$4:$G$103,7,FALSE()),PRECIOS_TINTORERIA!$B$3:$U$3,0)),0)</f>
        <v>0</v>
      </c>
      <c r="X32" s="56"/>
      <c r="Y32" s="57"/>
      <c r="Z32" s="58">
        <f t="shared" si="4"/>
        <v>0</v>
      </c>
      <c r="AA32" s="56"/>
      <c r="AB32" s="56"/>
      <c r="AC32" s="56"/>
      <c r="AD32" s="23">
        <f>IFERROR((SUMIFS(COMPRAS_HILO!$H$4:$H$203,COMPRAS_HILO!$B$4:$B$203,A32))*F32/SUMIFS($F$4:$F$503,$A$4:$A$503,A32),0)</f>
        <v>0</v>
      </c>
      <c r="AE32" s="23">
        <f t="shared" si="5"/>
        <v>0</v>
      </c>
      <c r="AF32" s="23">
        <f t="shared" si="6"/>
        <v>0</v>
      </c>
      <c r="AG32" s="25">
        <f t="shared" si="7"/>
        <v>0</v>
      </c>
      <c r="AH32" s="25">
        <f t="shared" si="8"/>
        <v>0</v>
      </c>
      <c r="AI32" s="59"/>
    </row>
    <row r="33" ht="15.75" customHeight="1">
      <c r="A33" s="40"/>
      <c r="B33" s="33"/>
      <c r="C33" s="45" t="str">
        <f>IFERROR(VLOOKUP(B33,COLORES!$A$4:$B$52,2,FALSE()),"")</f>
        <v/>
      </c>
      <c r="D33" s="33"/>
      <c r="E33" s="46"/>
      <c r="F33" s="34"/>
      <c r="G33" s="33"/>
      <c r="H33" s="47"/>
      <c r="I33" s="47"/>
      <c r="J33" s="48">
        <f>IFERROR(VLOOKUP(VLOOKUP(A33,PROGRAMAS!$A$4:$G$103,7,FALSE()),PRECIOS_TEJEDURIA!$A$4:$B$22,2,FALSE()),0)</f>
        <v>0</v>
      </c>
      <c r="K33" s="49"/>
      <c r="L33" s="50"/>
      <c r="M33" s="51">
        <f t="shared" si="1"/>
        <v>0</v>
      </c>
      <c r="N33" s="49"/>
      <c r="O33" s="49"/>
      <c r="P33" s="49"/>
      <c r="Q33" s="52"/>
      <c r="R33" s="53"/>
      <c r="S33" s="53"/>
      <c r="T33" s="54"/>
      <c r="U33" s="19">
        <f t="shared" si="2"/>
        <v>0</v>
      </c>
      <c r="V33" s="20">
        <f t="shared" si="3"/>
        <v>0</v>
      </c>
      <c r="W33" s="55">
        <f t="array" ref="W33">IFERROR(INDEX(PRECIOS_TINTORERIA!$B$4:$U$15,MATCH(D33,PRECIOS_TINTORERIA!$A$4:$A$15,0),MATCH(VLOOKUP(A33,PROGRAMAS!$A$4:$G$103,7,FALSE()),PRECIOS_TINTORERIA!$B$3:$U$3,0)),0)</f>
        <v>0</v>
      </c>
      <c r="X33" s="56"/>
      <c r="Y33" s="57"/>
      <c r="Z33" s="58">
        <f t="shared" si="4"/>
        <v>0</v>
      </c>
      <c r="AA33" s="56"/>
      <c r="AB33" s="56"/>
      <c r="AC33" s="56"/>
      <c r="AD33" s="23">
        <f>IFERROR((SUMIFS(COMPRAS_HILO!$H$4:$H$203,COMPRAS_HILO!$B$4:$B$203,A33))*F33/SUMIFS($F$4:$F$503,$A$4:$A$503,A33),0)</f>
        <v>0</v>
      </c>
      <c r="AE33" s="23">
        <f t="shared" si="5"/>
        <v>0</v>
      </c>
      <c r="AF33" s="23">
        <f t="shared" si="6"/>
        <v>0</v>
      </c>
      <c r="AG33" s="25">
        <f t="shared" si="7"/>
        <v>0</v>
      </c>
      <c r="AH33" s="25">
        <f t="shared" si="8"/>
        <v>0</v>
      </c>
      <c r="AI33" s="59"/>
    </row>
    <row r="34" ht="15.75" customHeight="1">
      <c r="A34" s="40"/>
      <c r="B34" s="33"/>
      <c r="C34" s="45" t="str">
        <f>IFERROR(VLOOKUP(B34,COLORES!$A$4:$B$52,2,FALSE()),"")</f>
        <v/>
      </c>
      <c r="D34" s="33"/>
      <c r="E34" s="46"/>
      <c r="F34" s="34"/>
      <c r="G34" s="33"/>
      <c r="H34" s="47"/>
      <c r="I34" s="47"/>
      <c r="J34" s="48">
        <f>IFERROR(VLOOKUP(VLOOKUP(A34,PROGRAMAS!$A$4:$G$103,7,FALSE()),PRECIOS_TEJEDURIA!$A$4:$B$22,2,FALSE()),0)</f>
        <v>0</v>
      </c>
      <c r="K34" s="49"/>
      <c r="L34" s="50"/>
      <c r="M34" s="51">
        <f t="shared" si="1"/>
        <v>0</v>
      </c>
      <c r="N34" s="49"/>
      <c r="O34" s="49"/>
      <c r="P34" s="49"/>
      <c r="Q34" s="52"/>
      <c r="R34" s="53"/>
      <c r="S34" s="53"/>
      <c r="T34" s="54"/>
      <c r="U34" s="19">
        <f t="shared" si="2"/>
        <v>0</v>
      </c>
      <c r="V34" s="20">
        <f t="shared" si="3"/>
        <v>0</v>
      </c>
      <c r="W34" s="55">
        <f t="array" ref="W34">IFERROR(INDEX(PRECIOS_TINTORERIA!$B$4:$U$15,MATCH(D34,PRECIOS_TINTORERIA!$A$4:$A$15,0),MATCH(VLOOKUP(A34,PROGRAMAS!$A$4:$G$103,7,FALSE()),PRECIOS_TINTORERIA!$B$3:$U$3,0)),0)</f>
        <v>0</v>
      </c>
      <c r="X34" s="56"/>
      <c r="Y34" s="57"/>
      <c r="Z34" s="58">
        <f t="shared" si="4"/>
        <v>0</v>
      </c>
      <c r="AA34" s="56"/>
      <c r="AB34" s="56"/>
      <c r="AC34" s="56"/>
      <c r="AD34" s="23">
        <f>IFERROR((SUMIFS(COMPRAS_HILO!$H$4:$H$203,COMPRAS_HILO!$B$4:$B$203,A34))*F34/SUMIFS($F$4:$F$503,$A$4:$A$503,A34),0)</f>
        <v>0</v>
      </c>
      <c r="AE34" s="23">
        <f t="shared" si="5"/>
        <v>0</v>
      </c>
      <c r="AF34" s="23">
        <f t="shared" si="6"/>
        <v>0</v>
      </c>
      <c r="AG34" s="25">
        <f t="shared" si="7"/>
        <v>0</v>
      </c>
      <c r="AH34" s="25">
        <f t="shared" si="8"/>
        <v>0</v>
      </c>
      <c r="AI34" s="59"/>
    </row>
    <row r="35" ht="15.75" customHeight="1">
      <c r="A35" s="40"/>
      <c r="B35" s="33"/>
      <c r="C35" s="45" t="str">
        <f>IFERROR(VLOOKUP(B35,COLORES!$A$4:$B$52,2,FALSE()),"")</f>
        <v/>
      </c>
      <c r="D35" s="33"/>
      <c r="E35" s="46"/>
      <c r="F35" s="34"/>
      <c r="G35" s="33"/>
      <c r="H35" s="47"/>
      <c r="I35" s="47"/>
      <c r="J35" s="48">
        <f>IFERROR(VLOOKUP(VLOOKUP(A35,PROGRAMAS!$A$4:$G$103,7,FALSE()),PRECIOS_TEJEDURIA!$A$4:$B$22,2,FALSE()),0)</f>
        <v>0</v>
      </c>
      <c r="K35" s="49"/>
      <c r="L35" s="50"/>
      <c r="M35" s="51">
        <f t="shared" si="1"/>
        <v>0</v>
      </c>
      <c r="N35" s="49"/>
      <c r="O35" s="49"/>
      <c r="P35" s="49"/>
      <c r="Q35" s="52"/>
      <c r="R35" s="53"/>
      <c r="S35" s="53"/>
      <c r="T35" s="54"/>
      <c r="U35" s="19">
        <f t="shared" si="2"/>
        <v>0</v>
      </c>
      <c r="V35" s="20">
        <f t="shared" si="3"/>
        <v>0</v>
      </c>
      <c r="W35" s="55">
        <f t="array" ref="W35">IFERROR(INDEX(PRECIOS_TINTORERIA!$B$4:$U$15,MATCH(D35,PRECIOS_TINTORERIA!$A$4:$A$15,0),MATCH(VLOOKUP(A35,PROGRAMAS!$A$4:$G$103,7,FALSE()),PRECIOS_TINTORERIA!$B$3:$U$3,0)),0)</f>
        <v>0</v>
      </c>
      <c r="X35" s="56"/>
      <c r="Y35" s="57"/>
      <c r="Z35" s="58">
        <f t="shared" si="4"/>
        <v>0</v>
      </c>
      <c r="AA35" s="56"/>
      <c r="AB35" s="56"/>
      <c r="AC35" s="56"/>
      <c r="AD35" s="23">
        <f>IFERROR((SUMIFS(COMPRAS_HILO!$H$4:$H$203,COMPRAS_HILO!$B$4:$B$203,A35))*F35/SUMIFS($F$4:$F$503,$A$4:$A$503,A35),0)</f>
        <v>0</v>
      </c>
      <c r="AE35" s="23">
        <f t="shared" si="5"/>
        <v>0</v>
      </c>
      <c r="AF35" s="23">
        <f t="shared" si="6"/>
        <v>0</v>
      </c>
      <c r="AG35" s="25">
        <f t="shared" si="7"/>
        <v>0</v>
      </c>
      <c r="AH35" s="25">
        <f t="shared" si="8"/>
        <v>0</v>
      </c>
      <c r="AI35" s="59"/>
    </row>
    <row r="36" ht="15.75" customHeight="1">
      <c r="A36" s="40"/>
      <c r="B36" s="33"/>
      <c r="C36" s="45" t="str">
        <f>IFERROR(VLOOKUP(B36,COLORES!$A$4:$B$52,2,FALSE()),"")</f>
        <v/>
      </c>
      <c r="D36" s="33"/>
      <c r="E36" s="46"/>
      <c r="F36" s="34"/>
      <c r="G36" s="33"/>
      <c r="H36" s="47"/>
      <c r="I36" s="47"/>
      <c r="J36" s="48">
        <f>IFERROR(VLOOKUP(VLOOKUP(A36,PROGRAMAS!$A$4:$G$103,7,FALSE()),PRECIOS_TEJEDURIA!$A$4:$B$22,2,FALSE()),0)</f>
        <v>0</v>
      </c>
      <c r="K36" s="49"/>
      <c r="L36" s="50"/>
      <c r="M36" s="51">
        <f t="shared" si="1"/>
        <v>0</v>
      </c>
      <c r="N36" s="49"/>
      <c r="O36" s="49"/>
      <c r="P36" s="49"/>
      <c r="Q36" s="52"/>
      <c r="R36" s="53"/>
      <c r="S36" s="53"/>
      <c r="T36" s="54"/>
      <c r="U36" s="19">
        <f t="shared" si="2"/>
        <v>0</v>
      </c>
      <c r="V36" s="20">
        <f t="shared" si="3"/>
        <v>0</v>
      </c>
      <c r="W36" s="55">
        <f t="array" ref="W36">IFERROR(INDEX(PRECIOS_TINTORERIA!$B$4:$U$15,MATCH(D36,PRECIOS_TINTORERIA!$A$4:$A$15,0),MATCH(VLOOKUP(A36,PROGRAMAS!$A$4:$G$103,7,FALSE()),PRECIOS_TINTORERIA!$B$3:$U$3,0)),0)</f>
        <v>0</v>
      </c>
      <c r="X36" s="56"/>
      <c r="Y36" s="57"/>
      <c r="Z36" s="58">
        <f t="shared" si="4"/>
        <v>0</v>
      </c>
      <c r="AA36" s="56"/>
      <c r="AB36" s="56"/>
      <c r="AC36" s="56"/>
      <c r="AD36" s="23">
        <f>IFERROR((SUMIFS(COMPRAS_HILO!$H$4:$H$203,COMPRAS_HILO!$B$4:$B$203,A36))*F36/SUMIFS($F$4:$F$503,$A$4:$A$503,A36),0)</f>
        <v>0</v>
      </c>
      <c r="AE36" s="23">
        <f t="shared" si="5"/>
        <v>0</v>
      </c>
      <c r="AF36" s="23">
        <f t="shared" si="6"/>
        <v>0</v>
      </c>
      <c r="AG36" s="25">
        <f t="shared" si="7"/>
        <v>0</v>
      </c>
      <c r="AH36" s="25">
        <f t="shared" si="8"/>
        <v>0</v>
      </c>
      <c r="AI36" s="59"/>
    </row>
    <row r="37" ht="15.75" customHeight="1">
      <c r="A37" s="40"/>
      <c r="B37" s="33"/>
      <c r="C37" s="45" t="str">
        <f>IFERROR(VLOOKUP(B37,COLORES!$A$4:$B$52,2,FALSE()),"")</f>
        <v/>
      </c>
      <c r="D37" s="33"/>
      <c r="E37" s="46"/>
      <c r="F37" s="34"/>
      <c r="G37" s="33"/>
      <c r="H37" s="47"/>
      <c r="I37" s="47"/>
      <c r="J37" s="48">
        <f>IFERROR(VLOOKUP(VLOOKUP(A37,PROGRAMAS!$A$4:$G$103,7,FALSE()),PRECIOS_TEJEDURIA!$A$4:$B$22,2,FALSE()),0)</f>
        <v>0</v>
      </c>
      <c r="K37" s="49"/>
      <c r="L37" s="50"/>
      <c r="M37" s="51">
        <f t="shared" si="1"/>
        <v>0</v>
      </c>
      <c r="N37" s="49"/>
      <c r="O37" s="49"/>
      <c r="P37" s="49"/>
      <c r="Q37" s="52"/>
      <c r="R37" s="53"/>
      <c r="S37" s="53"/>
      <c r="T37" s="54"/>
      <c r="U37" s="19">
        <f t="shared" si="2"/>
        <v>0</v>
      </c>
      <c r="V37" s="20">
        <f t="shared" si="3"/>
        <v>0</v>
      </c>
      <c r="W37" s="55">
        <f t="array" ref="W37">IFERROR(INDEX(PRECIOS_TINTORERIA!$B$4:$U$15,MATCH(D37,PRECIOS_TINTORERIA!$A$4:$A$15,0),MATCH(VLOOKUP(A37,PROGRAMAS!$A$4:$G$103,7,FALSE()),PRECIOS_TINTORERIA!$B$3:$U$3,0)),0)</f>
        <v>0</v>
      </c>
      <c r="X37" s="56"/>
      <c r="Y37" s="57"/>
      <c r="Z37" s="58">
        <f t="shared" si="4"/>
        <v>0</v>
      </c>
      <c r="AA37" s="56"/>
      <c r="AB37" s="56"/>
      <c r="AC37" s="56"/>
      <c r="AD37" s="23">
        <f>IFERROR((SUMIFS(COMPRAS_HILO!$H$4:$H$203,COMPRAS_HILO!$B$4:$B$203,A37))*F37/SUMIFS($F$4:$F$503,$A$4:$A$503,A37),0)</f>
        <v>0</v>
      </c>
      <c r="AE37" s="23">
        <f t="shared" si="5"/>
        <v>0</v>
      </c>
      <c r="AF37" s="23">
        <f t="shared" si="6"/>
        <v>0</v>
      </c>
      <c r="AG37" s="25">
        <f t="shared" si="7"/>
        <v>0</v>
      </c>
      <c r="AH37" s="25">
        <f t="shared" si="8"/>
        <v>0</v>
      </c>
      <c r="AI37" s="59"/>
    </row>
    <row r="38" ht="15.75" customHeight="1">
      <c r="A38" s="40"/>
      <c r="B38" s="33"/>
      <c r="C38" s="45" t="str">
        <f>IFERROR(VLOOKUP(B38,COLORES!$A$4:$B$52,2,FALSE()),"")</f>
        <v/>
      </c>
      <c r="D38" s="33"/>
      <c r="E38" s="46"/>
      <c r="F38" s="34"/>
      <c r="G38" s="33"/>
      <c r="H38" s="47"/>
      <c r="I38" s="47"/>
      <c r="J38" s="48">
        <f>IFERROR(VLOOKUP(VLOOKUP(A38,PROGRAMAS!$A$4:$G$103,7,FALSE()),PRECIOS_TEJEDURIA!$A$4:$B$22,2,FALSE()),0)</f>
        <v>0</v>
      </c>
      <c r="K38" s="49"/>
      <c r="L38" s="50"/>
      <c r="M38" s="51">
        <f t="shared" si="1"/>
        <v>0</v>
      </c>
      <c r="N38" s="49"/>
      <c r="O38" s="49"/>
      <c r="P38" s="49"/>
      <c r="Q38" s="52"/>
      <c r="R38" s="53"/>
      <c r="S38" s="53"/>
      <c r="T38" s="54"/>
      <c r="U38" s="19">
        <f t="shared" si="2"/>
        <v>0</v>
      </c>
      <c r="V38" s="20">
        <f t="shared" si="3"/>
        <v>0</v>
      </c>
      <c r="W38" s="55">
        <f t="array" ref="W38">IFERROR(INDEX(PRECIOS_TINTORERIA!$B$4:$U$15,MATCH(D38,PRECIOS_TINTORERIA!$A$4:$A$15,0),MATCH(VLOOKUP(A38,PROGRAMAS!$A$4:$G$103,7,FALSE()),PRECIOS_TINTORERIA!$B$3:$U$3,0)),0)</f>
        <v>0</v>
      </c>
      <c r="X38" s="56"/>
      <c r="Y38" s="57"/>
      <c r="Z38" s="58">
        <f t="shared" si="4"/>
        <v>0</v>
      </c>
      <c r="AA38" s="56"/>
      <c r="AB38" s="56"/>
      <c r="AC38" s="56"/>
      <c r="AD38" s="23">
        <f>IFERROR((SUMIFS(COMPRAS_HILO!$H$4:$H$203,COMPRAS_HILO!$B$4:$B$203,A38))*F38/SUMIFS($F$4:$F$503,$A$4:$A$503,A38),0)</f>
        <v>0</v>
      </c>
      <c r="AE38" s="23">
        <f t="shared" si="5"/>
        <v>0</v>
      </c>
      <c r="AF38" s="23">
        <f t="shared" si="6"/>
        <v>0</v>
      </c>
      <c r="AG38" s="25">
        <f t="shared" si="7"/>
        <v>0</v>
      </c>
      <c r="AH38" s="25">
        <f t="shared" si="8"/>
        <v>0</v>
      </c>
      <c r="AI38" s="59"/>
    </row>
    <row r="39" ht="15.75" customHeight="1">
      <c r="A39" s="40"/>
      <c r="B39" s="33"/>
      <c r="C39" s="45" t="str">
        <f>IFERROR(VLOOKUP(B39,COLORES!$A$4:$B$52,2,FALSE()),"")</f>
        <v/>
      </c>
      <c r="D39" s="33"/>
      <c r="E39" s="46"/>
      <c r="F39" s="34"/>
      <c r="G39" s="33"/>
      <c r="H39" s="47"/>
      <c r="I39" s="47"/>
      <c r="J39" s="48">
        <f>IFERROR(VLOOKUP(VLOOKUP(A39,PROGRAMAS!$A$4:$G$103,7,FALSE()),PRECIOS_TEJEDURIA!$A$4:$B$22,2,FALSE()),0)</f>
        <v>0</v>
      </c>
      <c r="K39" s="49"/>
      <c r="L39" s="50"/>
      <c r="M39" s="51">
        <f t="shared" si="1"/>
        <v>0</v>
      </c>
      <c r="N39" s="49"/>
      <c r="O39" s="49"/>
      <c r="P39" s="49"/>
      <c r="Q39" s="52"/>
      <c r="R39" s="53"/>
      <c r="S39" s="53"/>
      <c r="T39" s="54"/>
      <c r="U39" s="19">
        <f t="shared" si="2"/>
        <v>0</v>
      </c>
      <c r="V39" s="20">
        <f t="shared" si="3"/>
        <v>0</v>
      </c>
      <c r="W39" s="55">
        <f t="array" ref="W39">IFERROR(INDEX(PRECIOS_TINTORERIA!$B$4:$U$15,MATCH(D39,PRECIOS_TINTORERIA!$A$4:$A$15,0),MATCH(VLOOKUP(A39,PROGRAMAS!$A$4:$G$103,7,FALSE()),PRECIOS_TINTORERIA!$B$3:$U$3,0)),0)</f>
        <v>0</v>
      </c>
      <c r="X39" s="56"/>
      <c r="Y39" s="57"/>
      <c r="Z39" s="58">
        <f t="shared" si="4"/>
        <v>0</v>
      </c>
      <c r="AA39" s="56"/>
      <c r="AB39" s="56"/>
      <c r="AC39" s="56"/>
      <c r="AD39" s="23">
        <f>IFERROR((SUMIFS(COMPRAS_HILO!$H$4:$H$203,COMPRAS_HILO!$B$4:$B$203,A39))*F39/SUMIFS($F$4:$F$503,$A$4:$A$503,A39),0)</f>
        <v>0</v>
      </c>
      <c r="AE39" s="23">
        <f t="shared" si="5"/>
        <v>0</v>
      </c>
      <c r="AF39" s="23">
        <f t="shared" si="6"/>
        <v>0</v>
      </c>
      <c r="AG39" s="25">
        <f t="shared" si="7"/>
        <v>0</v>
      </c>
      <c r="AH39" s="25">
        <f t="shared" si="8"/>
        <v>0</v>
      </c>
      <c r="AI39" s="59"/>
    </row>
    <row r="40" ht="15.75" customHeight="1">
      <c r="A40" s="40"/>
      <c r="B40" s="33"/>
      <c r="C40" s="45" t="str">
        <f>IFERROR(VLOOKUP(B40,COLORES!$A$4:$B$52,2,FALSE()),"")</f>
        <v/>
      </c>
      <c r="D40" s="33"/>
      <c r="E40" s="46"/>
      <c r="F40" s="34"/>
      <c r="G40" s="33"/>
      <c r="H40" s="47"/>
      <c r="I40" s="47"/>
      <c r="J40" s="48">
        <f>IFERROR(VLOOKUP(VLOOKUP(A40,PROGRAMAS!$A$4:$G$103,7,FALSE()),PRECIOS_TEJEDURIA!$A$4:$B$22,2,FALSE()),0)</f>
        <v>0</v>
      </c>
      <c r="K40" s="49"/>
      <c r="L40" s="50"/>
      <c r="M40" s="51">
        <f t="shared" si="1"/>
        <v>0</v>
      </c>
      <c r="N40" s="49"/>
      <c r="O40" s="49"/>
      <c r="P40" s="49"/>
      <c r="Q40" s="52"/>
      <c r="R40" s="53"/>
      <c r="S40" s="53"/>
      <c r="T40" s="54"/>
      <c r="U40" s="19">
        <f t="shared" si="2"/>
        <v>0</v>
      </c>
      <c r="V40" s="20">
        <f t="shared" si="3"/>
        <v>0</v>
      </c>
      <c r="W40" s="55">
        <f t="array" ref="W40">IFERROR(INDEX(PRECIOS_TINTORERIA!$B$4:$U$15,MATCH(D40,PRECIOS_TINTORERIA!$A$4:$A$15,0),MATCH(VLOOKUP(A40,PROGRAMAS!$A$4:$G$103,7,FALSE()),PRECIOS_TINTORERIA!$B$3:$U$3,0)),0)</f>
        <v>0</v>
      </c>
      <c r="X40" s="56"/>
      <c r="Y40" s="57"/>
      <c r="Z40" s="58">
        <f t="shared" si="4"/>
        <v>0</v>
      </c>
      <c r="AA40" s="56"/>
      <c r="AB40" s="56"/>
      <c r="AC40" s="56"/>
      <c r="AD40" s="23">
        <f>IFERROR((SUMIFS(COMPRAS_HILO!$H$4:$H$203,COMPRAS_HILO!$B$4:$B$203,A40))*F40/SUMIFS($F$4:$F$503,$A$4:$A$503,A40),0)</f>
        <v>0</v>
      </c>
      <c r="AE40" s="23">
        <f t="shared" si="5"/>
        <v>0</v>
      </c>
      <c r="AF40" s="23">
        <f t="shared" si="6"/>
        <v>0</v>
      </c>
      <c r="AG40" s="25">
        <f t="shared" si="7"/>
        <v>0</v>
      </c>
      <c r="AH40" s="25">
        <f t="shared" si="8"/>
        <v>0</v>
      </c>
      <c r="AI40" s="59"/>
    </row>
    <row r="41" ht="15.75" customHeight="1">
      <c r="A41" s="40"/>
      <c r="B41" s="33"/>
      <c r="C41" s="45" t="str">
        <f>IFERROR(VLOOKUP(B41,COLORES!$A$4:$B$52,2,FALSE()),"")</f>
        <v/>
      </c>
      <c r="D41" s="33"/>
      <c r="E41" s="46"/>
      <c r="F41" s="34"/>
      <c r="G41" s="33"/>
      <c r="H41" s="47"/>
      <c r="I41" s="47"/>
      <c r="J41" s="48">
        <f>IFERROR(VLOOKUP(VLOOKUP(A41,PROGRAMAS!$A$4:$G$103,7,FALSE()),PRECIOS_TEJEDURIA!$A$4:$B$22,2,FALSE()),0)</f>
        <v>0</v>
      </c>
      <c r="K41" s="49"/>
      <c r="L41" s="50"/>
      <c r="M41" s="51">
        <f t="shared" si="1"/>
        <v>0</v>
      </c>
      <c r="N41" s="49"/>
      <c r="O41" s="49"/>
      <c r="P41" s="49"/>
      <c r="Q41" s="52"/>
      <c r="R41" s="53"/>
      <c r="S41" s="53"/>
      <c r="T41" s="54"/>
      <c r="U41" s="19">
        <f t="shared" si="2"/>
        <v>0</v>
      </c>
      <c r="V41" s="20">
        <f t="shared" si="3"/>
        <v>0</v>
      </c>
      <c r="W41" s="55">
        <f t="array" ref="W41">IFERROR(INDEX(PRECIOS_TINTORERIA!$B$4:$U$15,MATCH(D41,PRECIOS_TINTORERIA!$A$4:$A$15,0),MATCH(VLOOKUP(A41,PROGRAMAS!$A$4:$G$103,7,FALSE()),PRECIOS_TINTORERIA!$B$3:$U$3,0)),0)</f>
        <v>0</v>
      </c>
      <c r="X41" s="56"/>
      <c r="Y41" s="57"/>
      <c r="Z41" s="58">
        <f t="shared" si="4"/>
        <v>0</v>
      </c>
      <c r="AA41" s="56"/>
      <c r="AB41" s="56"/>
      <c r="AC41" s="56"/>
      <c r="AD41" s="23">
        <f>IFERROR((SUMIFS(COMPRAS_HILO!$H$4:$H$203,COMPRAS_HILO!$B$4:$B$203,A41))*F41/SUMIFS($F$4:$F$503,$A$4:$A$503,A41),0)</f>
        <v>0</v>
      </c>
      <c r="AE41" s="23">
        <f t="shared" si="5"/>
        <v>0</v>
      </c>
      <c r="AF41" s="23">
        <f t="shared" si="6"/>
        <v>0</v>
      </c>
      <c r="AG41" s="25">
        <f t="shared" si="7"/>
        <v>0</v>
      </c>
      <c r="AH41" s="25">
        <f t="shared" si="8"/>
        <v>0</v>
      </c>
      <c r="AI41" s="59"/>
    </row>
    <row r="42" ht="15.75" customHeight="1">
      <c r="A42" s="40"/>
      <c r="B42" s="33"/>
      <c r="C42" s="45" t="str">
        <f>IFERROR(VLOOKUP(B42,COLORES!$A$4:$B$52,2,FALSE()),"")</f>
        <v/>
      </c>
      <c r="D42" s="33"/>
      <c r="E42" s="46"/>
      <c r="F42" s="34"/>
      <c r="G42" s="33"/>
      <c r="H42" s="47"/>
      <c r="I42" s="47"/>
      <c r="J42" s="48">
        <f>IFERROR(VLOOKUP(VLOOKUP(A42,PROGRAMAS!$A$4:$G$103,7,FALSE()),PRECIOS_TEJEDURIA!$A$4:$B$22,2,FALSE()),0)</f>
        <v>0</v>
      </c>
      <c r="K42" s="49"/>
      <c r="L42" s="50"/>
      <c r="M42" s="51">
        <f t="shared" si="1"/>
        <v>0</v>
      </c>
      <c r="N42" s="49"/>
      <c r="O42" s="49"/>
      <c r="P42" s="49"/>
      <c r="Q42" s="52"/>
      <c r="R42" s="53"/>
      <c r="S42" s="53"/>
      <c r="T42" s="54"/>
      <c r="U42" s="19">
        <f t="shared" si="2"/>
        <v>0</v>
      </c>
      <c r="V42" s="20">
        <f t="shared" si="3"/>
        <v>0</v>
      </c>
      <c r="W42" s="55">
        <f t="array" ref="W42">IFERROR(INDEX(PRECIOS_TINTORERIA!$B$4:$U$15,MATCH(D42,PRECIOS_TINTORERIA!$A$4:$A$15,0),MATCH(VLOOKUP(A42,PROGRAMAS!$A$4:$G$103,7,FALSE()),PRECIOS_TINTORERIA!$B$3:$U$3,0)),0)</f>
        <v>0</v>
      </c>
      <c r="X42" s="56"/>
      <c r="Y42" s="57"/>
      <c r="Z42" s="58">
        <f t="shared" si="4"/>
        <v>0</v>
      </c>
      <c r="AA42" s="56"/>
      <c r="AB42" s="56"/>
      <c r="AC42" s="56"/>
      <c r="AD42" s="23">
        <f>IFERROR((SUMIFS(COMPRAS_HILO!$H$4:$H$203,COMPRAS_HILO!$B$4:$B$203,A42))*F42/SUMIFS($F$4:$F$503,$A$4:$A$503,A42),0)</f>
        <v>0</v>
      </c>
      <c r="AE42" s="23">
        <f t="shared" si="5"/>
        <v>0</v>
      </c>
      <c r="AF42" s="23">
        <f t="shared" si="6"/>
        <v>0</v>
      </c>
      <c r="AG42" s="25">
        <f t="shared" si="7"/>
        <v>0</v>
      </c>
      <c r="AH42" s="25">
        <f t="shared" si="8"/>
        <v>0</v>
      </c>
      <c r="AI42" s="59"/>
    </row>
    <row r="43" ht="15.75" customHeight="1">
      <c r="A43" s="40"/>
      <c r="B43" s="33"/>
      <c r="C43" s="45" t="str">
        <f>IFERROR(VLOOKUP(B43,COLORES!$A$4:$B$52,2,FALSE()),"")</f>
        <v/>
      </c>
      <c r="D43" s="33"/>
      <c r="E43" s="46"/>
      <c r="F43" s="34"/>
      <c r="G43" s="33"/>
      <c r="H43" s="47"/>
      <c r="I43" s="47"/>
      <c r="J43" s="48">
        <f>IFERROR(VLOOKUP(VLOOKUP(A43,PROGRAMAS!$A$4:$G$103,7,FALSE()),PRECIOS_TEJEDURIA!$A$4:$B$22,2,FALSE()),0)</f>
        <v>0</v>
      </c>
      <c r="K43" s="49"/>
      <c r="L43" s="50"/>
      <c r="M43" s="51">
        <f t="shared" si="1"/>
        <v>0</v>
      </c>
      <c r="N43" s="49"/>
      <c r="O43" s="49"/>
      <c r="P43" s="49"/>
      <c r="Q43" s="52"/>
      <c r="R43" s="53"/>
      <c r="S43" s="53"/>
      <c r="T43" s="54"/>
      <c r="U43" s="19">
        <f t="shared" si="2"/>
        <v>0</v>
      </c>
      <c r="V43" s="20">
        <f t="shared" si="3"/>
        <v>0</v>
      </c>
      <c r="W43" s="55">
        <f t="array" ref="W43">IFERROR(INDEX(PRECIOS_TINTORERIA!$B$4:$U$15,MATCH(D43,PRECIOS_TINTORERIA!$A$4:$A$15,0),MATCH(VLOOKUP(A43,PROGRAMAS!$A$4:$G$103,7,FALSE()),PRECIOS_TINTORERIA!$B$3:$U$3,0)),0)</f>
        <v>0</v>
      </c>
      <c r="X43" s="56"/>
      <c r="Y43" s="57"/>
      <c r="Z43" s="58">
        <f t="shared" si="4"/>
        <v>0</v>
      </c>
      <c r="AA43" s="56"/>
      <c r="AB43" s="56"/>
      <c r="AC43" s="56"/>
      <c r="AD43" s="23">
        <f>IFERROR((SUMIFS(COMPRAS_HILO!$H$4:$H$203,COMPRAS_HILO!$B$4:$B$203,A43))*F43/SUMIFS($F$4:$F$503,$A$4:$A$503,A43),0)</f>
        <v>0</v>
      </c>
      <c r="AE43" s="23">
        <f t="shared" si="5"/>
        <v>0</v>
      </c>
      <c r="AF43" s="23">
        <f t="shared" si="6"/>
        <v>0</v>
      </c>
      <c r="AG43" s="25">
        <f t="shared" si="7"/>
        <v>0</v>
      </c>
      <c r="AH43" s="25">
        <f t="shared" si="8"/>
        <v>0</v>
      </c>
      <c r="AI43" s="59"/>
    </row>
    <row r="44" ht="15.75" customHeight="1">
      <c r="A44" s="40"/>
      <c r="B44" s="33"/>
      <c r="C44" s="45" t="str">
        <f>IFERROR(VLOOKUP(B44,COLORES!$A$4:$B$52,2,FALSE()),"")</f>
        <v/>
      </c>
      <c r="D44" s="33"/>
      <c r="E44" s="46"/>
      <c r="F44" s="34"/>
      <c r="G44" s="33"/>
      <c r="H44" s="47"/>
      <c r="I44" s="47"/>
      <c r="J44" s="48">
        <f>IFERROR(VLOOKUP(VLOOKUP(A44,PROGRAMAS!$A$4:$G$103,7,FALSE()),PRECIOS_TEJEDURIA!$A$4:$B$22,2,FALSE()),0)</f>
        <v>0</v>
      </c>
      <c r="K44" s="49"/>
      <c r="L44" s="50"/>
      <c r="M44" s="51">
        <f t="shared" si="1"/>
        <v>0</v>
      </c>
      <c r="N44" s="49"/>
      <c r="O44" s="49"/>
      <c r="P44" s="49"/>
      <c r="Q44" s="52"/>
      <c r="R44" s="53"/>
      <c r="S44" s="53"/>
      <c r="T44" s="54"/>
      <c r="U44" s="19">
        <f t="shared" si="2"/>
        <v>0</v>
      </c>
      <c r="V44" s="20">
        <f t="shared" si="3"/>
        <v>0</v>
      </c>
      <c r="W44" s="55">
        <f t="array" ref="W44">IFERROR(INDEX(PRECIOS_TINTORERIA!$B$4:$U$15,MATCH(D44,PRECIOS_TINTORERIA!$A$4:$A$15,0),MATCH(VLOOKUP(A44,PROGRAMAS!$A$4:$G$103,7,FALSE()),PRECIOS_TINTORERIA!$B$3:$U$3,0)),0)</f>
        <v>0</v>
      </c>
      <c r="X44" s="56"/>
      <c r="Y44" s="57"/>
      <c r="Z44" s="58">
        <f t="shared" si="4"/>
        <v>0</v>
      </c>
      <c r="AA44" s="56"/>
      <c r="AB44" s="56"/>
      <c r="AC44" s="56"/>
      <c r="AD44" s="23">
        <f>IFERROR((SUMIFS(COMPRAS_HILO!$H$4:$H$203,COMPRAS_HILO!$B$4:$B$203,A44))*F44/SUMIFS($F$4:$F$503,$A$4:$A$503,A44),0)</f>
        <v>0</v>
      </c>
      <c r="AE44" s="23">
        <f t="shared" si="5"/>
        <v>0</v>
      </c>
      <c r="AF44" s="23">
        <f t="shared" si="6"/>
        <v>0</v>
      </c>
      <c r="AG44" s="25">
        <f t="shared" si="7"/>
        <v>0</v>
      </c>
      <c r="AH44" s="25">
        <f t="shared" si="8"/>
        <v>0</v>
      </c>
      <c r="AI44" s="59"/>
    </row>
    <row r="45" ht="15.75" customHeight="1">
      <c r="A45" s="40"/>
      <c r="B45" s="33"/>
      <c r="C45" s="45" t="str">
        <f>IFERROR(VLOOKUP(B45,COLORES!$A$4:$B$52,2,FALSE()),"")</f>
        <v/>
      </c>
      <c r="D45" s="33"/>
      <c r="E45" s="46"/>
      <c r="F45" s="34"/>
      <c r="G45" s="33"/>
      <c r="H45" s="47"/>
      <c r="I45" s="47"/>
      <c r="J45" s="48">
        <f>IFERROR(VLOOKUP(VLOOKUP(A45,PROGRAMAS!$A$4:$G$103,7,FALSE()),PRECIOS_TEJEDURIA!$A$4:$B$22,2,FALSE()),0)</f>
        <v>0</v>
      </c>
      <c r="K45" s="49"/>
      <c r="L45" s="50"/>
      <c r="M45" s="51">
        <f t="shared" si="1"/>
        <v>0</v>
      </c>
      <c r="N45" s="49"/>
      <c r="O45" s="49"/>
      <c r="P45" s="49"/>
      <c r="Q45" s="52"/>
      <c r="R45" s="53"/>
      <c r="S45" s="53"/>
      <c r="T45" s="54"/>
      <c r="U45" s="19">
        <f t="shared" si="2"/>
        <v>0</v>
      </c>
      <c r="V45" s="20">
        <f t="shared" si="3"/>
        <v>0</v>
      </c>
      <c r="W45" s="55">
        <f t="array" ref="W45">IFERROR(INDEX(PRECIOS_TINTORERIA!$B$4:$U$15,MATCH(D45,PRECIOS_TINTORERIA!$A$4:$A$15,0),MATCH(VLOOKUP(A45,PROGRAMAS!$A$4:$G$103,7,FALSE()),PRECIOS_TINTORERIA!$B$3:$U$3,0)),0)</f>
        <v>0</v>
      </c>
      <c r="X45" s="56"/>
      <c r="Y45" s="57"/>
      <c r="Z45" s="58">
        <f t="shared" si="4"/>
        <v>0</v>
      </c>
      <c r="AA45" s="56"/>
      <c r="AB45" s="56"/>
      <c r="AC45" s="56"/>
      <c r="AD45" s="23">
        <f>IFERROR((SUMIFS(COMPRAS_HILO!$H$4:$H$203,COMPRAS_HILO!$B$4:$B$203,A45))*F45/SUMIFS($F$4:$F$503,$A$4:$A$503,A45),0)</f>
        <v>0</v>
      </c>
      <c r="AE45" s="23">
        <f t="shared" si="5"/>
        <v>0</v>
      </c>
      <c r="AF45" s="23">
        <f t="shared" si="6"/>
        <v>0</v>
      </c>
      <c r="AG45" s="25">
        <f t="shared" si="7"/>
        <v>0</v>
      </c>
      <c r="AH45" s="25">
        <f t="shared" si="8"/>
        <v>0</v>
      </c>
      <c r="AI45" s="59"/>
    </row>
    <row r="46" ht="15.75" customHeight="1">
      <c r="A46" s="40"/>
      <c r="B46" s="33"/>
      <c r="C46" s="45" t="str">
        <f>IFERROR(VLOOKUP(B46,COLORES!$A$4:$B$52,2,FALSE()),"")</f>
        <v/>
      </c>
      <c r="D46" s="33"/>
      <c r="E46" s="46"/>
      <c r="F46" s="34"/>
      <c r="G46" s="33"/>
      <c r="H46" s="47"/>
      <c r="I46" s="47"/>
      <c r="J46" s="48">
        <f>IFERROR(VLOOKUP(VLOOKUP(A46,PROGRAMAS!$A$4:$G$103,7,FALSE()),PRECIOS_TEJEDURIA!$A$4:$B$22,2,FALSE()),0)</f>
        <v>0</v>
      </c>
      <c r="K46" s="49"/>
      <c r="L46" s="50"/>
      <c r="M46" s="51">
        <f t="shared" si="1"/>
        <v>0</v>
      </c>
      <c r="N46" s="49"/>
      <c r="O46" s="49"/>
      <c r="P46" s="49"/>
      <c r="Q46" s="52"/>
      <c r="R46" s="53"/>
      <c r="S46" s="53"/>
      <c r="T46" s="54"/>
      <c r="U46" s="19">
        <f t="shared" si="2"/>
        <v>0</v>
      </c>
      <c r="V46" s="20">
        <f t="shared" si="3"/>
        <v>0</v>
      </c>
      <c r="W46" s="55">
        <f t="array" ref="W46">IFERROR(INDEX(PRECIOS_TINTORERIA!$B$4:$U$15,MATCH(D46,PRECIOS_TINTORERIA!$A$4:$A$15,0),MATCH(VLOOKUP(A46,PROGRAMAS!$A$4:$G$103,7,FALSE()),PRECIOS_TINTORERIA!$B$3:$U$3,0)),0)</f>
        <v>0</v>
      </c>
      <c r="X46" s="56"/>
      <c r="Y46" s="57"/>
      <c r="Z46" s="58">
        <f t="shared" si="4"/>
        <v>0</v>
      </c>
      <c r="AA46" s="56"/>
      <c r="AB46" s="56"/>
      <c r="AC46" s="56"/>
      <c r="AD46" s="23">
        <f>IFERROR((SUMIFS(COMPRAS_HILO!$H$4:$H$203,COMPRAS_HILO!$B$4:$B$203,A46))*F46/SUMIFS($F$4:$F$503,$A$4:$A$503,A46),0)</f>
        <v>0</v>
      </c>
      <c r="AE46" s="23">
        <f t="shared" si="5"/>
        <v>0</v>
      </c>
      <c r="AF46" s="23">
        <f t="shared" si="6"/>
        <v>0</v>
      </c>
      <c r="AG46" s="25">
        <f t="shared" si="7"/>
        <v>0</v>
      </c>
      <c r="AH46" s="25">
        <f t="shared" si="8"/>
        <v>0</v>
      </c>
      <c r="AI46" s="59"/>
    </row>
    <row r="47" ht="15.75" customHeight="1">
      <c r="A47" s="40"/>
      <c r="B47" s="33"/>
      <c r="C47" s="45" t="str">
        <f>IFERROR(VLOOKUP(B47,COLORES!$A$4:$B$52,2,FALSE()),"")</f>
        <v/>
      </c>
      <c r="D47" s="33"/>
      <c r="E47" s="46"/>
      <c r="F47" s="34"/>
      <c r="G47" s="33"/>
      <c r="H47" s="47"/>
      <c r="I47" s="47"/>
      <c r="J47" s="48">
        <f>IFERROR(VLOOKUP(VLOOKUP(A47,PROGRAMAS!$A$4:$G$103,7,FALSE()),PRECIOS_TEJEDURIA!$A$4:$B$22,2,FALSE()),0)</f>
        <v>0</v>
      </c>
      <c r="K47" s="49"/>
      <c r="L47" s="50"/>
      <c r="M47" s="51">
        <f t="shared" si="1"/>
        <v>0</v>
      </c>
      <c r="N47" s="49"/>
      <c r="O47" s="49"/>
      <c r="P47" s="49"/>
      <c r="Q47" s="52"/>
      <c r="R47" s="53"/>
      <c r="S47" s="53"/>
      <c r="T47" s="54"/>
      <c r="U47" s="19">
        <f t="shared" si="2"/>
        <v>0</v>
      </c>
      <c r="V47" s="20">
        <f t="shared" si="3"/>
        <v>0</v>
      </c>
      <c r="W47" s="55">
        <f t="array" ref="W47">IFERROR(INDEX(PRECIOS_TINTORERIA!$B$4:$U$15,MATCH(D47,PRECIOS_TINTORERIA!$A$4:$A$15,0),MATCH(VLOOKUP(A47,PROGRAMAS!$A$4:$G$103,7,FALSE()),PRECIOS_TINTORERIA!$B$3:$U$3,0)),0)</f>
        <v>0</v>
      </c>
      <c r="X47" s="56"/>
      <c r="Y47" s="57"/>
      <c r="Z47" s="58">
        <f t="shared" si="4"/>
        <v>0</v>
      </c>
      <c r="AA47" s="56"/>
      <c r="AB47" s="56"/>
      <c r="AC47" s="56"/>
      <c r="AD47" s="23">
        <f>IFERROR((SUMIFS(COMPRAS_HILO!$H$4:$H$203,COMPRAS_HILO!$B$4:$B$203,A47))*F47/SUMIFS($F$4:$F$503,$A$4:$A$503,A47),0)</f>
        <v>0</v>
      </c>
      <c r="AE47" s="23">
        <f t="shared" si="5"/>
        <v>0</v>
      </c>
      <c r="AF47" s="23">
        <f t="shared" si="6"/>
        <v>0</v>
      </c>
      <c r="AG47" s="25">
        <f t="shared" si="7"/>
        <v>0</v>
      </c>
      <c r="AH47" s="25">
        <f t="shared" si="8"/>
        <v>0</v>
      </c>
      <c r="AI47" s="59"/>
    </row>
    <row r="48" ht="15.75" customHeight="1">
      <c r="A48" s="40"/>
      <c r="B48" s="33"/>
      <c r="C48" s="45" t="str">
        <f>IFERROR(VLOOKUP(B48,COLORES!$A$4:$B$52,2,FALSE()),"")</f>
        <v/>
      </c>
      <c r="D48" s="33"/>
      <c r="E48" s="46"/>
      <c r="F48" s="34"/>
      <c r="G48" s="33"/>
      <c r="H48" s="47"/>
      <c r="I48" s="47"/>
      <c r="J48" s="48">
        <f>IFERROR(VLOOKUP(VLOOKUP(A48,PROGRAMAS!$A$4:$G$103,7,FALSE()),PRECIOS_TEJEDURIA!$A$4:$B$22,2,FALSE()),0)</f>
        <v>0</v>
      </c>
      <c r="K48" s="49"/>
      <c r="L48" s="50"/>
      <c r="M48" s="51">
        <f t="shared" si="1"/>
        <v>0</v>
      </c>
      <c r="N48" s="49"/>
      <c r="O48" s="49"/>
      <c r="P48" s="49"/>
      <c r="Q48" s="52"/>
      <c r="R48" s="53"/>
      <c r="S48" s="53"/>
      <c r="T48" s="54"/>
      <c r="U48" s="19">
        <f t="shared" si="2"/>
        <v>0</v>
      </c>
      <c r="V48" s="20">
        <f t="shared" si="3"/>
        <v>0</v>
      </c>
      <c r="W48" s="55">
        <f t="array" ref="W48">IFERROR(INDEX(PRECIOS_TINTORERIA!$B$4:$U$15,MATCH(D48,PRECIOS_TINTORERIA!$A$4:$A$15,0),MATCH(VLOOKUP(A48,PROGRAMAS!$A$4:$G$103,7,FALSE()),PRECIOS_TINTORERIA!$B$3:$U$3,0)),0)</f>
        <v>0</v>
      </c>
      <c r="X48" s="56"/>
      <c r="Y48" s="57"/>
      <c r="Z48" s="58">
        <f t="shared" si="4"/>
        <v>0</v>
      </c>
      <c r="AA48" s="56"/>
      <c r="AB48" s="56"/>
      <c r="AC48" s="56"/>
      <c r="AD48" s="23">
        <f>IFERROR((SUMIFS(COMPRAS_HILO!$H$4:$H$203,COMPRAS_HILO!$B$4:$B$203,A48))*F48/SUMIFS($F$4:$F$503,$A$4:$A$503,A48),0)</f>
        <v>0</v>
      </c>
      <c r="AE48" s="23">
        <f t="shared" si="5"/>
        <v>0</v>
      </c>
      <c r="AF48" s="23">
        <f t="shared" si="6"/>
        <v>0</v>
      </c>
      <c r="AG48" s="25">
        <f t="shared" si="7"/>
        <v>0</v>
      </c>
      <c r="AH48" s="25">
        <f t="shared" si="8"/>
        <v>0</v>
      </c>
      <c r="AI48" s="59"/>
    </row>
    <row r="49" ht="15.75" customHeight="1">
      <c r="A49" s="40"/>
      <c r="B49" s="33"/>
      <c r="C49" s="45" t="str">
        <f>IFERROR(VLOOKUP(B49,COLORES!$A$4:$B$52,2,FALSE()),"")</f>
        <v/>
      </c>
      <c r="D49" s="33"/>
      <c r="E49" s="46"/>
      <c r="F49" s="34"/>
      <c r="G49" s="33"/>
      <c r="H49" s="47"/>
      <c r="I49" s="47"/>
      <c r="J49" s="48">
        <f>IFERROR(VLOOKUP(VLOOKUP(A49,PROGRAMAS!$A$4:$G$103,7,FALSE()),PRECIOS_TEJEDURIA!$A$4:$B$22,2,FALSE()),0)</f>
        <v>0</v>
      </c>
      <c r="K49" s="49"/>
      <c r="L49" s="50"/>
      <c r="M49" s="51">
        <f t="shared" si="1"/>
        <v>0</v>
      </c>
      <c r="N49" s="49"/>
      <c r="O49" s="49"/>
      <c r="P49" s="49"/>
      <c r="Q49" s="52"/>
      <c r="R49" s="53"/>
      <c r="S49" s="53"/>
      <c r="T49" s="54"/>
      <c r="U49" s="19">
        <f t="shared" si="2"/>
        <v>0</v>
      </c>
      <c r="V49" s="20">
        <f t="shared" si="3"/>
        <v>0</v>
      </c>
      <c r="W49" s="55">
        <f t="array" ref="W49">IFERROR(INDEX(PRECIOS_TINTORERIA!$B$4:$U$15,MATCH(D49,PRECIOS_TINTORERIA!$A$4:$A$15,0),MATCH(VLOOKUP(A49,PROGRAMAS!$A$4:$G$103,7,FALSE()),PRECIOS_TINTORERIA!$B$3:$U$3,0)),0)</f>
        <v>0</v>
      </c>
      <c r="X49" s="56"/>
      <c r="Y49" s="57"/>
      <c r="Z49" s="58">
        <f t="shared" si="4"/>
        <v>0</v>
      </c>
      <c r="AA49" s="56"/>
      <c r="AB49" s="56"/>
      <c r="AC49" s="56"/>
      <c r="AD49" s="23">
        <f>IFERROR((SUMIFS(COMPRAS_HILO!$H$4:$H$203,COMPRAS_HILO!$B$4:$B$203,A49))*F49/SUMIFS($F$4:$F$503,$A$4:$A$503,A49),0)</f>
        <v>0</v>
      </c>
      <c r="AE49" s="23">
        <f t="shared" si="5"/>
        <v>0</v>
      </c>
      <c r="AF49" s="23">
        <f t="shared" si="6"/>
        <v>0</v>
      </c>
      <c r="AG49" s="25">
        <f t="shared" si="7"/>
        <v>0</v>
      </c>
      <c r="AH49" s="25">
        <f t="shared" si="8"/>
        <v>0</v>
      </c>
      <c r="AI49" s="59"/>
    </row>
    <row r="50" ht="15.75" customHeight="1">
      <c r="A50" s="40"/>
      <c r="B50" s="33"/>
      <c r="C50" s="45" t="str">
        <f>IFERROR(VLOOKUP(B50,COLORES!$A$4:$B$52,2,FALSE()),"")</f>
        <v/>
      </c>
      <c r="D50" s="33"/>
      <c r="E50" s="46"/>
      <c r="F50" s="34"/>
      <c r="G50" s="33"/>
      <c r="H50" s="47"/>
      <c r="I50" s="47"/>
      <c r="J50" s="48">
        <f>IFERROR(VLOOKUP(VLOOKUP(A50,PROGRAMAS!$A$4:$G$103,7,FALSE()),PRECIOS_TEJEDURIA!$A$4:$B$22,2,FALSE()),0)</f>
        <v>0</v>
      </c>
      <c r="K50" s="49"/>
      <c r="L50" s="50"/>
      <c r="M50" s="51">
        <f t="shared" si="1"/>
        <v>0</v>
      </c>
      <c r="N50" s="49"/>
      <c r="O50" s="49"/>
      <c r="P50" s="49"/>
      <c r="Q50" s="52"/>
      <c r="R50" s="53"/>
      <c r="S50" s="53"/>
      <c r="T50" s="54"/>
      <c r="U50" s="19">
        <f t="shared" si="2"/>
        <v>0</v>
      </c>
      <c r="V50" s="20">
        <f t="shared" si="3"/>
        <v>0</v>
      </c>
      <c r="W50" s="55">
        <f t="array" ref="W50">IFERROR(INDEX(PRECIOS_TINTORERIA!$B$4:$U$15,MATCH(D50,PRECIOS_TINTORERIA!$A$4:$A$15,0),MATCH(VLOOKUP(A50,PROGRAMAS!$A$4:$G$103,7,FALSE()),PRECIOS_TINTORERIA!$B$3:$U$3,0)),0)</f>
        <v>0</v>
      </c>
      <c r="X50" s="56"/>
      <c r="Y50" s="57"/>
      <c r="Z50" s="58">
        <f t="shared" si="4"/>
        <v>0</v>
      </c>
      <c r="AA50" s="56"/>
      <c r="AB50" s="56"/>
      <c r="AC50" s="56"/>
      <c r="AD50" s="23">
        <f>IFERROR((SUMIFS(COMPRAS_HILO!$H$4:$H$203,COMPRAS_HILO!$B$4:$B$203,A50))*F50/SUMIFS($F$4:$F$503,$A$4:$A$503,A50),0)</f>
        <v>0</v>
      </c>
      <c r="AE50" s="23">
        <f t="shared" si="5"/>
        <v>0</v>
      </c>
      <c r="AF50" s="23">
        <f t="shared" si="6"/>
        <v>0</v>
      </c>
      <c r="AG50" s="25">
        <f t="shared" si="7"/>
        <v>0</v>
      </c>
      <c r="AH50" s="25">
        <f t="shared" si="8"/>
        <v>0</v>
      </c>
      <c r="AI50" s="59"/>
    </row>
    <row r="51" ht="15.75" customHeight="1">
      <c r="A51" s="40"/>
      <c r="B51" s="33"/>
      <c r="C51" s="45" t="str">
        <f>IFERROR(VLOOKUP(B51,COLORES!$A$4:$B$52,2,FALSE()),"")</f>
        <v/>
      </c>
      <c r="D51" s="33"/>
      <c r="E51" s="46"/>
      <c r="F51" s="34"/>
      <c r="G51" s="33"/>
      <c r="H51" s="47"/>
      <c r="I51" s="47"/>
      <c r="J51" s="48">
        <f>IFERROR(VLOOKUP(VLOOKUP(A51,PROGRAMAS!$A$4:$G$103,7,FALSE()),PRECIOS_TEJEDURIA!$A$4:$B$22,2,FALSE()),0)</f>
        <v>0</v>
      </c>
      <c r="K51" s="49"/>
      <c r="L51" s="50"/>
      <c r="M51" s="51">
        <f t="shared" si="1"/>
        <v>0</v>
      </c>
      <c r="N51" s="49"/>
      <c r="O51" s="49"/>
      <c r="P51" s="49"/>
      <c r="Q51" s="52"/>
      <c r="R51" s="53"/>
      <c r="S51" s="53"/>
      <c r="T51" s="54"/>
      <c r="U51" s="19">
        <f t="shared" si="2"/>
        <v>0</v>
      </c>
      <c r="V51" s="20">
        <f t="shared" si="3"/>
        <v>0</v>
      </c>
      <c r="W51" s="55">
        <f t="array" ref="W51">IFERROR(INDEX(PRECIOS_TINTORERIA!$B$4:$U$15,MATCH(D51,PRECIOS_TINTORERIA!$A$4:$A$15,0),MATCH(VLOOKUP(A51,PROGRAMAS!$A$4:$G$103,7,FALSE()),PRECIOS_TINTORERIA!$B$3:$U$3,0)),0)</f>
        <v>0</v>
      </c>
      <c r="X51" s="56"/>
      <c r="Y51" s="57"/>
      <c r="Z51" s="58">
        <f t="shared" si="4"/>
        <v>0</v>
      </c>
      <c r="AA51" s="56"/>
      <c r="AB51" s="56"/>
      <c r="AC51" s="56"/>
      <c r="AD51" s="23">
        <f>IFERROR((SUMIFS(COMPRAS_HILO!$H$4:$H$203,COMPRAS_HILO!$B$4:$B$203,A51))*F51/SUMIFS($F$4:$F$503,$A$4:$A$503,A51),0)</f>
        <v>0</v>
      </c>
      <c r="AE51" s="23">
        <f t="shared" si="5"/>
        <v>0</v>
      </c>
      <c r="AF51" s="23">
        <f t="shared" si="6"/>
        <v>0</v>
      </c>
      <c r="AG51" s="25">
        <f t="shared" si="7"/>
        <v>0</v>
      </c>
      <c r="AH51" s="25">
        <f t="shared" si="8"/>
        <v>0</v>
      </c>
      <c r="AI51" s="59"/>
    </row>
    <row r="52" ht="15.75" customHeight="1">
      <c r="A52" s="40"/>
      <c r="B52" s="33"/>
      <c r="C52" s="45" t="str">
        <f>IFERROR(VLOOKUP(B52,COLORES!$A$4:$B$52,2,FALSE()),"")</f>
        <v/>
      </c>
      <c r="D52" s="33"/>
      <c r="E52" s="46"/>
      <c r="F52" s="34"/>
      <c r="G52" s="33"/>
      <c r="H52" s="47"/>
      <c r="I52" s="47"/>
      <c r="J52" s="48">
        <f>IFERROR(VLOOKUP(VLOOKUP(A52,PROGRAMAS!$A$4:$G$103,7,FALSE()),PRECIOS_TEJEDURIA!$A$4:$B$22,2,FALSE()),0)</f>
        <v>0</v>
      </c>
      <c r="K52" s="49"/>
      <c r="L52" s="50"/>
      <c r="M52" s="51">
        <f t="shared" si="1"/>
        <v>0</v>
      </c>
      <c r="N52" s="49"/>
      <c r="O52" s="49"/>
      <c r="P52" s="49"/>
      <c r="Q52" s="52"/>
      <c r="R52" s="53"/>
      <c r="S52" s="53"/>
      <c r="T52" s="54"/>
      <c r="U52" s="19">
        <f t="shared" si="2"/>
        <v>0</v>
      </c>
      <c r="V52" s="20">
        <f t="shared" si="3"/>
        <v>0</v>
      </c>
      <c r="W52" s="55">
        <f t="array" ref="W52">IFERROR(INDEX(PRECIOS_TINTORERIA!$B$4:$U$15,MATCH(D52,PRECIOS_TINTORERIA!$A$4:$A$15,0),MATCH(VLOOKUP(A52,PROGRAMAS!$A$4:$G$103,7,FALSE()),PRECIOS_TINTORERIA!$B$3:$U$3,0)),0)</f>
        <v>0</v>
      </c>
      <c r="X52" s="56"/>
      <c r="Y52" s="57"/>
      <c r="Z52" s="58">
        <f t="shared" si="4"/>
        <v>0</v>
      </c>
      <c r="AA52" s="56"/>
      <c r="AB52" s="56"/>
      <c r="AC52" s="56"/>
      <c r="AD52" s="23">
        <f>IFERROR((SUMIFS(COMPRAS_HILO!$H$4:$H$203,COMPRAS_HILO!$B$4:$B$203,A52))*F52/SUMIFS($F$4:$F$503,$A$4:$A$503,A52),0)</f>
        <v>0</v>
      </c>
      <c r="AE52" s="23">
        <f t="shared" si="5"/>
        <v>0</v>
      </c>
      <c r="AF52" s="23">
        <f t="shared" si="6"/>
        <v>0</v>
      </c>
      <c r="AG52" s="25">
        <f t="shared" si="7"/>
        <v>0</v>
      </c>
      <c r="AH52" s="25">
        <f t="shared" si="8"/>
        <v>0</v>
      </c>
      <c r="AI52" s="59"/>
    </row>
    <row r="53" ht="15.75" customHeight="1">
      <c r="A53" s="40"/>
      <c r="B53" s="33"/>
      <c r="C53" s="45" t="str">
        <f>IFERROR(VLOOKUP(B53,COLORES!$A$4:$B$52,2,FALSE()),"")</f>
        <v/>
      </c>
      <c r="D53" s="33"/>
      <c r="E53" s="46"/>
      <c r="F53" s="34"/>
      <c r="G53" s="33"/>
      <c r="H53" s="47"/>
      <c r="I53" s="47"/>
      <c r="J53" s="48">
        <f>IFERROR(VLOOKUP(VLOOKUP(A53,PROGRAMAS!$A$4:$G$103,7,FALSE()),PRECIOS_TEJEDURIA!$A$4:$B$22,2,FALSE()),0)</f>
        <v>0</v>
      </c>
      <c r="K53" s="49"/>
      <c r="L53" s="50"/>
      <c r="M53" s="51">
        <f t="shared" si="1"/>
        <v>0</v>
      </c>
      <c r="N53" s="49"/>
      <c r="O53" s="49"/>
      <c r="P53" s="49"/>
      <c r="Q53" s="52"/>
      <c r="R53" s="53"/>
      <c r="S53" s="53"/>
      <c r="T53" s="54"/>
      <c r="U53" s="19">
        <f t="shared" si="2"/>
        <v>0</v>
      </c>
      <c r="V53" s="20">
        <f t="shared" si="3"/>
        <v>0</v>
      </c>
      <c r="W53" s="55">
        <f t="array" ref="W53">IFERROR(INDEX(PRECIOS_TINTORERIA!$B$4:$U$15,MATCH(D53,PRECIOS_TINTORERIA!$A$4:$A$15,0),MATCH(VLOOKUP(A53,PROGRAMAS!$A$4:$G$103,7,FALSE()),PRECIOS_TINTORERIA!$B$3:$U$3,0)),0)</f>
        <v>0</v>
      </c>
      <c r="X53" s="56"/>
      <c r="Y53" s="57"/>
      <c r="Z53" s="58">
        <f t="shared" si="4"/>
        <v>0</v>
      </c>
      <c r="AA53" s="56"/>
      <c r="AB53" s="56"/>
      <c r="AC53" s="56"/>
      <c r="AD53" s="23">
        <f>IFERROR((SUMIFS(COMPRAS_HILO!$H$4:$H$203,COMPRAS_HILO!$B$4:$B$203,A53))*F53/SUMIFS($F$4:$F$503,$A$4:$A$503,A53),0)</f>
        <v>0</v>
      </c>
      <c r="AE53" s="23">
        <f t="shared" si="5"/>
        <v>0</v>
      </c>
      <c r="AF53" s="23">
        <f t="shared" si="6"/>
        <v>0</v>
      </c>
      <c r="AG53" s="25">
        <f t="shared" si="7"/>
        <v>0</v>
      </c>
      <c r="AH53" s="25">
        <f t="shared" si="8"/>
        <v>0</v>
      </c>
      <c r="AI53" s="59"/>
    </row>
    <row r="54" ht="15.75" customHeight="1">
      <c r="A54" s="40"/>
      <c r="B54" s="33"/>
      <c r="C54" s="45" t="str">
        <f>IFERROR(VLOOKUP(B54,COLORES!$A$4:$B$52,2,FALSE()),"")</f>
        <v/>
      </c>
      <c r="D54" s="33"/>
      <c r="E54" s="46"/>
      <c r="F54" s="34"/>
      <c r="G54" s="33"/>
      <c r="H54" s="47"/>
      <c r="I54" s="47"/>
      <c r="J54" s="48">
        <f>IFERROR(VLOOKUP(VLOOKUP(A54,PROGRAMAS!$A$4:$G$103,7,FALSE()),PRECIOS_TEJEDURIA!$A$4:$B$22,2,FALSE()),0)</f>
        <v>0</v>
      </c>
      <c r="K54" s="49"/>
      <c r="L54" s="50"/>
      <c r="M54" s="51">
        <f t="shared" si="1"/>
        <v>0</v>
      </c>
      <c r="N54" s="49"/>
      <c r="O54" s="49"/>
      <c r="P54" s="49"/>
      <c r="Q54" s="52"/>
      <c r="R54" s="53"/>
      <c r="S54" s="53"/>
      <c r="T54" s="54"/>
      <c r="U54" s="19">
        <f t="shared" si="2"/>
        <v>0</v>
      </c>
      <c r="V54" s="20">
        <f t="shared" si="3"/>
        <v>0</v>
      </c>
      <c r="W54" s="55">
        <f t="array" ref="W54">IFERROR(INDEX(PRECIOS_TINTORERIA!$B$4:$U$15,MATCH(D54,PRECIOS_TINTORERIA!$A$4:$A$15,0),MATCH(VLOOKUP(A54,PROGRAMAS!$A$4:$G$103,7,FALSE()),PRECIOS_TINTORERIA!$B$3:$U$3,0)),0)</f>
        <v>0</v>
      </c>
      <c r="X54" s="56"/>
      <c r="Y54" s="57"/>
      <c r="Z54" s="58">
        <f t="shared" si="4"/>
        <v>0</v>
      </c>
      <c r="AA54" s="56"/>
      <c r="AB54" s="56"/>
      <c r="AC54" s="56"/>
      <c r="AD54" s="23">
        <f>IFERROR((SUMIFS(COMPRAS_HILO!$H$4:$H$203,COMPRAS_HILO!$B$4:$B$203,A54))*F54/SUMIFS($F$4:$F$503,$A$4:$A$503,A54),0)</f>
        <v>0</v>
      </c>
      <c r="AE54" s="23">
        <f t="shared" si="5"/>
        <v>0</v>
      </c>
      <c r="AF54" s="23">
        <f t="shared" si="6"/>
        <v>0</v>
      </c>
      <c r="AG54" s="25">
        <f t="shared" si="7"/>
        <v>0</v>
      </c>
      <c r="AH54" s="25">
        <f t="shared" si="8"/>
        <v>0</v>
      </c>
      <c r="AI54" s="59"/>
    </row>
    <row r="55" ht="15.75" customHeight="1">
      <c r="A55" s="40"/>
      <c r="B55" s="33"/>
      <c r="C55" s="45" t="str">
        <f>IFERROR(VLOOKUP(B55,COLORES!$A$4:$B$52,2,FALSE()),"")</f>
        <v/>
      </c>
      <c r="D55" s="33"/>
      <c r="E55" s="46"/>
      <c r="F55" s="34"/>
      <c r="G55" s="33"/>
      <c r="H55" s="47"/>
      <c r="I55" s="47"/>
      <c r="J55" s="48">
        <f>IFERROR(VLOOKUP(VLOOKUP(A55,PROGRAMAS!$A$4:$G$103,7,FALSE()),PRECIOS_TEJEDURIA!$A$4:$B$22,2,FALSE()),0)</f>
        <v>0</v>
      </c>
      <c r="K55" s="49"/>
      <c r="L55" s="50"/>
      <c r="M55" s="51">
        <f t="shared" si="1"/>
        <v>0</v>
      </c>
      <c r="N55" s="49"/>
      <c r="O55" s="49"/>
      <c r="P55" s="49"/>
      <c r="Q55" s="52"/>
      <c r="R55" s="53"/>
      <c r="S55" s="53"/>
      <c r="T55" s="54"/>
      <c r="U55" s="19">
        <f t="shared" si="2"/>
        <v>0</v>
      </c>
      <c r="V55" s="20">
        <f t="shared" si="3"/>
        <v>0</v>
      </c>
      <c r="W55" s="55">
        <f t="array" ref="W55">IFERROR(INDEX(PRECIOS_TINTORERIA!$B$4:$U$15,MATCH(D55,PRECIOS_TINTORERIA!$A$4:$A$15,0),MATCH(VLOOKUP(A55,PROGRAMAS!$A$4:$G$103,7,FALSE()),PRECIOS_TINTORERIA!$B$3:$U$3,0)),0)</f>
        <v>0</v>
      </c>
      <c r="X55" s="56"/>
      <c r="Y55" s="57"/>
      <c r="Z55" s="58">
        <f t="shared" si="4"/>
        <v>0</v>
      </c>
      <c r="AA55" s="56"/>
      <c r="AB55" s="56"/>
      <c r="AC55" s="56"/>
      <c r="AD55" s="23">
        <f>IFERROR((SUMIFS(COMPRAS_HILO!$H$4:$H$203,COMPRAS_HILO!$B$4:$B$203,A55))*F55/SUMIFS($F$4:$F$503,$A$4:$A$503,A55),0)</f>
        <v>0</v>
      </c>
      <c r="AE55" s="23">
        <f t="shared" si="5"/>
        <v>0</v>
      </c>
      <c r="AF55" s="23">
        <f t="shared" si="6"/>
        <v>0</v>
      </c>
      <c r="AG55" s="25">
        <f t="shared" si="7"/>
        <v>0</v>
      </c>
      <c r="AH55" s="25">
        <f t="shared" si="8"/>
        <v>0</v>
      </c>
      <c r="AI55" s="59"/>
    </row>
    <row r="56" ht="15.75" customHeight="1">
      <c r="A56" s="40"/>
      <c r="B56" s="33"/>
      <c r="C56" s="45" t="str">
        <f>IFERROR(VLOOKUP(B56,COLORES!$A$4:$B$52,2,FALSE()),"")</f>
        <v/>
      </c>
      <c r="D56" s="33"/>
      <c r="E56" s="46"/>
      <c r="F56" s="34"/>
      <c r="G56" s="33"/>
      <c r="H56" s="47"/>
      <c r="I56" s="47"/>
      <c r="J56" s="48">
        <f>IFERROR(VLOOKUP(VLOOKUP(A56,PROGRAMAS!$A$4:$G$103,7,FALSE()),PRECIOS_TEJEDURIA!$A$4:$B$22,2,FALSE()),0)</f>
        <v>0</v>
      </c>
      <c r="K56" s="49"/>
      <c r="L56" s="50"/>
      <c r="M56" s="51">
        <f t="shared" si="1"/>
        <v>0</v>
      </c>
      <c r="N56" s="49"/>
      <c r="O56" s="49"/>
      <c r="P56" s="49"/>
      <c r="Q56" s="52"/>
      <c r="R56" s="53"/>
      <c r="S56" s="53"/>
      <c r="T56" s="54"/>
      <c r="U56" s="19">
        <f t="shared" si="2"/>
        <v>0</v>
      </c>
      <c r="V56" s="20">
        <f t="shared" si="3"/>
        <v>0</v>
      </c>
      <c r="W56" s="55">
        <f t="array" ref="W56">IFERROR(INDEX(PRECIOS_TINTORERIA!$B$4:$U$15,MATCH(D56,PRECIOS_TINTORERIA!$A$4:$A$15,0),MATCH(VLOOKUP(A56,PROGRAMAS!$A$4:$G$103,7,FALSE()),PRECIOS_TINTORERIA!$B$3:$U$3,0)),0)</f>
        <v>0</v>
      </c>
      <c r="X56" s="56"/>
      <c r="Y56" s="57"/>
      <c r="Z56" s="58">
        <f t="shared" si="4"/>
        <v>0</v>
      </c>
      <c r="AA56" s="56"/>
      <c r="AB56" s="56"/>
      <c r="AC56" s="56"/>
      <c r="AD56" s="23">
        <f>IFERROR((SUMIFS(COMPRAS_HILO!$H$4:$H$203,COMPRAS_HILO!$B$4:$B$203,A56))*F56/SUMIFS($F$4:$F$503,$A$4:$A$503,A56),0)</f>
        <v>0</v>
      </c>
      <c r="AE56" s="23">
        <f t="shared" si="5"/>
        <v>0</v>
      </c>
      <c r="AF56" s="23">
        <f t="shared" si="6"/>
        <v>0</v>
      </c>
      <c r="AG56" s="25">
        <f t="shared" si="7"/>
        <v>0</v>
      </c>
      <c r="AH56" s="25">
        <f t="shared" si="8"/>
        <v>0</v>
      </c>
      <c r="AI56" s="59"/>
    </row>
    <row r="57" ht="15.75" customHeight="1">
      <c r="A57" s="40"/>
      <c r="B57" s="33"/>
      <c r="C57" s="45" t="str">
        <f>IFERROR(VLOOKUP(B57,COLORES!$A$4:$B$52,2,FALSE()),"")</f>
        <v/>
      </c>
      <c r="D57" s="33"/>
      <c r="E57" s="46"/>
      <c r="F57" s="34"/>
      <c r="G57" s="33"/>
      <c r="H57" s="47"/>
      <c r="I57" s="47"/>
      <c r="J57" s="48">
        <f>IFERROR(VLOOKUP(VLOOKUP(A57,PROGRAMAS!$A$4:$G$103,7,FALSE()),PRECIOS_TEJEDURIA!$A$4:$B$22,2,FALSE()),0)</f>
        <v>0</v>
      </c>
      <c r="K57" s="49"/>
      <c r="L57" s="50"/>
      <c r="M57" s="51">
        <f t="shared" si="1"/>
        <v>0</v>
      </c>
      <c r="N57" s="49"/>
      <c r="O57" s="49"/>
      <c r="P57" s="49"/>
      <c r="Q57" s="52"/>
      <c r="R57" s="53"/>
      <c r="S57" s="53"/>
      <c r="T57" s="54"/>
      <c r="U57" s="19">
        <f t="shared" si="2"/>
        <v>0</v>
      </c>
      <c r="V57" s="20">
        <f t="shared" si="3"/>
        <v>0</v>
      </c>
      <c r="W57" s="55">
        <f t="array" ref="W57">IFERROR(INDEX(PRECIOS_TINTORERIA!$B$4:$U$15,MATCH(D57,PRECIOS_TINTORERIA!$A$4:$A$15,0),MATCH(VLOOKUP(A57,PROGRAMAS!$A$4:$G$103,7,FALSE()),PRECIOS_TINTORERIA!$B$3:$U$3,0)),0)</f>
        <v>0</v>
      </c>
      <c r="X57" s="56"/>
      <c r="Y57" s="57"/>
      <c r="Z57" s="58">
        <f t="shared" si="4"/>
        <v>0</v>
      </c>
      <c r="AA57" s="56"/>
      <c r="AB57" s="56"/>
      <c r="AC57" s="56"/>
      <c r="AD57" s="23">
        <f>IFERROR((SUMIFS(COMPRAS_HILO!$H$4:$H$203,COMPRAS_HILO!$B$4:$B$203,A57))*F57/SUMIFS($F$4:$F$503,$A$4:$A$503,A57),0)</f>
        <v>0</v>
      </c>
      <c r="AE57" s="23">
        <f t="shared" si="5"/>
        <v>0</v>
      </c>
      <c r="AF57" s="23">
        <f t="shared" si="6"/>
        <v>0</v>
      </c>
      <c r="AG57" s="25">
        <f t="shared" si="7"/>
        <v>0</v>
      </c>
      <c r="AH57" s="25">
        <f t="shared" si="8"/>
        <v>0</v>
      </c>
      <c r="AI57" s="59"/>
    </row>
    <row r="58" ht="15.75" customHeight="1">
      <c r="A58" s="40"/>
      <c r="B58" s="33"/>
      <c r="C58" s="45" t="str">
        <f>IFERROR(VLOOKUP(B58,COLORES!$A$4:$B$52,2,FALSE()),"")</f>
        <v/>
      </c>
      <c r="D58" s="33"/>
      <c r="E58" s="46"/>
      <c r="F58" s="34"/>
      <c r="G58" s="33"/>
      <c r="H58" s="47"/>
      <c r="I58" s="47"/>
      <c r="J58" s="48">
        <f>IFERROR(VLOOKUP(VLOOKUP(A58,PROGRAMAS!$A$4:$G$103,7,FALSE()),PRECIOS_TEJEDURIA!$A$4:$B$22,2,FALSE()),0)</f>
        <v>0</v>
      </c>
      <c r="K58" s="49"/>
      <c r="L58" s="50"/>
      <c r="M58" s="51">
        <f t="shared" si="1"/>
        <v>0</v>
      </c>
      <c r="N58" s="49"/>
      <c r="O58" s="49"/>
      <c r="P58" s="49"/>
      <c r="Q58" s="52"/>
      <c r="R58" s="53"/>
      <c r="S58" s="53"/>
      <c r="T58" s="54"/>
      <c r="U58" s="19">
        <f t="shared" si="2"/>
        <v>0</v>
      </c>
      <c r="V58" s="20">
        <f t="shared" si="3"/>
        <v>0</v>
      </c>
      <c r="W58" s="55">
        <f t="array" ref="W58">IFERROR(INDEX(PRECIOS_TINTORERIA!$B$4:$U$15,MATCH(D58,PRECIOS_TINTORERIA!$A$4:$A$15,0),MATCH(VLOOKUP(A58,PROGRAMAS!$A$4:$G$103,7,FALSE()),PRECIOS_TINTORERIA!$B$3:$U$3,0)),0)</f>
        <v>0</v>
      </c>
      <c r="X58" s="56"/>
      <c r="Y58" s="57"/>
      <c r="Z58" s="58">
        <f t="shared" si="4"/>
        <v>0</v>
      </c>
      <c r="AA58" s="56"/>
      <c r="AB58" s="56"/>
      <c r="AC58" s="56"/>
      <c r="AD58" s="23">
        <f>IFERROR((SUMIFS(COMPRAS_HILO!$H$4:$H$203,COMPRAS_HILO!$B$4:$B$203,A58))*F58/SUMIFS($F$4:$F$503,$A$4:$A$503,A58),0)</f>
        <v>0</v>
      </c>
      <c r="AE58" s="23">
        <f t="shared" si="5"/>
        <v>0</v>
      </c>
      <c r="AF58" s="23">
        <f t="shared" si="6"/>
        <v>0</v>
      </c>
      <c r="AG58" s="25">
        <f t="shared" si="7"/>
        <v>0</v>
      </c>
      <c r="AH58" s="25">
        <f t="shared" si="8"/>
        <v>0</v>
      </c>
      <c r="AI58" s="59"/>
    </row>
    <row r="59" ht="15.75" customHeight="1">
      <c r="A59" s="40"/>
      <c r="B59" s="33"/>
      <c r="C59" s="45" t="str">
        <f>IFERROR(VLOOKUP(B59,COLORES!$A$4:$B$52,2,FALSE()),"")</f>
        <v/>
      </c>
      <c r="D59" s="33"/>
      <c r="E59" s="46"/>
      <c r="F59" s="34"/>
      <c r="G59" s="33"/>
      <c r="H59" s="47"/>
      <c r="I59" s="47"/>
      <c r="J59" s="48">
        <f>IFERROR(VLOOKUP(VLOOKUP(A59,PROGRAMAS!$A$4:$G$103,7,FALSE()),PRECIOS_TEJEDURIA!$A$4:$B$22,2,FALSE()),0)</f>
        <v>0</v>
      </c>
      <c r="K59" s="49"/>
      <c r="L59" s="50"/>
      <c r="M59" s="51">
        <f t="shared" si="1"/>
        <v>0</v>
      </c>
      <c r="N59" s="49"/>
      <c r="O59" s="49"/>
      <c r="P59" s="49"/>
      <c r="Q59" s="52"/>
      <c r="R59" s="53"/>
      <c r="S59" s="53"/>
      <c r="T59" s="54"/>
      <c r="U59" s="19">
        <f t="shared" si="2"/>
        <v>0</v>
      </c>
      <c r="V59" s="20">
        <f t="shared" si="3"/>
        <v>0</v>
      </c>
      <c r="W59" s="55">
        <f t="array" ref="W59">IFERROR(INDEX(PRECIOS_TINTORERIA!$B$4:$U$15,MATCH(D59,PRECIOS_TINTORERIA!$A$4:$A$15,0),MATCH(VLOOKUP(A59,PROGRAMAS!$A$4:$G$103,7,FALSE()),PRECIOS_TINTORERIA!$B$3:$U$3,0)),0)</f>
        <v>0</v>
      </c>
      <c r="X59" s="56"/>
      <c r="Y59" s="57"/>
      <c r="Z59" s="58">
        <f t="shared" si="4"/>
        <v>0</v>
      </c>
      <c r="AA59" s="56"/>
      <c r="AB59" s="56"/>
      <c r="AC59" s="56"/>
      <c r="AD59" s="23">
        <f>IFERROR((SUMIFS(COMPRAS_HILO!$H$4:$H$203,COMPRAS_HILO!$B$4:$B$203,A59))*F59/SUMIFS($F$4:$F$503,$A$4:$A$503,A59),0)</f>
        <v>0</v>
      </c>
      <c r="AE59" s="23">
        <f t="shared" si="5"/>
        <v>0</v>
      </c>
      <c r="AF59" s="23">
        <f t="shared" si="6"/>
        <v>0</v>
      </c>
      <c r="AG59" s="25">
        <f t="shared" si="7"/>
        <v>0</v>
      </c>
      <c r="AH59" s="25">
        <f t="shared" si="8"/>
        <v>0</v>
      </c>
      <c r="AI59" s="59"/>
    </row>
    <row r="60" ht="15.75" customHeight="1">
      <c r="A60" s="40"/>
      <c r="B60" s="33"/>
      <c r="C60" s="45" t="str">
        <f>IFERROR(VLOOKUP(B60,COLORES!$A$4:$B$52,2,FALSE()),"")</f>
        <v/>
      </c>
      <c r="D60" s="33"/>
      <c r="E60" s="46"/>
      <c r="F60" s="34"/>
      <c r="G60" s="33"/>
      <c r="H60" s="47"/>
      <c r="I60" s="47"/>
      <c r="J60" s="48">
        <f>IFERROR(VLOOKUP(VLOOKUP(A60,PROGRAMAS!$A$4:$G$103,7,FALSE()),PRECIOS_TEJEDURIA!$A$4:$B$22,2,FALSE()),0)</f>
        <v>0</v>
      </c>
      <c r="K60" s="49"/>
      <c r="L60" s="50"/>
      <c r="M60" s="51">
        <f t="shared" si="1"/>
        <v>0</v>
      </c>
      <c r="N60" s="49"/>
      <c r="O60" s="49"/>
      <c r="P60" s="49"/>
      <c r="Q60" s="52"/>
      <c r="R60" s="53"/>
      <c r="S60" s="53"/>
      <c r="T60" s="54"/>
      <c r="U60" s="19">
        <f t="shared" si="2"/>
        <v>0</v>
      </c>
      <c r="V60" s="20">
        <f t="shared" si="3"/>
        <v>0</v>
      </c>
      <c r="W60" s="55">
        <f t="array" ref="W60">IFERROR(INDEX(PRECIOS_TINTORERIA!$B$4:$U$15,MATCH(D60,PRECIOS_TINTORERIA!$A$4:$A$15,0),MATCH(VLOOKUP(A60,PROGRAMAS!$A$4:$G$103,7,FALSE()),PRECIOS_TINTORERIA!$B$3:$U$3,0)),0)</f>
        <v>0</v>
      </c>
      <c r="X60" s="56"/>
      <c r="Y60" s="57"/>
      <c r="Z60" s="58">
        <f t="shared" si="4"/>
        <v>0</v>
      </c>
      <c r="AA60" s="56"/>
      <c r="AB60" s="56"/>
      <c r="AC60" s="56"/>
      <c r="AD60" s="23">
        <f>IFERROR((SUMIFS(COMPRAS_HILO!$H$4:$H$203,COMPRAS_HILO!$B$4:$B$203,A60))*F60/SUMIFS($F$4:$F$503,$A$4:$A$503,A60),0)</f>
        <v>0</v>
      </c>
      <c r="AE60" s="23">
        <f t="shared" si="5"/>
        <v>0</v>
      </c>
      <c r="AF60" s="23">
        <f t="shared" si="6"/>
        <v>0</v>
      </c>
      <c r="AG60" s="25">
        <f t="shared" si="7"/>
        <v>0</v>
      </c>
      <c r="AH60" s="25">
        <f t="shared" si="8"/>
        <v>0</v>
      </c>
      <c r="AI60" s="59"/>
    </row>
    <row r="61" ht="15.75" customHeight="1">
      <c r="A61" s="40"/>
      <c r="B61" s="33"/>
      <c r="C61" s="45" t="str">
        <f>IFERROR(VLOOKUP(B61,COLORES!$A$4:$B$52,2,FALSE()),"")</f>
        <v/>
      </c>
      <c r="D61" s="33"/>
      <c r="E61" s="46"/>
      <c r="F61" s="34"/>
      <c r="G61" s="33"/>
      <c r="H61" s="47"/>
      <c r="I61" s="47"/>
      <c r="J61" s="48">
        <f>IFERROR(VLOOKUP(VLOOKUP(A61,PROGRAMAS!$A$4:$G$103,7,FALSE()),PRECIOS_TEJEDURIA!$A$4:$B$22,2,FALSE()),0)</f>
        <v>0</v>
      </c>
      <c r="K61" s="49"/>
      <c r="L61" s="50"/>
      <c r="M61" s="51">
        <f t="shared" si="1"/>
        <v>0</v>
      </c>
      <c r="N61" s="49"/>
      <c r="O61" s="49"/>
      <c r="P61" s="49"/>
      <c r="Q61" s="52"/>
      <c r="R61" s="53"/>
      <c r="S61" s="53"/>
      <c r="T61" s="54"/>
      <c r="U61" s="19">
        <f t="shared" si="2"/>
        <v>0</v>
      </c>
      <c r="V61" s="20">
        <f t="shared" si="3"/>
        <v>0</v>
      </c>
      <c r="W61" s="55">
        <f t="array" ref="W61">IFERROR(INDEX(PRECIOS_TINTORERIA!$B$4:$U$15,MATCH(D61,PRECIOS_TINTORERIA!$A$4:$A$15,0),MATCH(VLOOKUP(A61,PROGRAMAS!$A$4:$G$103,7,FALSE()),PRECIOS_TINTORERIA!$B$3:$U$3,0)),0)</f>
        <v>0</v>
      </c>
      <c r="X61" s="56"/>
      <c r="Y61" s="57"/>
      <c r="Z61" s="58">
        <f t="shared" si="4"/>
        <v>0</v>
      </c>
      <c r="AA61" s="56"/>
      <c r="AB61" s="56"/>
      <c r="AC61" s="56"/>
      <c r="AD61" s="23">
        <f>IFERROR((SUMIFS(COMPRAS_HILO!$H$4:$H$203,COMPRAS_HILO!$B$4:$B$203,A61))*F61/SUMIFS($F$4:$F$503,$A$4:$A$503,A61),0)</f>
        <v>0</v>
      </c>
      <c r="AE61" s="23">
        <f t="shared" si="5"/>
        <v>0</v>
      </c>
      <c r="AF61" s="23">
        <f t="shared" si="6"/>
        <v>0</v>
      </c>
      <c r="AG61" s="25">
        <f t="shared" si="7"/>
        <v>0</v>
      </c>
      <c r="AH61" s="25">
        <f t="shared" si="8"/>
        <v>0</v>
      </c>
      <c r="AI61" s="59"/>
    </row>
    <row r="62" ht="15.75" customHeight="1">
      <c r="A62" s="40"/>
      <c r="B62" s="33"/>
      <c r="C62" s="45" t="str">
        <f>IFERROR(VLOOKUP(B62,COLORES!$A$4:$B$52,2,FALSE()),"")</f>
        <v/>
      </c>
      <c r="D62" s="33"/>
      <c r="E62" s="46"/>
      <c r="F62" s="34"/>
      <c r="G62" s="33"/>
      <c r="H62" s="47"/>
      <c r="I62" s="47"/>
      <c r="J62" s="48">
        <f>IFERROR(VLOOKUP(VLOOKUP(A62,PROGRAMAS!$A$4:$G$103,7,FALSE()),PRECIOS_TEJEDURIA!$A$4:$B$22,2,FALSE()),0)</f>
        <v>0</v>
      </c>
      <c r="K62" s="49"/>
      <c r="L62" s="50"/>
      <c r="M62" s="51">
        <f t="shared" si="1"/>
        <v>0</v>
      </c>
      <c r="N62" s="49"/>
      <c r="O62" s="49"/>
      <c r="P62" s="49"/>
      <c r="Q62" s="52"/>
      <c r="R62" s="53"/>
      <c r="S62" s="53"/>
      <c r="T62" s="54"/>
      <c r="U62" s="19">
        <f t="shared" si="2"/>
        <v>0</v>
      </c>
      <c r="V62" s="20">
        <f t="shared" si="3"/>
        <v>0</v>
      </c>
      <c r="W62" s="55">
        <f t="array" ref="W62">IFERROR(INDEX(PRECIOS_TINTORERIA!$B$4:$U$15,MATCH(D62,PRECIOS_TINTORERIA!$A$4:$A$15,0),MATCH(VLOOKUP(A62,PROGRAMAS!$A$4:$G$103,7,FALSE()),PRECIOS_TINTORERIA!$B$3:$U$3,0)),0)</f>
        <v>0</v>
      </c>
      <c r="X62" s="56"/>
      <c r="Y62" s="57"/>
      <c r="Z62" s="58">
        <f t="shared" si="4"/>
        <v>0</v>
      </c>
      <c r="AA62" s="56"/>
      <c r="AB62" s="56"/>
      <c r="AC62" s="56"/>
      <c r="AD62" s="23">
        <f>IFERROR((SUMIFS(COMPRAS_HILO!$H$4:$H$203,COMPRAS_HILO!$B$4:$B$203,A62))*F62/SUMIFS($F$4:$F$503,$A$4:$A$503,A62),0)</f>
        <v>0</v>
      </c>
      <c r="AE62" s="23">
        <f t="shared" si="5"/>
        <v>0</v>
      </c>
      <c r="AF62" s="23">
        <f t="shared" si="6"/>
        <v>0</v>
      </c>
      <c r="AG62" s="25">
        <f t="shared" si="7"/>
        <v>0</v>
      </c>
      <c r="AH62" s="25">
        <f t="shared" si="8"/>
        <v>0</v>
      </c>
      <c r="AI62" s="59"/>
    </row>
    <row r="63" ht="15.75" customHeight="1">
      <c r="A63" s="40"/>
      <c r="B63" s="33"/>
      <c r="C63" s="45" t="str">
        <f>IFERROR(VLOOKUP(B63,COLORES!$A$4:$B$52,2,FALSE()),"")</f>
        <v/>
      </c>
      <c r="D63" s="33"/>
      <c r="E63" s="46"/>
      <c r="F63" s="34"/>
      <c r="G63" s="33"/>
      <c r="H63" s="47"/>
      <c r="I63" s="47"/>
      <c r="J63" s="48">
        <f>IFERROR(VLOOKUP(VLOOKUP(A63,PROGRAMAS!$A$4:$G$103,7,FALSE()),PRECIOS_TEJEDURIA!$A$4:$B$22,2,FALSE()),0)</f>
        <v>0</v>
      </c>
      <c r="K63" s="49"/>
      <c r="L63" s="50"/>
      <c r="M63" s="51">
        <f t="shared" si="1"/>
        <v>0</v>
      </c>
      <c r="N63" s="49"/>
      <c r="O63" s="49"/>
      <c r="P63" s="49"/>
      <c r="Q63" s="52"/>
      <c r="R63" s="53"/>
      <c r="S63" s="53"/>
      <c r="T63" s="54"/>
      <c r="U63" s="19">
        <f t="shared" si="2"/>
        <v>0</v>
      </c>
      <c r="V63" s="20">
        <f t="shared" si="3"/>
        <v>0</v>
      </c>
      <c r="W63" s="55">
        <f t="array" ref="W63">IFERROR(INDEX(PRECIOS_TINTORERIA!$B$4:$U$15,MATCH(D63,PRECIOS_TINTORERIA!$A$4:$A$15,0),MATCH(VLOOKUP(A63,PROGRAMAS!$A$4:$G$103,7,FALSE()),PRECIOS_TINTORERIA!$B$3:$U$3,0)),0)</f>
        <v>0</v>
      </c>
      <c r="X63" s="56"/>
      <c r="Y63" s="57"/>
      <c r="Z63" s="58">
        <f t="shared" si="4"/>
        <v>0</v>
      </c>
      <c r="AA63" s="56"/>
      <c r="AB63" s="56"/>
      <c r="AC63" s="56"/>
      <c r="AD63" s="23">
        <f>IFERROR((SUMIFS(COMPRAS_HILO!$H$4:$H$203,COMPRAS_HILO!$B$4:$B$203,A63))*F63/SUMIFS($F$4:$F$503,$A$4:$A$503,A63),0)</f>
        <v>0</v>
      </c>
      <c r="AE63" s="23">
        <f t="shared" si="5"/>
        <v>0</v>
      </c>
      <c r="AF63" s="23">
        <f t="shared" si="6"/>
        <v>0</v>
      </c>
      <c r="AG63" s="25">
        <f t="shared" si="7"/>
        <v>0</v>
      </c>
      <c r="AH63" s="25">
        <f t="shared" si="8"/>
        <v>0</v>
      </c>
      <c r="AI63" s="59"/>
    </row>
    <row r="64" ht="15.75" customHeight="1">
      <c r="A64" s="40"/>
      <c r="B64" s="33"/>
      <c r="C64" s="45" t="str">
        <f>IFERROR(VLOOKUP(B64,COLORES!$A$4:$B$52,2,FALSE()),"")</f>
        <v/>
      </c>
      <c r="D64" s="33"/>
      <c r="E64" s="46"/>
      <c r="F64" s="34"/>
      <c r="G64" s="33"/>
      <c r="H64" s="47"/>
      <c r="I64" s="47"/>
      <c r="J64" s="48">
        <f>IFERROR(VLOOKUP(VLOOKUP(A64,PROGRAMAS!$A$4:$G$103,7,FALSE()),PRECIOS_TEJEDURIA!$A$4:$B$22,2,FALSE()),0)</f>
        <v>0</v>
      </c>
      <c r="K64" s="49"/>
      <c r="L64" s="50"/>
      <c r="M64" s="51">
        <f t="shared" si="1"/>
        <v>0</v>
      </c>
      <c r="N64" s="49"/>
      <c r="O64" s="49"/>
      <c r="P64" s="49"/>
      <c r="Q64" s="52"/>
      <c r="R64" s="53"/>
      <c r="S64" s="53"/>
      <c r="T64" s="54"/>
      <c r="U64" s="19">
        <f t="shared" si="2"/>
        <v>0</v>
      </c>
      <c r="V64" s="20">
        <f t="shared" si="3"/>
        <v>0</v>
      </c>
      <c r="W64" s="55">
        <f t="array" ref="W64">IFERROR(INDEX(PRECIOS_TINTORERIA!$B$4:$U$15,MATCH(D64,PRECIOS_TINTORERIA!$A$4:$A$15,0),MATCH(VLOOKUP(A64,PROGRAMAS!$A$4:$G$103,7,FALSE()),PRECIOS_TINTORERIA!$B$3:$U$3,0)),0)</f>
        <v>0</v>
      </c>
      <c r="X64" s="56"/>
      <c r="Y64" s="57"/>
      <c r="Z64" s="58">
        <f t="shared" si="4"/>
        <v>0</v>
      </c>
      <c r="AA64" s="56"/>
      <c r="AB64" s="56"/>
      <c r="AC64" s="56"/>
      <c r="AD64" s="23">
        <f>IFERROR((SUMIFS(COMPRAS_HILO!$H$4:$H$203,COMPRAS_HILO!$B$4:$B$203,A64))*F64/SUMIFS($F$4:$F$503,$A$4:$A$503,A64),0)</f>
        <v>0</v>
      </c>
      <c r="AE64" s="23">
        <f t="shared" si="5"/>
        <v>0</v>
      </c>
      <c r="AF64" s="23">
        <f t="shared" si="6"/>
        <v>0</v>
      </c>
      <c r="AG64" s="25">
        <f t="shared" si="7"/>
        <v>0</v>
      </c>
      <c r="AH64" s="25">
        <f t="shared" si="8"/>
        <v>0</v>
      </c>
      <c r="AI64" s="59"/>
    </row>
    <row r="65" ht="15.75" customHeight="1">
      <c r="A65" s="40"/>
      <c r="B65" s="33"/>
      <c r="C65" s="45" t="str">
        <f>IFERROR(VLOOKUP(B65,COLORES!$A$4:$B$52,2,FALSE()),"")</f>
        <v/>
      </c>
      <c r="D65" s="33"/>
      <c r="E65" s="46"/>
      <c r="F65" s="34"/>
      <c r="G65" s="33"/>
      <c r="H65" s="47"/>
      <c r="I65" s="47"/>
      <c r="J65" s="48">
        <f>IFERROR(VLOOKUP(VLOOKUP(A65,PROGRAMAS!$A$4:$G$103,7,FALSE()),PRECIOS_TEJEDURIA!$A$4:$B$22,2,FALSE()),0)</f>
        <v>0</v>
      </c>
      <c r="K65" s="49"/>
      <c r="L65" s="50"/>
      <c r="M65" s="51">
        <f t="shared" si="1"/>
        <v>0</v>
      </c>
      <c r="N65" s="49"/>
      <c r="O65" s="49"/>
      <c r="P65" s="49"/>
      <c r="Q65" s="52"/>
      <c r="R65" s="53"/>
      <c r="S65" s="53"/>
      <c r="T65" s="54"/>
      <c r="U65" s="19">
        <f t="shared" si="2"/>
        <v>0</v>
      </c>
      <c r="V65" s="20">
        <f t="shared" si="3"/>
        <v>0</v>
      </c>
      <c r="W65" s="55">
        <f t="array" ref="W65">IFERROR(INDEX(PRECIOS_TINTORERIA!$B$4:$U$15,MATCH(D65,PRECIOS_TINTORERIA!$A$4:$A$15,0),MATCH(VLOOKUP(A65,PROGRAMAS!$A$4:$G$103,7,FALSE()),PRECIOS_TINTORERIA!$B$3:$U$3,0)),0)</f>
        <v>0</v>
      </c>
      <c r="X65" s="56"/>
      <c r="Y65" s="57"/>
      <c r="Z65" s="58">
        <f t="shared" si="4"/>
        <v>0</v>
      </c>
      <c r="AA65" s="56"/>
      <c r="AB65" s="56"/>
      <c r="AC65" s="56"/>
      <c r="AD65" s="23">
        <f>IFERROR((SUMIFS(COMPRAS_HILO!$H$4:$H$203,COMPRAS_HILO!$B$4:$B$203,A65))*F65/SUMIFS($F$4:$F$503,$A$4:$A$503,A65),0)</f>
        <v>0</v>
      </c>
      <c r="AE65" s="23">
        <f t="shared" si="5"/>
        <v>0</v>
      </c>
      <c r="AF65" s="23">
        <f t="shared" si="6"/>
        <v>0</v>
      </c>
      <c r="AG65" s="25">
        <f t="shared" si="7"/>
        <v>0</v>
      </c>
      <c r="AH65" s="25">
        <f t="shared" si="8"/>
        <v>0</v>
      </c>
      <c r="AI65" s="59"/>
    </row>
    <row r="66" ht="15.75" customHeight="1">
      <c r="A66" s="40"/>
      <c r="B66" s="33"/>
      <c r="C66" s="45" t="str">
        <f>IFERROR(VLOOKUP(B66,COLORES!$A$4:$B$52,2,FALSE()),"")</f>
        <v/>
      </c>
      <c r="D66" s="33"/>
      <c r="E66" s="46"/>
      <c r="F66" s="34"/>
      <c r="G66" s="33"/>
      <c r="H66" s="47"/>
      <c r="I66" s="47"/>
      <c r="J66" s="48">
        <f>IFERROR(VLOOKUP(VLOOKUP(A66,PROGRAMAS!$A$4:$G$103,7,FALSE()),PRECIOS_TEJEDURIA!$A$4:$B$22,2,FALSE()),0)</f>
        <v>0</v>
      </c>
      <c r="K66" s="49"/>
      <c r="L66" s="50"/>
      <c r="M66" s="51">
        <f t="shared" si="1"/>
        <v>0</v>
      </c>
      <c r="N66" s="49"/>
      <c r="O66" s="49"/>
      <c r="P66" s="49"/>
      <c r="Q66" s="52"/>
      <c r="R66" s="53"/>
      <c r="S66" s="53"/>
      <c r="T66" s="54"/>
      <c r="U66" s="19">
        <f t="shared" si="2"/>
        <v>0</v>
      </c>
      <c r="V66" s="20">
        <f t="shared" si="3"/>
        <v>0</v>
      </c>
      <c r="W66" s="55">
        <f t="array" ref="W66">IFERROR(INDEX(PRECIOS_TINTORERIA!$B$4:$U$15,MATCH(D66,PRECIOS_TINTORERIA!$A$4:$A$15,0),MATCH(VLOOKUP(A66,PROGRAMAS!$A$4:$G$103,7,FALSE()),PRECIOS_TINTORERIA!$B$3:$U$3,0)),0)</f>
        <v>0</v>
      </c>
      <c r="X66" s="56"/>
      <c r="Y66" s="57"/>
      <c r="Z66" s="58">
        <f t="shared" si="4"/>
        <v>0</v>
      </c>
      <c r="AA66" s="56"/>
      <c r="AB66" s="56"/>
      <c r="AC66" s="56"/>
      <c r="AD66" s="23">
        <f>IFERROR((SUMIFS(COMPRAS_HILO!$H$4:$H$203,COMPRAS_HILO!$B$4:$B$203,A66))*F66/SUMIFS($F$4:$F$503,$A$4:$A$503,A66),0)</f>
        <v>0</v>
      </c>
      <c r="AE66" s="23">
        <f t="shared" si="5"/>
        <v>0</v>
      </c>
      <c r="AF66" s="23">
        <f t="shared" si="6"/>
        <v>0</v>
      </c>
      <c r="AG66" s="25">
        <f t="shared" si="7"/>
        <v>0</v>
      </c>
      <c r="AH66" s="25">
        <f t="shared" si="8"/>
        <v>0</v>
      </c>
      <c r="AI66" s="59"/>
    </row>
    <row r="67" ht="15.75" customHeight="1">
      <c r="A67" s="40"/>
      <c r="B67" s="33"/>
      <c r="C67" s="45" t="str">
        <f>IFERROR(VLOOKUP(B67,COLORES!$A$4:$B$52,2,FALSE()),"")</f>
        <v/>
      </c>
      <c r="D67" s="33"/>
      <c r="E67" s="46"/>
      <c r="F67" s="34"/>
      <c r="G67" s="33"/>
      <c r="H67" s="47"/>
      <c r="I67" s="47"/>
      <c r="J67" s="48">
        <f>IFERROR(VLOOKUP(VLOOKUP(A67,PROGRAMAS!$A$4:$G$103,7,FALSE()),PRECIOS_TEJEDURIA!$A$4:$B$22,2,FALSE()),0)</f>
        <v>0</v>
      </c>
      <c r="K67" s="49"/>
      <c r="L67" s="50"/>
      <c r="M67" s="51">
        <f t="shared" si="1"/>
        <v>0</v>
      </c>
      <c r="N67" s="49"/>
      <c r="O67" s="49"/>
      <c r="P67" s="49"/>
      <c r="Q67" s="52"/>
      <c r="R67" s="53"/>
      <c r="S67" s="53"/>
      <c r="T67" s="54"/>
      <c r="U67" s="19">
        <f t="shared" si="2"/>
        <v>0</v>
      </c>
      <c r="V67" s="20">
        <f t="shared" si="3"/>
        <v>0</v>
      </c>
      <c r="W67" s="55">
        <f t="array" ref="W67">IFERROR(INDEX(PRECIOS_TINTORERIA!$B$4:$U$15,MATCH(D67,PRECIOS_TINTORERIA!$A$4:$A$15,0),MATCH(VLOOKUP(A67,PROGRAMAS!$A$4:$G$103,7,FALSE()),PRECIOS_TINTORERIA!$B$3:$U$3,0)),0)</f>
        <v>0</v>
      </c>
      <c r="X67" s="56"/>
      <c r="Y67" s="57"/>
      <c r="Z67" s="58">
        <f t="shared" si="4"/>
        <v>0</v>
      </c>
      <c r="AA67" s="56"/>
      <c r="AB67" s="56"/>
      <c r="AC67" s="56"/>
      <c r="AD67" s="23">
        <f>IFERROR((SUMIFS(COMPRAS_HILO!$H$4:$H$203,COMPRAS_HILO!$B$4:$B$203,A67))*F67/SUMIFS($F$4:$F$503,$A$4:$A$503,A67),0)</f>
        <v>0</v>
      </c>
      <c r="AE67" s="23">
        <f t="shared" si="5"/>
        <v>0</v>
      </c>
      <c r="AF67" s="23">
        <f t="shared" si="6"/>
        <v>0</v>
      </c>
      <c r="AG67" s="25">
        <f t="shared" si="7"/>
        <v>0</v>
      </c>
      <c r="AH67" s="25">
        <f t="shared" si="8"/>
        <v>0</v>
      </c>
      <c r="AI67" s="59"/>
    </row>
    <row r="68" ht="15.75" customHeight="1">
      <c r="A68" s="40"/>
      <c r="B68" s="33"/>
      <c r="C68" s="45" t="str">
        <f>IFERROR(VLOOKUP(B68,COLORES!$A$4:$B$52,2,FALSE()),"")</f>
        <v/>
      </c>
      <c r="D68" s="33"/>
      <c r="E68" s="46"/>
      <c r="F68" s="34"/>
      <c r="G68" s="33"/>
      <c r="H68" s="47"/>
      <c r="I68" s="47"/>
      <c r="J68" s="48">
        <f>IFERROR(VLOOKUP(VLOOKUP(A68,PROGRAMAS!$A$4:$G$103,7,FALSE()),PRECIOS_TEJEDURIA!$A$4:$B$22,2,FALSE()),0)</f>
        <v>0</v>
      </c>
      <c r="K68" s="49"/>
      <c r="L68" s="50"/>
      <c r="M68" s="51">
        <f t="shared" si="1"/>
        <v>0</v>
      </c>
      <c r="N68" s="49"/>
      <c r="O68" s="49"/>
      <c r="P68" s="49"/>
      <c r="Q68" s="52"/>
      <c r="R68" s="53"/>
      <c r="S68" s="53"/>
      <c r="T68" s="54"/>
      <c r="U68" s="19">
        <f t="shared" si="2"/>
        <v>0</v>
      </c>
      <c r="V68" s="20">
        <f t="shared" si="3"/>
        <v>0</v>
      </c>
      <c r="W68" s="55">
        <f t="array" ref="W68">IFERROR(INDEX(PRECIOS_TINTORERIA!$B$4:$U$15,MATCH(D68,PRECIOS_TINTORERIA!$A$4:$A$15,0),MATCH(VLOOKUP(A68,PROGRAMAS!$A$4:$G$103,7,FALSE()),PRECIOS_TINTORERIA!$B$3:$U$3,0)),0)</f>
        <v>0</v>
      </c>
      <c r="X68" s="56"/>
      <c r="Y68" s="57"/>
      <c r="Z68" s="58">
        <f t="shared" si="4"/>
        <v>0</v>
      </c>
      <c r="AA68" s="56"/>
      <c r="AB68" s="56"/>
      <c r="AC68" s="56"/>
      <c r="AD68" s="23">
        <f>IFERROR((SUMIFS(COMPRAS_HILO!$H$4:$H$203,COMPRAS_HILO!$B$4:$B$203,A68))*F68/SUMIFS($F$4:$F$503,$A$4:$A$503,A68),0)</f>
        <v>0</v>
      </c>
      <c r="AE68" s="23">
        <f t="shared" si="5"/>
        <v>0</v>
      </c>
      <c r="AF68" s="23">
        <f t="shared" si="6"/>
        <v>0</v>
      </c>
      <c r="AG68" s="25">
        <f t="shared" si="7"/>
        <v>0</v>
      </c>
      <c r="AH68" s="25">
        <f t="shared" si="8"/>
        <v>0</v>
      </c>
      <c r="AI68" s="59"/>
    </row>
    <row r="69" ht="15.75" customHeight="1">
      <c r="A69" s="40"/>
      <c r="B69" s="33"/>
      <c r="C69" s="45" t="str">
        <f>IFERROR(VLOOKUP(B69,COLORES!$A$4:$B$52,2,FALSE()),"")</f>
        <v/>
      </c>
      <c r="D69" s="33"/>
      <c r="E69" s="46"/>
      <c r="F69" s="34"/>
      <c r="G69" s="33"/>
      <c r="H69" s="47"/>
      <c r="I69" s="47"/>
      <c r="J69" s="48">
        <f>IFERROR(VLOOKUP(VLOOKUP(A69,PROGRAMAS!$A$4:$G$103,7,FALSE()),PRECIOS_TEJEDURIA!$A$4:$B$22,2,FALSE()),0)</f>
        <v>0</v>
      </c>
      <c r="K69" s="49"/>
      <c r="L69" s="50"/>
      <c r="M69" s="51">
        <f t="shared" si="1"/>
        <v>0</v>
      </c>
      <c r="N69" s="49"/>
      <c r="O69" s="49"/>
      <c r="P69" s="49"/>
      <c r="Q69" s="52"/>
      <c r="R69" s="53"/>
      <c r="S69" s="53"/>
      <c r="T69" s="54"/>
      <c r="U69" s="19">
        <f t="shared" si="2"/>
        <v>0</v>
      </c>
      <c r="V69" s="20">
        <f t="shared" si="3"/>
        <v>0</v>
      </c>
      <c r="W69" s="55">
        <f t="array" ref="W69">IFERROR(INDEX(PRECIOS_TINTORERIA!$B$4:$U$15,MATCH(D69,PRECIOS_TINTORERIA!$A$4:$A$15,0),MATCH(VLOOKUP(A69,PROGRAMAS!$A$4:$G$103,7,FALSE()),PRECIOS_TINTORERIA!$B$3:$U$3,0)),0)</f>
        <v>0</v>
      </c>
      <c r="X69" s="56"/>
      <c r="Y69" s="57"/>
      <c r="Z69" s="58">
        <f t="shared" si="4"/>
        <v>0</v>
      </c>
      <c r="AA69" s="56"/>
      <c r="AB69" s="56"/>
      <c r="AC69" s="56"/>
      <c r="AD69" s="23">
        <f>IFERROR((SUMIFS(COMPRAS_HILO!$H$4:$H$203,COMPRAS_HILO!$B$4:$B$203,A69))*F69/SUMIFS($F$4:$F$503,$A$4:$A$503,A69),0)</f>
        <v>0</v>
      </c>
      <c r="AE69" s="23">
        <f t="shared" si="5"/>
        <v>0</v>
      </c>
      <c r="AF69" s="23">
        <f t="shared" si="6"/>
        <v>0</v>
      </c>
      <c r="AG69" s="25">
        <f t="shared" si="7"/>
        <v>0</v>
      </c>
      <c r="AH69" s="25">
        <f t="shared" si="8"/>
        <v>0</v>
      </c>
      <c r="AI69" s="59"/>
    </row>
    <row r="70" ht="15.75" customHeight="1">
      <c r="A70" s="40"/>
      <c r="B70" s="33"/>
      <c r="C70" s="45" t="str">
        <f>IFERROR(VLOOKUP(B70,COLORES!$A$4:$B$52,2,FALSE()),"")</f>
        <v/>
      </c>
      <c r="D70" s="33"/>
      <c r="E70" s="46"/>
      <c r="F70" s="34"/>
      <c r="G70" s="33"/>
      <c r="H70" s="47"/>
      <c r="I70" s="47"/>
      <c r="J70" s="48">
        <f>IFERROR(VLOOKUP(VLOOKUP(A70,PROGRAMAS!$A$4:$G$103,7,FALSE()),PRECIOS_TEJEDURIA!$A$4:$B$22,2,FALSE()),0)</f>
        <v>0</v>
      </c>
      <c r="K70" s="49"/>
      <c r="L70" s="50"/>
      <c r="M70" s="51">
        <f t="shared" si="1"/>
        <v>0</v>
      </c>
      <c r="N70" s="49"/>
      <c r="O70" s="49"/>
      <c r="P70" s="49"/>
      <c r="Q70" s="52"/>
      <c r="R70" s="53"/>
      <c r="S70" s="53"/>
      <c r="T70" s="54"/>
      <c r="U70" s="19">
        <f t="shared" si="2"/>
        <v>0</v>
      </c>
      <c r="V70" s="20">
        <f t="shared" si="3"/>
        <v>0</v>
      </c>
      <c r="W70" s="55">
        <f t="array" ref="W70">IFERROR(INDEX(PRECIOS_TINTORERIA!$B$4:$U$15,MATCH(D70,PRECIOS_TINTORERIA!$A$4:$A$15,0),MATCH(VLOOKUP(A70,PROGRAMAS!$A$4:$G$103,7,FALSE()),PRECIOS_TINTORERIA!$B$3:$U$3,0)),0)</f>
        <v>0</v>
      </c>
      <c r="X70" s="56"/>
      <c r="Y70" s="57"/>
      <c r="Z70" s="58">
        <f t="shared" si="4"/>
        <v>0</v>
      </c>
      <c r="AA70" s="56"/>
      <c r="AB70" s="56"/>
      <c r="AC70" s="56"/>
      <c r="AD70" s="23">
        <f>IFERROR((SUMIFS(COMPRAS_HILO!$H$4:$H$203,COMPRAS_HILO!$B$4:$B$203,A70))*F70/SUMIFS($F$4:$F$503,$A$4:$A$503,A70),0)</f>
        <v>0</v>
      </c>
      <c r="AE70" s="23">
        <f t="shared" si="5"/>
        <v>0</v>
      </c>
      <c r="AF70" s="23">
        <f t="shared" si="6"/>
        <v>0</v>
      </c>
      <c r="AG70" s="25">
        <f t="shared" si="7"/>
        <v>0</v>
      </c>
      <c r="AH70" s="25">
        <f t="shared" si="8"/>
        <v>0</v>
      </c>
      <c r="AI70" s="59"/>
    </row>
    <row r="71" ht="15.75" customHeight="1">
      <c r="A71" s="40"/>
      <c r="B71" s="33"/>
      <c r="C71" s="45" t="str">
        <f>IFERROR(VLOOKUP(B71,COLORES!$A$4:$B$52,2,FALSE()),"")</f>
        <v/>
      </c>
      <c r="D71" s="33"/>
      <c r="E71" s="46"/>
      <c r="F71" s="34"/>
      <c r="G71" s="33"/>
      <c r="H71" s="47"/>
      <c r="I71" s="47"/>
      <c r="J71" s="48">
        <f>IFERROR(VLOOKUP(VLOOKUP(A71,PROGRAMAS!$A$4:$G$103,7,FALSE()),PRECIOS_TEJEDURIA!$A$4:$B$22,2,FALSE()),0)</f>
        <v>0</v>
      </c>
      <c r="K71" s="49"/>
      <c r="L71" s="50"/>
      <c r="M71" s="51">
        <f t="shared" si="1"/>
        <v>0</v>
      </c>
      <c r="N71" s="49"/>
      <c r="O71" s="49"/>
      <c r="P71" s="49"/>
      <c r="Q71" s="52"/>
      <c r="R71" s="53"/>
      <c r="S71" s="53"/>
      <c r="T71" s="54"/>
      <c r="U71" s="19">
        <f t="shared" si="2"/>
        <v>0</v>
      </c>
      <c r="V71" s="20">
        <f t="shared" si="3"/>
        <v>0</v>
      </c>
      <c r="W71" s="55">
        <f t="array" ref="W71">IFERROR(INDEX(PRECIOS_TINTORERIA!$B$4:$U$15,MATCH(D71,PRECIOS_TINTORERIA!$A$4:$A$15,0),MATCH(VLOOKUP(A71,PROGRAMAS!$A$4:$G$103,7,FALSE()),PRECIOS_TINTORERIA!$B$3:$U$3,0)),0)</f>
        <v>0</v>
      </c>
      <c r="X71" s="56"/>
      <c r="Y71" s="57"/>
      <c r="Z71" s="58">
        <f t="shared" si="4"/>
        <v>0</v>
      </c>
      <c r="AA71" s="56"/>
      <c r="AB71" s="56"/>
      <c r="AC71" s="56"/>
      <c r="AD71" s="23">
        <f>IFERROR((SUMIFS(COMPRAS_HILO!$H$4:$H$203,COMPRAS_HILO!$B$4:$B$203,A71))*F71/SUMIFS($F$4:$F$503,$A$4:$A$503,A71),0)</f>
        <v>0</v>
      </c>
      <c r="AE71" s="23">
        <f t="shared" si="5"/>
        <v>0</v>
      </c>
      <c r="AF71" s="23">
        <f t="shared" si="6"/>
        <v>0</v>
      </c>
      <c r="AG71" s="25">
        <f t="shared" si="7"/>
        <v>0</v>
      </c>
      <c r="AH71" s="25">
        <f t="shared" si="8"/>
        <v>0</v>
      </c>
      <c r="AI71" s="59"/>
    </row>
    <row r="72" ht="15.75" customHeight="1">
      <c r="A72" s="40"/>
      <c r="B72" s="33"/>
      <c r="C72" s="45" t="str">
        <f>IFERROR(VLOOKUP(B72,COLORES!$A$4:$B$52,2,FALSE()),"")</f>
        <v/>
      </c>
      <c r="D72" s="33"/>
      <c r="E72" s="46"/>
      <c r="F72" s="34"/>
      <c r="G72" s="33"/>
      <c r="H72" s="47"/>
      <c r="I72" s="47"/>
      <c r="J72" s="48">
        <f>IFERROR(VLOOKUP(VLOOKUP(A72,PROGRAMAS!$A$4:$G$103,7,FALSE()),PRECIOS_TEJEDURIA!$A$4:$B$22,2,FALSE()),0)</f>
        <v>0</v>
      </c>
      <c r="K72" s="49"/>
      <c r="L72" s="50"/>
      <c r="M72" s="51">
        <f t="shared" si="1"/>
        <v>0</v>
      </c>
      <c r="N72" s="49"/>
      <c r="O72" s="49"/>
      <c r="P72" s="49"/>
      <c r="Q72" s="52"/>
      <c r="R72" s="53"/>
      <c r="S72" s="53"/>
      <c r="T72" s="54"/>
      <c r="U72" s="19">
        <f t="shared" si="2"/>
        <v>0</v>
      </c>
      <c r="V72" s="20">
        <f t="shared" si="3"/>
        <v>0</v>
      </c>
      <c r="W72" s="55">
        <f t="array" ref="W72">IFERROR(INDEX(PRECIOS_TINTORERIA!$B$4:$U$15,MATCH(D72,PRECIOS_TINTORERIA!$A$4:$A$15,0),MATCH(VLOOKUP(A72,PROGRAMAS!$A$4:$G$103,7,FALSE()),PRECIOS_TINTORERIA!$B$3:$U$3,0)),0)</f>
        <v>0</v>
      </c>
      <c r="X72" s="56"/>
      <c r="Y72" s="57"/>
      <c r="Z72" s="58">
        <f t="shared" si="4"/>
        <v>0</v>
      </c>
      <c r="AA72" s="56"/>
      <c r="AB72" s="56"/>
      <c r="AC72" s="56"/>
      <c r="AD72" s="23">
        <f>IFERROR((SUMIFS(COMPRAS_HILO!$H$4:$H$203,COMPRAS_HILO!$B$4:$B$203,A72))*F72/SUMIFS($F$4:$F$503,$A$4:$A$503,A72),0)</f>
        <v>0</v>
      </c>
      <c r="AE72" s="23">
        <f t="shared" si="5"/>
        <v>0</v>
      </c>
      <c r="AF72" s="23">
        <f t="shared" si="6"/>
        <v>0</v>
      </c>
      <c r="AG72" s="25">
        <f t="shared" si="7"/>
        <v>0</v>
      </c>
      <c r="AH72" s="25">
        <f t="shared" si="8"/>
        <v>0</v>
      </c>
      <c r="AI72" s="59"/>
    </row>
    <row r="73" ht="15.75" customHeight="1">
      <c r="A73" s="40"/>
      <c r="B73" s="33"/>
      <c r="C73" s="45" t="str">
        <f>IFERROR(VLOOKUP(B73,COLORES!$A$4:$B$52,2,FALSE()),"")</f>
        <v/>
      </c>
      <c r="D73" s="33"/>
      <c r="E73" s="46"/>
      <c r="F73" s="34"/>
      <c r="G73" s="33"/>
      <c r="H73" s="47"/>
      <c r="I73" s="47"/>
      <c r="J73" s="48">
        <f>IFERROR(VLOOKUP(VLOOKUP(A73,PROGRAMAS!$A$4:$G$103,7,FALSE()),PRECIOS_TEJEDURIA!$A$4:$B$22,2,FALSE()),0)</f>
        <v>0</v>
      </c>
      <c r="K73" s="49"/>
      <c r="L73" s="50"/>
      <c r="M73" s="51">
        <f t="shared" si="1"/>
        <v>0</v>
      </c>
      <c r="N73" s="49"/>
      <c r="O73" s="49"/>
      <c r="P73" s="49"/>
      <c r="Q73" s="52"/>
      <c r="R73" s="53"/>
      <c r="S73" s="53"/>
      <c r="T73" s="54"/>
      <c r="U73" s="19">
        <f t="shared" si="2"/>
        <v>0</v>
      </c>
      <c r="V73" s="20">
        <f t="shared" si="3"/>
        <v>0</v>
      </c>
      <c r="W73" s="55">
        <f t="array" ref="W73">IFERROR(INDEX(PRECIOS_TINTORERIA!$B$4:$U$15,MATCH(D73,PRECIOS_TINTORERIA!$A$4:$A$15,0),MATCH(VLOOKUP(A73,PROGRAMAS!$A$4:$G$103,7,FALSE()),PRECIOS_TINTORERIA!$B$3:$U$3,0)),0)</f>
        <v>0</v>
      </c>
      <c r="X73" s="56"/>
      <c r="Y73" s="57"/>
      <c r="Z73" s="58">
        <f t="shared" si="4"/>
        <v>0</v>
      </c>
      <c r="AA73" s="56"/>
      <c r="AB73" s="56"/>
      <c r="AC73" s="56"/>
      <c r="AD73" s="23">
        <f>IFERROR((SUMIFS(COMPRAS_HILO!$H$4:$H$203,COMPRAS_HILO!$B$4:$B$203,A73))*F73/SUMIFS($F$4:$F$503,$A$4:$A$503,A73),0)</f>
        <v>0</v>
      </c>
      <c r="AE73" s="23">
        <f t="shared" si="5"/>
        <v>0</v>
      </c>
      <c r="AF73" s="23">
        <f t="shared" si="6"/>
        <v>0</v>
      </c>
      <c r="AG73" s="25">
        <f t="shared" si="7"/>
        <v>0</v>
      </c>
      <c r="AH73" s="25">
        <f t="shared" si="8"/>
        <v>0</v>
      </c>
      <c r="AI73" s="59"/>
    </row>
    <row r="74" ht="15.75" customHeight="1">
      <c r="A74" s="40"/>
      <c r="B74" s="33"/>
      <c r="C74" s="45" t="str">
        <f>IFERROR(VLOOKUP(B74,COLORES!$A$4:$B$52,2,FALSE()),"")</f>
        <v/>
      </c>
      <c r="D74" s="33"/>
      <c r="E74" s="46"/>
      <c r="F74" s="34"/>
      <c r="G74" s="33"/>
      <c r="H74" s="47"/>
      <c r="I74" s="47"/>
      <c r="J74" s="48">
        <f>IFERROR(VLOOKUP(VLOOKUP(A74,PROGRAMAS!$A$4:$G$103,7,FALSE()),PRECIOS_TEJEDURIA!$A$4:$B$22,2,FALSE()),0)</f>
        <v>0</v>
      </c>
      <c r="K74" s="49"/>
      <c r="L74" s="50"/>
      <c r="M74" s="51">
        <f t="shared" si="1"/>
        <v>0</v>
      </c>
      <c r="N74" s="49"/>
      <c r="O74" s="49"/>
      <c r="P74" s="49"/>
      <c r="Q74" s="52"/>
      <c r="R74" s="53"/>
      <c r="S74" s="53"/>
      <c r="T74" s="54"/>
      <c r="U74" s="19">
        <f t="shared" si="2"/>
        <v>0</v>
      </c>
      <c r="V74" s="20">
        <f t="shared" si="3"/>
        <v>0</v>
      </c>
      <c r="W74" s="55">
        <f t="array" ref="W74">IFERROR(INDEX(PRECIOS_TINTORERIA!$B$4:$U$15,MATCH(D74,PRECIOS_TINTORERIA!$A$4:$A$15,0),MATCH(VLOOKUP(A74,PROGRAMAS!$A$4:$G$103,7,FALSE()),PRECIOS_TINTORERIA!$B$3:$U$3,0)),0)</f>
        <v>0</v>
      </c>
      <c r="X74" s="56"/>
      <c r="Y74" s="57"/>
      <c r="Z74" s="58">
        <f t="shared" si="4"/>
        <v>0</v>
      </c>
      <c r="AA74" s="56"/>
      <c r="AB74" s="56"/>
      <c r="AC74" s="56"/>
      <c r="AD74" s="23">
        <f>IFERROR((SUMIFS(COMPRAS_HILO!$H$4:$H$203,COMPRAS_HILO!$B$4:$B$203,A74))*F74/SUMIFS($F$4:$F$503,$A$4:$A$503,A74),0)</f>
        <v>0</v>
      </c>
      <c r="AE74" s="23">
        <f t="shared" si="5"/>
        <v>0</v>
      </c>
      <c r="AF74" s="23">
        <f t="shared" si="6"/>
        <v>0</v>
      </c>
      <c r="AG74" s="25">
        <f t="shared" si="7"/>
        <v>0</v>
      </c>
      <c r="AH74" s="25">
        <f t="shared" si="8"/>
        <v>0</v>
      </c>
      <c r="AI74" s="59"/>
    </row>
    <row r="75" ht="15.75" customHeight="1">
      <c r="A75" s="40"/>
      <c r="B75" s="33"/>
      <c r="C75" s="45" t="str">
        <f>IFERROR(VLOOKUP(B75,COLORES!$A$4:$B$52,2,FALSE()),"")</f>
        <v/>
      </c>
      <c r="D75" s="33"/>
      <c r="E75" s="46"/>
      <c r="F75" s="34"/>
      <c r="G75" s="33"/>
      <c r="H75" s="47"/>
      <c r="I75" s="47"/>
      <c r="J75" s="48">
        <f>IFERROR(VLOOKUP(VLOOKUP(A75,PROGRAMAS!$A$4:$G$103,7,FALSE()),PRECIOS_TEJEDURIA!$A$4:$B$22,2,FALSE()),0)</f>
        <v>0</v>
      </c>
      <c r="K75" s="49"/>
      <c r="L75" s="50"/>
      <c r="M75" s="51">
        <f t="shared" si="1"/>
        <v>0</v>
      </c>
      <c r="N75" s="49"/>
      <c r="O75" s="49"/>
      <c r="P75" s="49"/>
      <c r="Q75" s="52"/>
      <c r="R75" s="53"/>
      <c r="S75" s="53"/>
      <c r="T75" s="54"/>
      <c r="U75" s="19">
        <f t="shared" si="2"/>
        <v>0</v>
      </c>
      <c r="V75" s="20">
        <f t="shared" si="3"/>
        <v>0</v>
      </c>
      <c r="W75" s="55">
        <f t="array" ref="W75">IFERROR(INDEX(PRECIOS_TINTORERIA!$B$4:$U$15,MATCH(D75,PRECIOS_TINTORERIA!$A$4:$A$15,0),MATCH(VLOOKUP(A75,PROGRAMAS!$A$4:$G$103,7,FALSE()),PRECIOS_TINTORERIA!$B$3:$U$3,0)),0)</f>
        <v>0</v>
      </c>
      <c r="X75" s="56"/>
      <c r="Y75" s="57"/>
      <c r="Z75" s="58">
        <f t="shared" si="4"/>
        <v>0</v>
      </c>
      <c r="AA75" s="56"/>
      <c r="AB75" s="56"/>
      <c r="AC75" s="56"/>
      <c r="AD75" s="23">
        <f>IFERROR((SUMIFS(COMPRAS_HILO!$H$4:$H$203,COMPRAS_HILO!$B$4:$B$203,A75))*F75/SUMIFS($F$4:$F$503,$A$4:$A$503,A75),0)</f>
        <v>0</v>
      </c>
      <c r="AE75" s="23">
        <f t="shared" si="5"/>
        <v>0</v>
      </c>
      <c r="AF75" s="23">
        <f t="shared" si="6"/>
        <v>0</v>
      </c>
      <c r="AG75" s="25">
        <f t="shared" si="7"/>
        <v>0</v>
      </c>
      <c r="AH75" s="25">
        <f t="shared" si="8"/>
        <v>0</v>
      </c>
      <c r="AI75" s="59"/>
    </row>
    <row r="76" ht="15.75" customHeight="1">
      <c r="A76" s="40"/>
      <c r="B76" s="33"/>
      <c r="C76" s="45" t="str">
        <f>IFERROR(VLOOKUP(B76,COLORES!$A$4:$B$52,2,FALSE()),"")</f>
        <v/>
      </c>
      <c r="D76" s="33"/>
      <c r="E76" s="46"/>
      <c r="F76" s="34"/>
      <c r="G76" s="33"/>
      <c r="H76" s="47"/>
      <c r="I76" s="47"/>
      <c r="J76" s="48">
        <f>IFERROR(VLOOKUP(VLOOKUP(A76,PROGRAMAS!$A$4:$G$103,7,FALSE()),PRECIOS_TEJEDURIA!$A$4:$B$22,2,FALSE()),0)</f>
        <v>0</v>
      </c>
      <c r="K76" s="49"/>
      <c r="L76" s="50"/>
      <c r="M76" s="51">
        <f t="shared" si="1"/>
        <v>0</v>
      </c>
      <c r="N76" s="49"/>
      <c r="O76" s="49"/>
      <c r="P76" s="49"/>
      <c r="Q76" s="52"/>
      <c r="R76" s="53"/>
      <c r="S76" s="53"/>
      <c r="T76" s="54"/>
      <c r="U76" s="19">
        <f t="shared" si="2"/>
        <v>0</v>
      </c>
      <c r="V76" s="20">
        <f t="shared" si="3"/>
        <v>0</v>
      </c>
      <c r="W76" s="55">
        <f t="array" ref="W76">IFERROR(INDEX(PRECIOS_TINTORERIA!$B$4:$U$15,MATCH(D76,PRECIOS_TINTORERIA!$A$4:$A$15,0),MATCH(VLOOKUP(A76,PROGRAMAS!$A$4:$G$103,7,FALSE()),PRECIOS_TINTORERIA!$B$3:$U$3,0)),0)</f>
        <v>0</v>
      </c>
      <c r="X76" s="56"/>
      <c r="Y76" s="57"/>
      <c r="Z76" s="58">
        <f t="shared" si="4"/>
        <v>0</v>
      </c>
      <c r="AA76" s="56"/>
      <c r="AB76" s="56"/>
      <c r="AC76" s="56"/>
      <c r="AD76" s="23">
        <f>IFERROR((SUMIFS(COMPRAS_HILO!$H$4:$H$203,COMPRAS_HILO!$B$4:$B$203,A76))*F76/SUMIFS($F$4:$F$503,$A$4:$A$503,A76),0)</f>
        <v>0</v>
      </c>
      <c r="AE76" s="23">
        <f t="shared" si="5"/>
        <v>0</v>
      </c>
      <c r="AF76" s="23">
        <f t="shared" si="6"/>
        <v>0</v>
      </c>
      <c r="AG76" s="25">
        <f t="shared" si="7"/>
        <v>0</v>
      </c>
      <c r="AH76" s="25">
        <f t="shared" si="8"/>
        <v>0</v>
      </c>
      <c r="AI76" s="59"/>
    </row>
    <row r="77" ht="15.75" customHeight="1">
      <c r="A77" s="40"/>
      <c r="B77" s="33"/>
      <c r="C77" s="45" t="str">
        <f>IFERROR(VLOOKUP(B77,COLORES!$A$4:$B$52,2,FALSE()),"")</f>
        <v/>
      </c>
      <c r="D77" s="33"/>
      <c r="E77" s="46"/>
      <c r="F77" s="34"/>
      <c r="G77" s="33"/>
      <c r="H77" s="47"/>
      <c r="I77" s="47"/>
      <c r="J77" s="48">
        <f>IFERROR(VLOOKUP(VLOOKUP(A77,PROGRAMAS!$A$4:$G$103,7,FALSE()),PRECIOS_TEJEDURIA!$A$4:$B$22,2,FALSE()),0)</f>
        <v>0</v>
      </c>
      <c r="K77" s="49"/>
      <c r="L77" s="50"/>
      <c r="M77" s="51">
        <f t="shared" si="1"/>
        <v>0</v>
      </c>
      <c r="N77" s="49"/>
      <c r="O77" s="49"/>
      <c r="P77" s="49"/>
      <c r="Q77" s="52"/>
      <c r="R77" s="53"/>
      <c r="S77" s="53"/>
      <c r="T77" s="54"/>
      <c r="U77" s="19">
        <f t="shared" si="2"/>
        <v>0</v>
      </c>
      <c r="V77" s="20">
        <f t="shared" si="3"/>
        <v>0</v>
      </c>
      <c r="W77" s="55">
        <f t="array" ref="W77">IFERROR(INDEX(PRECIOS_TINTORERIA!$B$4:$U$15,MATCH(D77,PRECIOS_TINTORERIA!$A$4:$A$15,0),MATCH(VLOOKUP(A77,PROGRAMAS!$A$4:$G$103,7,FALSE()),PRECIOS_TINTORERIA!$B$3:$U$3,0)),0)</f>
        <v>0</v>
      </c>
      <c r="X77" s="56"/>
      <c r="Y77" s="57"/>
      <c r="Z77" s="58">
        <f t="shared" si="4"/>
        <v>0</v>
      </c>
      <c r="AA77" s="56"/>
      <c r="AB77" s="56"/>
      <c r="AC77" s="56"/>
      <c r="AD77" s="23">
        <f>IFERROR((SUMIFS(COMPRAS_HILO!$H$4:$H$203,COMPRAS_HILO!$B$4:$B$203,A77))*F77/SUMIFS($F$4:$F$503,$A$4:$A$503,A77),0)</f>
        <v>0</v>
      </c>
      <c r="AE77" s="23">
        <f t="shared" si="5"/>
        <v>0</v>
      </c>
      <c r="AF77" s="23">
        <f t="shared" si="6"/>
        <v>0</v>
      </c>
      <c r="AG77" s="25">
        <f t="shared" si="7"/>
        <v>0</v>
      </c>
      <c r="AH77" s="25">
        <f t="shared" si="8"/>
        <v>0</v>
      </c>
      <c r="AI77" s="59"/>
    </row>
    <row r="78" ht="15.75" customHeight="1">
      <c r="A78" s="40"/>
      <c r="B78" s="33"/>
      <c r="C78" s="45" t="str">
        <f>IFERROR(VLOOKUP(B78,COLORES!$A$4:$B$52,2,FALSE()),"")</f>
        <v/>
      </c>
      <c r="D78" s="33"/>
      <c r="E78" s="46"/>
      <c r="F78" s="34"/>
      <c r="G78" s="33"/>
      <c r="H78" s="47"/>
      <c r="I78" s="47"/>
      <c r="J78" s="48">
        <f>IFERROR(VLOOKUP(VLOOKUP(A78,PROGRAMAS!$A$4:$G$103,7,FALSE()),PRECIOS_TEJEDURIA!$A$4:$B$22,2,FALSE()),0)</f>
        <v>0</v>
      </c>
      <c r="K78" s="49"/>
      <c r="L78" s="50"/>
      <c r="M78" s="51">
        <f t="shared" si="1"/>
        <v>0</v>
      </c>
      <c r="N78" s="49"/>
      <c r="O78" s="49"/>
      <c r="P78" s="49"/>
      <c r="Q78" s="52"/>
      <c r="R78" s="53"/>
      <c r="S78" s="53"/>
      <c r="T78" s="54"/>
      <c r="U78" s="19">
        <f t="shared" si="2"/>
        <v>0</v>
      </c>
      <c r="V78" s="20">
        <f t="shared" si="3"/>
        <v>0</v>
      </c>
      <c r="W78" s="55">
        <f t="array" ref="W78">IFERROR(INDEX(PRECIOS_TINTORERIA!$B$4:$U$15,MATCH(D78,PRECIOS_TINTORERIA!$A$4:$A$15,0),MATCH(VLOOKUP(A78,PROGRAMAS!$A$4:$G$103,7,FALSE()),PRECIOS_TINTORERIA!$B$3:$U$3,0)),0)</f>
        <v>0</v>
      </c>
      <c r="X78" s="56"/>
      <c r="Y78" s="57"/>
      <c r="Z78" s="58">
        <f t="shared" si="4"/>
        <v>0</v>
      </c>
      <c r="AA78" s="56"/>
      <c r="AB78" s="56"/>
      <c r="AC78" s="56"/>
      <c r="AD78" s="23">
        <f>IFERROR((SUMIFS(COMPRAS_HILO!$H$4:$H$203,COMPRAS_HILO!$B$4:$B$203,A78))*F78/SUMIFS($F$4:$F$503,$A$4:$A$503,A78),0)</f>
        <v>0</v>
      </c>
      <c r="AE78" s="23">
        <f t="shared" si="5"/>
        <v>0</v>
      </c>
      <c r="AF78" s="23">
        <f t="shared" si="6"/>
        <v>0</v>
      </c>
      <c r="AG78" s="25">
        <f t="shared" si="7"/>
        <v>0</v>
      </c>
      <c r="AH78" s="25">
        <f t="shared" si="8"/>
        <v>0</v>
      </c>
      <c r="AI78" s="59"/>
    </row>
    <row r="79" ht="15.75" customHeight="1">
      <c r="A79" s="40"/>
      <c r="B79" s="33"/>
      <c r="C79" s="45" t="str">
        <f>IFERROR(VLOOKUP(B79,COLORES!$A$4:$B$52,2,FALSE()),"")</f>
        <v/>
      </c>
      <c r="D79" s="33"/>
      <c r="E79" s="46"/>
      <c r="F79" s="34"/>
      <c r="G79" s="33"/>
      <c r="H79" s="47"/>
      <c r="I79" s="47"/>
      <c r="J79" s="48">
        <f>IFERROR(VLOOKUP(VLOOKUP(A79,PROGRAMAS!$A$4:$G$103,7,FALSE()),PRECIOS_TEJEDURIA!$A$4:$B$22,2,FALSE()),0)</f>
        <v>0</v>
      </c>
      <c r="K79" s="49"/>
      <c r="L79" s="50"/>
      <c r="M79" s="51">
        <f t="shared" si="1"/>
        <v>0</v>
      </c>
      <c r="N79" s="49"/>
      <c r="O79" s="49"/>
      <c r="P79" s="49"/>
      <c r="Q79" s="52"/>
      <c r="R79" s="53"/>
      <c r="S79" s="53"/>
      <c r="T79" s="54"/>
      <c r="U79" s="19">
        <f t="shared" si="2"/>
        <v>0</v>
      </c>
      <c r="V79" s="20">
        <f t="shared" si="3"/>
        <v>0</v>
      </c>
      <c r="W79" s="55">
        <f t="array" ref="W79">IFERROR(INDEX(PRECIOS_TINTORERIA!$B$4:$U$15,MATCH(D79,PRECIOS_TINTORERIA!$A$4:$A$15,0),MATCH(VLOOKUP(A79,PROGRAMAS!$A$4:$G$103,7,FALSE()),PRECIOS_TINTORERIA!$B$3:$U$3,0)),0)</f>
        <v>0</v>
      </c>
      <c r="X79" s="56"/>
      <c r="Y79" s="57"/>
      <c r="Z79" s="58">
        <f t="shared" si="4"/>
        <v>0</v>
      </c>
      <c r="AA79" s="56"/>
      <c r="AB79" s="56"/>
      <c r="AC79" s="56"/>
      <c r="AD79" s="23">
        <f>IFERROR((SUMIFS(COMPRAS_HILO!$H$4:$H$203,COMPRAS_HILO!$B$4:$B$203,A79))*F79/SUMIFS($F$4:$F$503,$A$4:$A$503,A79),0)</f>
        <v>0</v>
      </c>
      <c r="AE79" s="23">
        <f t="shared" si="5"/>
        <v>0</v>
      </c>
      <c r="AF79" s="23">
        <f t="shared" si="6"/>
        <v>0</v>
      </c>
      <c r="AG79" s="25">
        <f t="shared" si="7"/>
        <v>0</v>
      </c>
      <c r="AH79" s="25">
        <f t="shared" si="8"/>
        <v>0</v>
      </c>
      <c r="AI79" s="59"/>
    </row>
    <row r="80" ht="15.75" customHeight="1">
      <c r="A80" s="40"/>
      <c r="B80" s="33"/>
      <c r="C80" s="45" t="str">
        <f>IFERROR(VLOOKUP(B80,COLORES!$A$4:$B$52,2,FALSE()),"")</f>
        <v/>
      </c>
      <c r="D80" s="33"/>
      <c r="E80" s="46"/>
      <c r="F80" s="34"/>
      <c r="G80" s="33"/>
      <c r="H80" s="47"/>
      <c r="I80" s="47"/>
      <c r="J80" s="48">
        <f>IFERROR(VLOOKUP(VLOOKUP(A80,PROGRAMAS!$A$4:$G$103,7,FALSE()),PRECIOS_TEJEDURIA!$A$4:$B$22,2,FALSE()),0)</f>
        <v>0</v>
      </c>
      <c r="K80" s="49"/>
      <c r="L80" s="50"/>
      <c r="M80" s="51">
        <f t="shared" si="1"/>
        <v>0</v>
      </c>
      <c r="N80" s="49"/>
      <c r="O80" s="49"/>
      <c r="P80" s="49"/>
      <c r="Q80" s="52"/>
      <c r="R80" s="53"/>
      <c r="S80" s="53"/>
      <c r="T80" s="54"/>
      <c r="U80" s="19">
        <f t="shared" si="2"/>
        <v>0</v>
      </c>
      <c r="V80" s="20">
        <f t="shared" si="3"/>
        <v>0</v>
      </c>
      <c r="W80" s="55">
        <f t="array" ref="W80">IFERROR(INDEX(PRECIOS_TINTORERIA!$B$4:$U$15,MATCH(D80,PRECIOS_TINTORERIA!$A$4:$A$15,0),MATCH(VLOOKUP(A80,PROGRAMAS!$A$4:$G$103,7,FALSE()),PRECIOS_TINTORERIA!$B$3:$U$3,0)),0)</f>
        <v>0</v>
      </c>
      <c r="X80" s="56"/>
      <c r="Y80" s="57"/>
      <c r="Z80" s="58">
        <f t="shared" si="4"/>
        <v>0</v>
      </c>
      <c r="AA80" s="56"/>
      <c r="AB80" s="56"/>
      <c r="AC80" s="56"/>
      <c r="AD80" s="23">
        <f>IFERROR((SUMIFS(COMPRAS_HILO!$H$4:$H$203,COMPRAS_HILO!$B$4:$B$203,A80))*F80/SUMIFS($F$4:$F$503,$A$4:$A$503,A80),0)</f>
        <v>0</v>
      </c>
      <c r="AE80" s="23">
        <f t="shared" si="5"/>
        <v>0</v>
      </c>
      <c r="AF80" s="23">
        <f t="shared" si="6"/>
        <v>0</v>
      </c>
      <c r="AG80" s="25">
        <f t="shared" si="7"/>
        <v>0</v>
      </c>
      <c r="AH80" s="25">
        <f t="shared" si="8"/>
        <v>0</v>
      </c>
      <c r="AI80" s="59"/>
    </row>
    <row r="81" ht="15.75" customHeight="1">
      <c r="A81" s="40"/>
      <c r="B81" s="33"/>
      <c r="C81" s="45" t="str">
        <f>IFERROR(VLOOKUP(B81,COLORES!$A$4:$B$52,2,FALSE()),"")</f>
        <v/>
      </c>
      <c r="D81" s="33"/>
      <c r="E81" s="46"/>
      <c r="F81" s="34"/>
      <c r="G81" s="33"/>
      <c r="H81" s="47"/>
      <c r="I81" s="47"/>
      <c r="J81" s="48">
        <f>IFERROR(VLOOKUP(VLOOKUP(A81,PROGRAMAS!$A$4:$G$103,7,FALSE()),PRECIOS_TEJEDURIA!$A$4:$B$22,2,FALSE()),0)</f>
        <v>0</v>
      </c>
      <c r="K81" s="49"/>
      <c r="L81" s="50"/>
      <c r="M81" s="51">
        <f t="shared" si="1"/>
        <v>0</v>
      </c>
      <c r="N81" s="49"/>
      <c r="O81" s="49"/>
      <c r="P81" s="49"/>
      <c r="Q81" s="52"/>
      <c r="R81" s="53"/>
      <c r="S81" s="53"/>
      <c r="T81" s="54"/>
      <c r="U81" s="19">
        <f t="shared" si="2"/>
        <v>0</v>
      </c>
      <c r="V81" s="20">
        <f t="shared" si="3"/>
        <v>0</v>
      </c>
      <c r="W81" s="55">
        <f t="array" ref="W81">IFERROR(INDEX(PRECIOS_TINTORERIA!$B$4:$U$15,MATCH(D81,PRECIOS_TINTORERIA!$A$4:$A$15,0),MATCH(VLOOKUP(A81,PROGRAMAS!$A$4:$G$103,7,FALSE()),PRECIOS_TINTORERIA!$B$3:$U$3,0)),0)</f>
        <v>0</v>
      </c>
      <c r="X81" s="56"/>
      <c r="Y81" s="57"/>
      <c r="Z81" s="58">
        <f t="shared" si="4"/>
        <v>0</v>
      </c>
      <c r="AA81" s="56"/>
      <c r="AB81" s="56"/>
      <c r="AC81" s="56"/>
      <c r="AD81" s="23">
        <f>IFERROR((SUMIFS(COMPRAS_HILO!$H$4:$H$203,COMPRAS_HILO!$B$4:$B$203,A81))*F81/SUMIFS($F$4:$F$503,$A$4:$A$503,A81),0)</f>
        <v>0</v>
      </c>
      <c r="AE81" s="23">
        <f t="shared" si="5"/>
        <v>0</v>
      </c>
      <c r="AF81" s="23">
        <f t="shared" si="6"/>
        <v>0</v>
      </c>
      <c r="AG81" s="25">
        <f t="shared" si="7"/>
        <v>0</v>
      </c>
      <c r="AH81" s="25">
        <f t="shared" si="8"/>
        <v>0</v>
      </c>
      <c r="AI81" s="59"/>
    </row>
    <row r="82" ht="15.75" customHeight="1">
      <c r="A82" s="40"/>
      <c r="B82" s="33"/>
      <c r="C82" s="45" t="str">
        <f>IFERROR(VLOOKUP(B82,COLORES!$A$4:$B$52,2,FALSE()),"")</f>
        <v/>
      </c>
      <c r="D82" s="33"/>
      <c r="E82" s="46"/>
      <c r="F82" s="34"/>
      <c r="G82" s="33"/>
      <c r="H82" s="47"/>
      <c r="I82" s="47"/>
      <c r="J82" s="48">
        <f>IFERROR(VLOOKUP(VLOOKUP(A82,PROGRAMAS!$A$4:$G$103,7,FALSE()),PRECIOS_TEJEDURIA!$A$4:$B$22,2,FALSE()),0)</f>
        <v>0</v>
      </c>
      <c r="K82" s="49"/>
      <c r="L82" s="50"/>
      <c r="M82" s="51">
        <f t="shared" si="1"/>
        <v>0</v>
      </c>
      <c r="N82" s="49"/>
      <c r="O82" s="49"/>
      <c r="P82" s="49"/>
      <c r="Q82" s="52"/>
      <c r="R82" s="53"/>
      <c r="S82" s="53"/>
      <c r="T82" s="54"/>
      <c r="U82" s="19">
        <f t="shared" si="2"/>
        <v>0</v>
      </c>
      <c r="V82" s="20">
        <f t="shared" si="3"/>
        <v>0</v>
      </c>
      <c r="W82" s="55">
        <f t="array" ref="W82">IFERROR(INDEX(PRECIOS_TINTORERIA!$B$4:$U$15,MATCH(D82,PRECIOS_TINTORERIA!$A$4:$A$15,0),MATCH(VLOOKUP(A82,PROGRAMAS!$A$4:$G$103,7,FALSE()),PRECIOS_TINTORERIA!$B$3:$U$3,0)),0)</f>
        <v>0</v>
      </c>
      <c r="X82" s="56"/>
      <c r="Y82" s="57"/>
      <c r="Z82" s="58">
        <f t="shared" si="4"/>
        <v>0</v>
      </c>
      <c r="AA82" s="56"/>
      <c r="AB82" s="56"/>
      <c r="AC82" s="56"/>
      <c r="AD82" s="23">
        <f>IFERROR((SUMIFS(COMPRAS_HILO!$H$4:$H$203,COMPRAS_HILO!$B$4:$B$203,A82))*F82/SUMIFS($F$4:$F$503,$A$4:$A$503,A82),0)</f>
        <v>0</v>
      </c>
      <c r="AE82" s="23">
        <f t="shared" si="5"/>
        <v>0</v>
      </c>
      <c r="AF82" s="23">
        <f t="shared" si="6"/>
        <v>0</v>
      </c>
      <c r="AG82" s="25">
        <f t="shared" si="7"/>
        <v>0</v>
      </c>
      <c r="AH82" s="25">
        <f t="shared" si="8"/>
        <v>0</v>
      </c>
      <c r="AI82" s="59"/>
    </row>
    <row r="83" ht="15.75" customHeight="1">
      <c r="A83" s="40"/>
      <c r="B83" s="33"/>
      <c r="C83" s="45" t="str">
        <f>IFERROR(VLOOKUP(B83,COLORES!$A$4:$B$52,2,FALSE()),"")</f>
        <v/>
      </c>
      <c r="D83" s="33"/>
      <c r="E83" s="46"/>
      <c r="F83" s="34"/>
      <c r="G83" s="33"/>
      <c r="H83" s="47"/>
      <c r="I83" s="47"/>
      <c r="J83" s="48">
        <f>IFERROR(VLOOKUP(VLOOKUP(A83,PROGRAMAS!$A$4:$G$103,7,FALSE()),PRECIOS_TEJEDURIA!$A$4:$B$22,2,FALSE()),0)</f>
        <v>0</v>
      </c>
      <c r="K83" s="49"/>
      <c r="L83" s="50"/>
      <c r="M83" s="51">
        <f t="shared" si="1"/>
        <v>0</v>
      </c>
      <c r="N83" s="49"/>
      <c r="O83" s="49"/>
      <c r="P83" s="49"/>
      <c r="Q83" s="52"/>
      <c r="R83" s="53"/>
      <c r="S83" s="53"/>
      <c r="T83" s="54"/>
      <c r="U83" s="19">
        <f t="shared" si="2"/>
        <v>0</v>
      </c>
      <c r="V83" s="20">
        <f t="shared" si="3"/>
        <v>0</v>
      </c>
      <c r="W83" s="55">
        <f t="array" ref="W83">IFERROR(INDEX(PRECIOS_TINTORERIA!$B$4:$U$15,MATCH(D83,PRECIOS_TINTORERIA!$A$4:$A$15,0),MATCH(VLOOKUP(A83,PROGRAMAS!$A$4:$G$103,7,FALSE()),PRECIOS_TINTORERIA!$B$3:$U$3,0)),0)</f>
        <v>0</v>
      </c>
      <c r="X83" s="56"/>
      <c r="Y83" s="57"/>
      <c r="Z83" s="58">
        <f t="shared" si="4"/>
        <v>0</v>
      </c>
      <c r="AA83" s="56"/>
      <c r="AB83" s="56"/>
      <c r="AC83" s="56"/>
      <c r="AD83" s="23">
        <f>IFERROR((SUMIFS(COMPRAS_HILO!$H$4:$H$203,COMPRAS_HILO!$B$4:$B$203,A83))*F83/SUMIFS($F$4:$F$503,$A$4:$A$503,A83),0)</f>
        <v>0</v>
      </c>
      <c r="AE83" s="23">
        <f t="shared" si="5"/>
        <v>0</v>
      </c>
      <c r="AF83" s="23">
        <f t="shared" si="6"/>
        <v>0</v>
      </c>
      <c r="AG83" s="25">
        <f t="shared" si="7"/>
        <v>0</v>
      </c>
      <c r="AH83" s="25">
        <f t="shared" si="8"/>
        <v>0</v>
      </c>
      <c r="AI83" s="59"/>
    </row>
    <row r="84" ht="15.75" customHeight="1">
      <c r="A84" s="40"/>
      <c r="B84" s="33"/>
      <c r="C84" s="45" t="str">
        <f>IFERROR(VLOOKUP(B84,COLORES!$A$4:$B$52,2,FALSE()),"")</f>
        <v/>
      </c>
      <c r="D84" s="33"/>
      <c r="E84" s="46"/>
      <c r="F84" s="34"/>
      <c r="G84" s="33"/>
      <c r="H84" s="47"/>
      <c r="I84" s="47"/>
      <c r="J84" s="48">
        <f>IFERROR(VLOOKUP(VLOOKUP(A84,PROGRAMAS!$A$4:$G$103,7,FALSE()),PRECIOS_TEJEDURIA!$A$4:$B$22,2,FALSE()),0)</f>
        <v>0</v>
      </c>
      <c r="K84" s="49"/>
      <c r="L84" s="50"/>
      <c r="M84" s="51">
        <f t="shared" si="1"/>
        <v>0</v>
      </c>
      <c r="N84" s="49"/>
      <c r="O84" s="49"/>
      <c r="P84" s="49"/>
      <c r="Q84" s="52"/>
      <c r="R84" s="53"/>
      <c r="S84" s="53"/>
      <c r="T84" s="54"/>
      <c r="U84" s="19">
        <f t="shared" si="2"/>
        <v>0</v>
      </c>
      <c r="V84" s="20">
        <f t="shared" si="3"/>
        <v>0</v>
      </c>
      <c r="W84" s="55">
        <f t="array" ref="W84">IFERROR(INDEX(PRECIOS_TINTORERIA!$B$4:$U$15,MATCH(D84,PRECIOS_TINTORERIA!$A$4:$A$15,0),MATCH(VLOOKUP(A84,PROGRAMAS!$A$4:$G$103,7,FALSE()),PRECIOS_TINTORERIA!$B$3:$U$3,0)),0)</f>
        <v>0</v>
      </c>
      <c r="X84" s="56"/>
      <c r="Y84" s="57"/>
      <c r="Z84" s="58">
        <f t="shared" si="4"/>
        <v>0</v>
      </c>
      <c r="AA84" s="56"/>
      <c r="AB84" s="56"/>
      <c r="AC84" s="56"/>
      <c r="AD84" s="23">
        <f>IFERROR((SUMIFS(COMPRAS_HILO!$H$4:$H$203,COMPRAS_HILO!$B$4:$B$203,A84))*F84/SUMIFS($F$4:$F$503,$A$4:$A$503,A84),0)</f>
        <v>0</v>
      </c>
      <c r="AE84" s="23">
        <f t="shared" si="5"/>
        <v>0</v>
      </c>
      <c r="AF84" s="23">
        <f t="shared" si="6"/>
        <v>0</v>
      </c>
      <c r="AG84" s="25">
        <f t="shared" si="7"/>
        <v>0</v>
      </c>
      <c r="AH84" s="25">
        <f t="shared" si="8"/>
        <v>0</v>
      </c>
      <c r="AI84" s="59"/>
    </row>
    <row r="85" ht="15.75" customHeight="1">
      <c r="A85" s="40"/>
      <c r="B85" s="33"/>
      <c r="C85" s="45" t="str">
        <f>IFERROR(VLOOKUP(B85,COLORES!$A$4:$B$52,2,FALSE()),"")</f>
        <v/>
      </c>
      <c r="D85" s="33"/>
      <c r="E85" s="46"/>
      <c r="F85" s="34"/>
      <c r="G85" s="33"/>
      <c r="H85" s="47"/>
      <c r="I85" s="47"/>
      <c r="J85" s="48">
        <f>IFERROR(VLOOKUP(VLOOKUP(A85,PROGRAMAS!$A$4:$G$103,7,FALSE()),PRECIOS_TEJEDURIA!$A$4:$B$22,2,FALSE()),0)</f>
        <v>0</v>
      </c>
      <c r="K85" s="49"/>
      <c r="L85" s="50"/>
      <c r="M85" s="51">
        <f t="shared" si="1"/>
        <v>0</v>
      </c>
      <c r="N85" s="49"/>
      <c r="O85" s="49"/>
      <c r="P85" s="49"/>
      <c r="Q85" s="52"/>
      <c r="R85" s="53"/>
      <c r="S85" s="53"/>
      <c r="T85" s="54"/>
      <c r="U85" s="19">
        <f t="shared" si="2"/>
        <v>0</v>
      </c>
      <c r="V85" s="20">
        <f t="shared" si="3"/>
        <v>0</v>
      </c>
      <c r="W85" s="55">
        <f t="array" ref="W85">IFERROR(INDEX(PRECIOS_TINTORERIA!$B$4:$U$15,MATCH(D85,PRECIOS_TINTORERIA!$A$4:$A$15,0),MATCH(VLOOKUP(A85,PROGRAMAS!$A$4:$G$103,7,FALSE()),PRECIOS_TINTORERIA!$B$3:$U$3,0)),0)</f>
        <v>0</v>
      </c>
      <c r="X85" s="56"/>
      <c r="Y85" s="57"/>
      <c r="Z85" s="58">
        <f t="shared" si="4"/>
        <v>0</v>
      </c>
      <c r="AA85" s="56"/>
      <c r="AB85" s="56"/>
      <c r="AC85" s="56"/>
      <c r="AD85" s="23">
        <f>IFERROR((SUMIFS(COMPRAS_HILO!$H$4:$H$203,COMPRAS_HILO!$B$4:$B$203,A85))*F85/SUMIFS($F$4:$F$503,$A$4:$A$503,A85),0)</f>
        <v>0</v>
      </c>
      <c r="AE85" s="23">
        <f t="shared" si="5"/>
        <v>0</v>
      </c>
      <c r="AF85" s="23">
        <f t="shared" si="6"/>
        <v>0</v>
      </c>
      <c r="AG85" s="25">
        <f t="shared" si="7"/>
        <v>0</v>
      </c>
      <c r="AH85" s="25">
        <f t="shared" si="8"/>
        <v>0</v>
      </c>
      <c r="AI85" s="59"/>
    </row>
    <row r="86" ht="15.75" customHeight="1">
      <c r="A86" s="40"/>
      <c r="B86" s="33"/>
      <c r="C86" s="45" t="str">
        <f>IFERROR(VLOOKUP(B86,COLORES!$A$4:$B$52,2,FALSE()),"")</f>
        <v/>
      </c>
      <c r="D86" s="33"/>
      <c r="E86" s="46"/>
      <c r="F86" s="34"/>
      <c r="G86" s="33"/>
      <c r="H86" s="47"/>
      <c r="I86" s="47"/>
      <c r="J86" s="48">
        <f>IFERROR(VLOOKUP(VLOOKUP(A86,PROGRAMAS!$A$4:$G$103,7,FALSE()),PRECIOS_TEJEDURIA!$A$4:$B$22,2,FALSE()),0)</f>
        <v>0</v>
      </c>
      <c r="K86" s="49"/>
      <c r="L86" s="50"/>
      <c r="M86" s="51">
        <f t="shared" si="1"/>
        <v>0</v>
      </c>
      <c r="N86" s="49"/>
      <c r="O86" s="49"/>
      <c r="P86" s="49"/>
      <c r="Q86" s="52"/>
      <c r="R86" s="53"/>
      <c r="S86" s="53"/>
      <c r="T86" s="54"/>
      <c r="U86" s="19">
        <f t="shared" si="2"/>
        <v>0</v>
      </c>
      <c r="V86" s="20">
        <f t="shared" si="3"/>
        <v>0</v>
      </c>
      <c r="W86" s="55">
        <f t="array" ref="W86">IFERROR(INDEX(PRECIOS_TINTORERIA!$B$4:$U$15,MATCH(D86,PRECIOS_TINTORERIA!$A$4:$A$15,0),MATCH(VLOOKUP(A86,PROGRAMAS!$A$4:$G$103,7,FALSE()),PRECIOS_TINTORERIA!$B$3:$U$3,0)),0)</f>
        <v>0</v>
      </c>
      <c r="X86" s="56"/>
      <c r="Y86" s="57"/>
      <c r="Z86" s="58">
        <f t="shared" si="4"/>
        <v>0</v>
      </c>
      <c r="AA86" s="56"/>
      <c r="AB86" s="56"/>
      <c r="AC86" s="56"/>
      <c r="AD86" s="23">
        <f>IFERROR((SUMIFS(COMPRAS_HILO!$H$4:$H$203,COMPRAS_HILO!$B$4:$B$203,A86))*F86/SUMIFS($F$4:$F$503,$A$4:$A$503,A86),0)</f>
        <v>0</v>
      </c>
      <c r="AE86" s="23">
        <f t="shared" si="5"/>
        <v>0</v>
      </c>
      <c r="AF86" s="23">
        <f t="shared" si="6"/>
        <v>0</v>
      </c>
      <c r="AG86" s="25">
        <f t="shared" si="7"/>
        <v>0</v>
      </c>
      <c r="AH86" s="25">
        <f t="shared" si="8"/>
        <v>0</v>
      </c>
      <c r="AI86" s="59"/>
    </row>
    <row r="87" ht="15.75" customHeight="1">
      <c r="A87" s="40"/>
      <c r="B87" s="33"/>
      <c r="C87" s="45" t="str">
        <f>IFERROR(VLOOKUP(B87,COLORES!$A$4:$B$52,2,FALSE()),"")</f>
        <v/>
      </c>
      <c r="D87" s="33"/>
      <c r="E87" s="46"/>
      <c r="F87" s="34"/>
      <c r="G87" s="33"/>
      <c r="H87" s="47"/>
      <c r="I87" s="47"/>
      <c r="J87" s="48">
        <f>IFERROR(VLOOKUP(VLOOKUP(A87,PROGRAMAS!$A$4:$G$103,7,FALSE()),PRECIOS_TEJEDURIA!$A$4:$B$22,2,FALSE()),0)</f>
        <v>0</v>
      </c>
      <c r="K87" s="49"/>
      <c r="L87" s="50"/>
      <c r="M87" s="51">
        <f t="shared" si="1"/>
        <v>0</v>
      </c>
      <c r="N87" s="49"/>
      <c r="O87" s="49"/>
      <c r="P87" s="49"/>
      <c r="Q87" s="52"/>
      <c r="R87" s="53"/>
      <c r="S87" s="53"/>
      <c r="T87" s="54"/>
      <c r="U87" s="19">
        <f t="shared" si="2"/>
        <v>0</v>
      </c>
      <c r="V87" s="20">
        <f t="shared" si="3"/>
        <v>0</v>
      </c>
      <c r="W87" s="55">
        <f t="array" ref="W87">IFERROR(INDEX(PRECIOS_TINTORERIA!$B$4:$U$15,MATCH(D87,PRECIOS_TINTORERIA!$A$4:$A$15,0),MATCH(VLOOKUP(A87,PROGRAMAS!$A$4:$G$103,7,FALSE()),PRECIOS_TINTORERIA!$B$3:$U$3,0)),0)</f>
        <v>0</v>
      </c>
      <c r="X87" s="56"/>
      <c r="Y87" s="57"/>
      <c r="Z87" s="58">
        <f t="shared" si="4"/>
        <v>0</v>
      </c>
      <c r="AA87" s="56"/>
      <c r="AB87" s="56"/>
      <c r="AC87" s="56"/>
      <c r="AD87" s="23">
        <f>IFERROR((SUMIFS(COMPRAS_HILO!$H$4:$H$203,COMPRAS_HILO!$B$4:$B$203,A87))*F87/SUMIFS($F$4:$F$503,$A$4:$A$503,A87),0)</f>
        <v>0</v>
      </c>
      <c r="AE87" s="23">
        <f t="shared" si="5"/>
        <v>0</v>
      </c>
      <c r="AF87" s="23">
        <f t="shared" si="6"/>
        <v>0</v>
      </c>
      <c r="AG87" s="25">
        <f t="shared" si="7"/>
        <v>0</v>
      </c>
      <c r="AH87" s="25">
        <f t="shared" si="8"/>
        <v>0</v>
      </c>
      <c r="AI87" s="59"/>
    </row>
    <row r="88" ht="15.75" customHeight="1">
      <c r="A88" s="40"/>
      <c r="B88" s="33"/>
      <c r="C88" s="45" t="str">
        <f>IFERROR(VLOOKUP(B88,COLORES!$A$4:$B$52,2,FALSE()),"")</f>
        <v/>
      </c>
      <c r="D88" s="33"/>
      <c r="E88" s="46"/>
      <c r="F88" s="34"/>
      <c r="G88" s="33"/>
      <c r="H88" s="47"/>
      <c r="I88" s="47"/>
      <c r="J88" s="48">
        <f>IFERROR(VLOOKUP(VLOOKUP(A88,PROGRAMAS!$A$4:$G$103,7,FALSE()),PRECIOS_TEJEDURIA!$A$4:$B$22,2,FALSE()),0)</f>
        <v>0</v>
      </c>
      <c r="K88" s="49"/>
      <c r="L88" s="50"/>
      <c r="M88" s="51">
        <f t="shared" si="1"/>
        <v>0</v>
      </c>
      <c r="N88" s="49"/>
      <c r="O88" s="49"/>
      <c r="P88" s="49"/>
      <c r="Q88" s="52"/>
      <c r="R88" s="53"/>
      <c r="S88" s="53"/>
      <c r="T88" s="54"/>
      <c r="U88" s="19">
        <f t="shared" si="2"/>
        <v>0</v>
      </c>
      <c r="V88" s="20">
        <f t="shared" si="3"/>
        <v>0</v>
      </c>
      <c r="W88" s="55">
        <f t="array" ref="W88">IFERROR(INDEX(PRECIOS_TINTORERIA!$B$4:$U$15,MATCH(D88,PRECIOS_TINTORERIA!$A$4:$A$15,0),MATCH(VLOOKUP(A88,PROGRAMAS!$A$4:$G$103,7,FALSE()),PRECIOS_TINTORERIA!$B$3:$U$3,0)),0)</f>
        <v>0</v>
      </c>
      <c r="X88" s="56"/>
      <c r="Y88" s="57"/>
      <c r="Z88" s="58">
        <f t="shared" si="4"/>
        <v>0</v>
      </c>
      <c r="AA88" s="56"/>
      <c r="AB88" s="56"/>
      <c r="AC88" s="56"/>
      <c r="AD88" s="23">
        <f>IFERROR((SUMIFS(COMPRAS_HILO!$H$4:$H$203,COMPRAS_HILO!$B$4:$B$203,A88))*F88/SUMIFS($F$4:$F$503,$A$4:$A$503,A88),0)</f>
        <v>0</v>
      </c>
      <c r="AE88" s="23">
        <f t="shared" si="5"/>
        <v>0</v>
      </c>
      <c r="AF88" s="23">
        <f t="shared" si="6"/>
        <v>0</v>
      </c>
      <c r="AG88" s="25">
        <f t="shared" si="7"/>
        <v>0</v>
      </c>
      <c r="AH88" s="25">
        <f t="shared" si="8"/>
        <v>0</v>
      </c>
      <c r="AI88" s="59"/>
    </row>
    <row r="89" ht="15.75" customHeight="1">
      <c r="A89" s="40"/>
      <c r="B89" s="33"/>
      <c r="C89" s="45" t="str">
        <f>IFERROR(VLOOKUP(B89,COLORES!$A$4:$B$52,2,FALSE()),"")</f>
        <v/>
      </c>
      <c r="D89" s="33"/>
      <c r="E89" s="46"/>
      <c r="F89" s="34"/>
      <c r="G89" s="33"/>
      <c r="H89" s="47"/>
      <c r="I89" s="47"/>
      <c r="J89" s="48">
        <f>IFERROR(VLOOKUP(VLOOKUP(A89,PROGRAMAS!$A$4:$G$103,7,FALSE()),PRECIOS_TEJEDURIA!$A$4:$B$22,2,FALSE()),0)</f>
        <v>0</v>
      </c>
      <c r="K89" s="49"/>
      <c r="L89" s="50"/>
      <c r="M89" s="51">
        <f t="shared" si="1"/>
        <v>0</v>
      </c>
      <c r="N89" s="49"/>
      <c r="O89" s="49"/>
      <c r="P89" s="49"/>
      <c r="Q89" s="52"/>
      <c r="R89" s="53"/>
      <c r="S89" s="53"/>
      <c r="T89" s="54"/>
      <c r="U89" s="19">
        <f t="shared" si="2"/>
        <v>0</v>
      </c>
      <c r="V89" s="20">
        <f t="shared" si="3"/>
        <v>0</v>
      </c>
      <c r="W89" s="55">
        <f t="array" ref="W89">IFERROR(INDEX(PRECIOS_TINTORERIA!$B$4:$U$15,MATCH(D89,PRECIOS_TINTORERIA!$A$4:$A$15,0),MATCH(VLOOKUP(A89,PROGRAMAS!$A$4:$G$103,7,FALSE()),PRECIOS_TINTORERIA!$B$3:$U$3,0)),0)</f>
        <v>0</v>
      </c>
      <c r="X89" s="56"/>
      <c r="Y89" s="57"/>
      <c r="Z89" s="58">
        <f t="shared" si="4"/>
        <v>0</v>
      </c>
      <c r="AA89" s="56"/>
      <c r="AB89" s="56"/>
      <c r="AC89" s="56"/>
      <c r="AD89" s="23">
        <f>IFERROR((SUMIFS(COMPRAS_HILO!$H$4:$H$203,COMPRAS_HILO!$B$4:$B$203,A89))*F89/SUMIFS($F$4:$F$503,$A$4:$A$503,A89),0)</f>
        <v>0</v>
      </c>
      <c r="AE89" s="23">
        <f t="shared" si="5"/>
        <v>0</v>
      </c>
      <c r="AF89" s="23">
        <f t="shared" si="6"/>
        <v>0</v>
      </c>
      <c r="AG89" s="25">
        <f t="shared" si="7"/>
        <v>0</v>
      </c>
      <c r="AH89" s="25">
        <f t="shared" si="8"/>
        <v>0</v>
      </c>
      <c r="AI89" s="59"/>
    </row>
    <row r="90" ht="15.75" customHeight="1">
      <c r="A90" s="40"/>
      <c r="B90" s="33"/>
      <c r="C90" s="45" t="str">
        <f>IFERROR(VLOOKUP(B90,COLORES!$A$4:$B$52,2,FALSE()),"")</f>
        <v/>
      </c>
      <c r="D90" s="33"/>
      <c r="E90" s="46"/>
      <c r="F90" s="34"/>
      <c r="G90" s="33"/>
      <c r="H90" s="47"/>
      <c r="I90" s="47"/>
      <c r="J90" s="48">
        <f>IFERROR(VLOOKUP(VLOOKUP(A90,PROGRAMAS!$A$4:$G$103,7,FALSE()),PRECIOS_TEJEDURIA!$A$4:$B$22,2,FALSE()),0)</f>
        <v>0</v>
      </c>
      <c r="K90" s="49"/>
      <c r="L90" s="50"/>
      <c r="M90" s="51">
        <f t="shared" si="1"/>
        <v>0</v>
      </c>
      <c r="N90" s="49"/>
      <c r="O90" s="49"/>
      <c r="P90" s="49"/>
      <c r="Q90" s="52"/>
      <c r="R90" s="53"/>
      <c r="S90" s="53"/>
      <c r="T90" s="54"/>
      <c r="U90" s="19">
        <f t="shared" si="2"/>
        <v>0</v>
      </c>
      <c r="V90" s="20">
        <f t="shared" si="3"/>
        <v>0</v>
      </c>
      <c r="W90" s="55">
        <f t="array" ref="W90">IFERROR(INDEX(PRECIOS_TINTORERIA!$B$4:$U$15,MATCH(D90,PRECIOS_TINTORERIA!$A$4:$A$15,0),MATCH(VLOOKUP(A90,PROGRAMAS!$A$4:$G$103,7,FALSE()),PRECIOS_TINTORERIA!$B$3:$U$3,0)),0)</f>
        <v>0</v>
      </c>
      <c r="X90" s="56"/>
      <c r="Y90" s="57"/>
      <c r="Z90" s="58">
        <f t="shared" si="4"/>
        <v>0</v>
      </c>
      <c r="AA90" s="56"/>
      <c r="AB90" s="56"/>
      <c r="AC90" s="56"/>
      <c r="AD90" s="23">
        <f>IFERROR((SUMIFS(COMPRAS_HILO!$H$4:$H$203,COMPRAS_HILO!$B$4:$B$203,A90))*F90/SUMIFS($F$4:$F$503,$A$4:$A$503,A90),0)</f>
        <v>0</v>
      </c>
      <c r="AE90" s="23">
        <f t="shared" si="5"/>
        <v>0</v>
      </c>
      <c r="AF90" s="23">
        <f t="shared" si="6"/>
        <v>0</v>
      </c>
      <c r="AG90" s="25">
        <f t="shared" si="7"/>
        <v>0</v>
      </c>
      <c r="AH90" s="25">
        <f t="shared" si="8"/>
        <v>0</v>
      </c>
      <c r="AI90" s="59"/>
    </row>
    <row r="91" ht="15.75" customHeight="1">
      <c r="A91" s="40"/>
      <c r="B91" s="33"/>
      <c r="C91" s="45" t="str">
        <f>IFERROR(VLOOKUP(B91,COLORES!$A$4:$B$52,2,FALSE()),"")</f>
        <v/>
      </c>
      <c r="D91" s="33"/>
      <c r="E91" s="46"/>
      <c r="F91" s="34"/>
      <c r="G91" s="33"/>
      <c r="H91" s="47"/>
      <c r="I91" s="47"/>
      <c r="J91" s="48">
        <f>IFERROR(VLOOKUP(VLOOKUP(A91,PROGRAMAS!$A$4:$G$103,7,FALSE()),PRECIOS_TEJEDURIA!$A$4:$B$22,2,FALSE()),0)</f>
        <v>0</v>
      </c>
      <c r="K91" s="49"/>
      <c r="L91" s="50"/>
      <c r="M91" s="51">
        <f t="shared" si="1"/>
        <v>0</v>
      </c>
      <c r="N91" s="49"/>
      <c r="O91" s="49"/>
      <c r="P91" s="49"/>
      <c r="Q91" s="52"/>
      <c r="R91" s="53"/>
      <c r="S91" s="53"/>
      <c r="T91" s="54"/>
      <c r="U91" s="19">
        <f t="shared" si="2"/>
        <v>0</v>
      </c>
      <c r="V91" s="20">
        <f t="shared" si="3"/>
        <v>0</v>
      </c>
      <c r="W91" s="55">
        <f t="array" ref="W91">IFERROR(INDEX(PRECIOS_TINTORERIA!$B$4:$U$15,MATCH(D91,PRECIOS_TINTORERIA!$A$4:$A$15,0),MATCH(VLOOKUP(A91,PROGRAMAS!$A$4:$G$103,7,FALSE()),PRECIOS_TINTORERIA!$B$3:$U$3,0)),0)</f>
        <v>0</v>
      </c>
      <c r="X91" s="56"/>
      <c r="Y91" s="57"/>
      <c r="Z91" s="58">
        <f t="shared" si="4"/>
        <v>0</v>
      </c>
      <c r="AA91" s="56"/>
      <c r="AB91" s="56"/>
      <c r="AC91" s="56"/>
      <c r="AD91" s="23">
        <f>IFERROR((SUMIFS(COMPRAS_HILO!$H$4:$H$203,COMPRAS_HILO!$B$4:$B$203,A91))*F91/SUMIFS($F$4:$F$503,$A$4:$A$503,A91),0)</f>
        <v>0</v>
      </c>
      <c r="AE91" s="23">
        <f t="shared" si="5"/>
        <v>0</v>
      </c>
      <c r="AF91" s="23">
        <f t="shared" si="6"/>
        <v>0</v>
      </c>
      <c r="AG91" s="25">
        <f t="shared" si="7"/>
        <v>0</v>
      </c>
      <c r="AH91" s="25">
        <f t="shared" si="8"/>
        <v>0</v>
      </c>
      <c r="AI91" s="59"/>
    </row>
    <row r="92" ht="15.75" customHeight="1">
      <c r="A92" s="40"/>
      <c r="B92" s="33"/>
      <c r="C92" s="45" t="str">
        <f>IFERROR(VLOOKUP(B92,COLORES!$A$4:$B$52,2,FALSE()),"")</f>
        <v/>
      </c>
      <c r="D92" s="33"/>
      <c r="E92" s="46"/>
      <c r="F92" s="34"/>
      <c r="G92" s="33"/>
      <c r="H92" s="47"/>
      <c r="I92" s="47"/>
      <c r="J92" s="48">
        <f>IFERROR(VLOOKUP(VLOOKUP(A92,PROGRAMAS!$A$4:$G$103,7,FALSE()),PRECIOS_TEJEDURIA!$A$4:$B$22,2,FALSE()),0)</f>
        <v>0</v>
      </c>
      <c r="K92" s="49"/>
      <c r="L92" s="50"/>
      <c r="M92" s="51">
        <f t="shared" si="1"/>
        <v>0</v>
      </c>
      <c r="N92" s="49"/>
      <c r="O92" s="49"/>
      <c r="P92" s="49"/>
      <c r="Q92" s="52"/>
      <c r="R92" s="53"/>
      <c r="S92" s="53"/>
      <c r="T92" s="54"/>
      <c r="U92" s="19">
        <f t="shared" si="2"/>
        <v>0</v>
      </c>
      <c r="V92" s="20">
        <f t="shared" si="3"/>
        <v>0</v>
      </c>
      <c r="W92" s="55">
        <f t="array" ref="W92">IFERROR(INDEX(PRECIOS_TINTORERIA!$B$4:$U$15,MATCH(D92,PRECIOS_TINTORERIA!$A$4:$A$15,0),MATCH(VLOOKUP(A92,PROGRAMAS!$A$4:$G$103,7,FALSE()),PRECIOS_TINTORERIA!$B$3:$U$3,0)),0)</f>
        <v>0</v>
      </c>
      <c r="X92" s="56"/>
      <c r="Y92" s="57"/>
      <c r="Z92" s="58">
        <f t="shared" si="4"/>
        <v>0</v>
      </c>
      <c r="AA92" s="56"/>
      <c r="AB92" s="56"/>
      <c r="AC92" s="56"/>
      <c r="AD92" s="23">
        <f>IFERROR((SUMIFS(COMPRAS_HILO!$H$4:$H$203,COMPRAS_HILO!$B$4:$B$203,A92))*F92/SUMIFS($F$4:$F$503,$A$4:$A$503,A92),0)</f>
        <v>0</v>
      </c>
      <c r="AE92" s="23">
        <f t="shared" si="5"/>
        <v>0</v>
      </c>
      <c r="AF92" s="23">
        <f t="shared" si="6"/>
        <v>0</v>
      </c>
      <c r="AG92" s="25">
        <f t="shared" si="7"/>
        <v>0</v>
      </c>
      <c r="AH92" s="25">
        <f t="shared" si="8"/>
        <v>0</v>
      </c>
      <c r="AI92" s="59"/>
    </row>
    <row r="93" ht="15.75" customHeight="1">
      <c r="A93" s="40"/>
      <c r="B93" s="33"/>
      <c r="C93" s="45" t="str">
        <f>IFERROR(VLOOKUP(B93,COLORES!$A$4:$B$52,2,FALSE()),"")</f>
        <v/>
      </c>
      <c r="D93" s="33"/>
      <c r="E93" s="46"/>
      <c r="F93" s="34"/>
      <c r="G93" s="33"/>
      <c r="H93" s="47"/>
      <c r="I93" s="47"/>
      <c r="J93" s="48">
        <f>IFERROR(VLOOKUP(VLOOKUP(A93,PROGRAMAS!$A$4:$G$103,7,FALSE()),PRECIOS_TEJEDURIA!$A$4:$B$22,2,FALSE()),0)</f>
        <v>0</v>
      </c>
      <c r="K93" s="49"/>
      <c r="L93" s="50"/>
      <c r="M93" s="51">
        <f t="shared" si="1"/>
        <v>0</v>
      </c>
      <c r="N93" s="49"/>
      <c r="O93" s="49"/>
      <c r="P93" s="49"/>
      <c r="Q93" s="52"/>
      <c r="R93" s="53"/>
      <c r="S93" s="53"/>
      <c r="T93" s="54"/>
      <c r="U93" s="19">
        <f t="shared" si="2"/>
        <v>0</v>
      </c>
      <c r="V93" s="20">
        <f t="shared" si="3"/>
        <v>0</v>
      </c>
      <c r="W93" s="55">
        <f t="array" ref="W93">IFERROR(INDEX(PRECIOS_TINTORERIA!$B$4:$U$15,MATCH(D93,PRECIOS_TINTORERIA!$A$4:$A$15,0),MATCH(VLOOKUP(A93,PROGRAMAS!$A$4:$G$103,7,FALSE()),PRECIOS_TINTORERIA!$B$3:$U$3,0)),0)</f>
        <v>0</v>
      </c>
      <c r="X93" s="56"/>
      <c r="Y93" s="57"/>
      <c r="Z93" s="58">
        <f t="shared" si="4"/>
        <v>0</v>
      </c>
      <c r="AA93" s="56"/>
      <c r="AB93" s="56"/>
      <c r="AC93" s="56"/>
      <c r="AD93" s="23">
        <f>IFERROR((SUMIFS(COMPRAS_HILO!$H$4:$H$203,COMPRAS_HILO!$B$4:$B$203,A93))*F93/SUMIFS($F$4:$F$503,$A$4:$A$503,A93),0)</f>
        <v>0</v>
      </c>
      <c r="AE93" s="23">
        <f t="shared" si="5"/>
        <v>0</v>
      </c>
      <c r="AF93" s="23">
        <f t="shared" si="6"/>
        <v>0</v>
      </c>
      <c r="AG93" s="25">
        <f t="shared" si="7"/>
        <v>0</v>
      </c>
      <c r="AH93" s="25">
        <f t="shared" si="8"/>
        <v>0</v>
      </c>
      <c r="AI93" s="59"/>
    </row>
    <row r="94" ht="15.75" customHeight="1">
      <c r="A94" s="40"/>
      <c r="B94" s="33"/>
      <c r="C94" s="45" t="str">
        <f>IFERROR(VLOOKUP(B94,COLORES!$A$4:$B$52,2,FALSE()),"")</f>
        <v/>
      </c>
      <c r="D94" s="33"/>
      <c r="E94" s="46"/>
      <c r="F94" s="34"/>
      <c r="G94" s="33"/>
      <c r="H94" s="47"/>
      <c r="I94" s="47"/>
      <c r="J94" s="48">
        <f>IFERROR(VLOOKUP(VLOOKUP(A94,PROGRAMAS!$A$4:$G$103,7,FALSE()),PRECIOS_TEJEDURIA!$A$4:$B$22,2,FALSE()),0)</f>
        <v>0</v>
      </c>
      <c r="K94" s="49"/>
      <c r="L94" s="50"/>
      <c r="M94" s="51">
        <f t="shared" si="1"/>
        <v>0</v>
      </c>
      <c r="N94" s="49"/>
      <c r="O94" s="49"/>
      <c r="P94" s="49"/>
      <c r="Q94" s="52"/>
      <c r="R94" s="53"/>
      <c r="S94" s="53"/>
      <c r="T94" s="54"/>
      <c r="U94" s="19">
        <f t="shared" si="2"/>
        <v>0</v>
      </c>
      <c r="V94" s="20">
        <f t="shared" si="3"/>
        <v>0</v>
      </c>
      <c r="W94" s="55">
        <f t="array" ref="W94">IFERROR(INDEX(PRECIOS_TINTORERIA!$B$4:$U$15,MATCH(D94,PRECIOS_TINTORERIA!$A$4:$A$15,0),MATCH(VLOOKUP(A94,PROGRAMAS!$A$4:$G$103,7,FALSE()),PRECIOS_TINTORERIA!$B$3:$U$3,0)),0)</f>
        <v>0</v>
      </c>
      <c r="X94" s="56"/>
      <c r="Y94" s="57"/>
      <c r="Z94" s="58">
        <f t="shared" si="4"/>
        <v>0</v>
      </c>
      <c r="AA94" s="56"/>
      <c r="AB94" s="56"/>
      <c r="AC94" s="56"/>
      <c r="AD94" s="23">
        <f>IFERROR((SUMIFS(COMPRAS_HILO!$H$4:$H$203,COMPRAS_HILO!$B$4:$B$203,A94))*F94/SUMIFS($F$4:$F$503,$A$4:$A$503,A94),0)</f>
        <v>0</v>
      </c>
      <c r="AE94" s="23">
        <f t="shared" si="5"/>
        <v>0</v>
      </c>
      <c r="AF94" s="23">
        <f t="shared" si="6"/>
        <v>0</v>
      </c>
      <c r="AG94" s="25">
        <f t="shared" si="7"/>
        <v>0</v>
      </c>
      <c r="AH94" s="25">
        <f t="shared" si="8"/>
        <v>0</v>
      </c>
      <c r="AI94" s="59"/>
    </row>
    <row r="95" ht="15.75" customHeight="1">
      <c r="A95" s="40"/>
      <c r="B95" s="33"/>
      <c r="C95" s="45" t="str">
        <f>IFERROR(VLOOKUP(B95,COLORES!$A$4:$B$52,2,FALSE()),"")</f>
        <v/>
      </c>
      <c r="D95" s="33"/>
      <c r="E95" s="46"/>
      <c r="F95" s="34"/>
      <c r="G95" s="33"/>
      <c r="H95" s="47"/>
      <c r="I95" s="47"/>
      <c r="J95" s="48">
        <f>IFERROR(VLOOKUP(VLOOKUP(A95,PROGRAMAS!$A$4:$G$103,7,FALSE()),PRECIOS_TEJEDURIA!$A$4:$B$22,2,FALSE()),0)</f>
        <v>0</v>
      </c>
      <c r="K95" s="49"/>
      <c r="L95" s="50"/>
      <c r="M95" s="51">
        <f t="shared" si="1"/>
        <v>0</v>
      </c>
      <c r="N95" s="49"/>
      <c r="O95" s="49"/>
      <c r="P95" s="49"/>
      <c r="Q95" s="52"/>
      <c r="R95" s="53"/>
      <c r="S95" s="53"/>
      <c r="T95" s="54"/>
      <c r="U95" s="19">
        <f t="shared" si="2"/>
        <v>0</v>
      </c>
      <c r="V95" s="20">
        <f t="shared" si="3"/>
        <v>0</v>
      </c>
      <c r="W95" s="55">
        <f t="array" ref="W95">IFERROR(INDEX(PRECIOS_TINTORERIA!$B$4:$U$15,MATCH(D95,PRECIOS_TINTORERIA!$A$4:$A$15,0),MATCH(VLOOKUP(A95,PROGRAMAS!$A$4:$G$103,7,FALSE()),PRECIOS_TINTORERIA!$B$3:$U$3,0)),0)</f>
        <v>0</v>
      </c>
      <c r="X95" s="56"/>
      <c r="Y95" s="57"/>
      <c r="Z95" s="58">
        <f t="shared" si="4"/>
        <v>0</v>
      </c>
      <c r="AA95" s="56"/>
      <c r="AB95" s="56"/>
      <c r="AC95" s="56"/>
      <c r="AD95" s="23">
        <f>IFERROR((SUMIFS(COMPRAS_HILO!$H$4:$H$203,COMPRAS_HILO!$B$4:$B$203,A95))*F95/SUMIFS($F$4:$F$503,$A$4:$A$503,A95),0)</f>
        <v>0</v>
      </c>
      <c r="AE95" s="23">
        <f t="shared" si="5"/>
        <v>0</v>
      </c>
      <c r="AF95" s="23">
        <f t="shared" si="6"/>
        <v>0</v>
      </c>
      <c r="AG95" s="25">
        <f t="shared" si="7"/>
        <v>0</v>
      </c>
      <c r="AH95" s="25">
        <f t="shared" si="8"/>
        <v>0</v>
      </c>
      <c r="AI95" s="59"/>
    </row>
    <row r="96" ht="15.75" customHeight="1">
      <c r="A96" s="40"/>
      <c r="B96" s="33"/>
      <c r="C96" s="45" t="str">
        <f>IFERROR(VLOOKUP(B96,COLORES!$A$4:$B$52,2,FALSE()),"")</f>
        <v/>
      </c>
      <c r="D96" s="33"/>
      <c r="E96" s="46"/>
      <c r="F96" s="34"/>
      <c r="G96" s="33"/>
      <c r="H96" s="47"/>
      <c r="I96" s="47"/>
      <c r="J96" s="48">
        <f>IFERROR(VLOOKUP(VLOOKUP(A96,PROGRAMAS!$A$4:$G$103,7,FALSE()),PRECIOS_TEJEDURIA!$A$4:$B$22,2,FALSE()),0)</f>
        <v>0</v>
      </c>
      <c r="K96" s="49"/>
      <c r="L96" s="50"/>
      <c r="M96" s="51">
        <f t="shared" si="1"/>
        <v>0</v>
      </c>
      <c r="N96" s="49"/>
      <c r="O96" s="49"/>
      <c r="P96" s="49"/>
      <c r="Q96" s="52"/>
      <c r="R96" s="53"/>
      <c r="S96" s="53"/>
      <c r="T96" s="54"/>
      <c r="U96" s="19">
        <f t="shared" si="2"/>
        <v>0</v>
      </c>
      <c r="V96" s="20">
        <f t="shared" si="3"/>
        <v>0</v>
      </c>
      <c r="W96" s="55">
        <f t="array" ref="W96">IFERROR(INDEX(PRECIOS_TINTORERIA!$B$4:$U$15,MATCH(D96,PRECIOS_TINTORERIA!$A$4:$A$15,0),MATCH(VLOOKUP(A96,PROGRAMAS!$A$4:$G$103,7,FALSE()),PRECIOS_TINTORERIA!$B$3:$U$3,0)),0)</f>
        <v>0</v>
      </c>
      <c r="X96" s="56"/>
      <c r="Y96" s="57"/>
      <c r="Z96" s="58">
        <f t="shared" si="4"/>
        <v>0</v>
      </c>
      <c r="AA96" s="56"/>
      <c r="AB96" s="56"/>
      <c r="AC96" s="56"/>
      <c r="AD96" s="23">
        <f>IFERROR((SUMIFS(COMPRAS_HILO!$H$4:$H$203,COMPRAS_HILO!$B$4:$B$203,A96))*F96/SUMIFS($F$4:$F$503,$A$4:$A$503,A96),0)</f>
        <v>0</v>
      </c>
      <c r="AE96" s="23">
        <f t="shared" si="5"/>
        <v>0</v>
      </c>
      <c r="AF96" s="23">
        <f t="shared" si="6"/>
        <v>0</v>
      </c>
      <c r="AG96" s="25">
        <f t="shared" si="7"/>
        <v>0</v>
      </c>
      <c r="AH96" s="25">
        <f t="shared" si="8"/>
        <v>0</v>
      </c>
      <c r="AI96" s="59"/>
    </row>
    <row r="97" ht="15.75" customHeight="1">
      <c r="A97" s="40"/>
      <c r="B97" s="33"/>
      <c r="C97" s="45" t="str">
        <f>IFERROR(VLOOKUP(B97,COLORES!$A$4:$B$52,2,FALSE()),"")</f>
        <v/>
      </c>
      <c r="D97" s="33"/>
      <c r="E97" s="46"/>
      <c r="F97" s="34"/>
      <c r="G97" s="33"/>
      <c r="H97" s="47"/>
      <c r="I97" s="47"/>
      <c r="J97" s="48">
        <f>IFERROR(VLOOKUP(VLOOKUP(A97,PROGRAMAS!$A$4:$G$103,7,FALSE()),PRECIOS_TEJEDURIA!$A$4:$B$22,2,FALSE()),0)</f>
        <v>0</v>
      </c>
      <c r="K97" s="49"/>
      <c r="L97" s="50"/>
      <c r="M97" s="51">
        <f t="shared" si="1"/>
        <v>0</v>
      </c>
      <c r="N97" s="49"/>
      <c r="O97" s="49"/>
      <c r="P97" s="49"/>
      <c r="Q97" s="52"/>
      <c r="R97" s="53"/>
      <c r="S97" s="53"/>
      <c r="T97" s="54"/>
      <c r="U97" s="19">
        <f t="shared" si="2"/>
        <v>0</v>
      </c>
      <c r="V97" s="20">
        <f t="shared" si="3"/>
        <v>0</v>
      </c>
      <c r="W97" s="55">
        <f t="array" ref="W97">IFERROR(INDEX(PRECIOS_TINTORERIA!$B$4:$U$15,MATCH(D97,PRECIOS_TINTORERIA!$A$4:$A$15,0),MATCH(VLOOKUP(A97,PROGRAMAS!$A$4:$G$103,7,FALSE()),PRECIOS_TINTORERIA!$B$3:$U$3,0)),0)</f>
        <v>0</v>
      </c>
      <c r="X97" s="56"/>
      <c r="Y97" s="57"/>
      <c r="Z97" s="58">
        <f t="shared" si="4"/>
        <v>0</v>
      </c>
      <c r="AA97" s="56"/>
      <c r="AB97" s="56"/>
      <c r="AC97" s="56"/>
      <c r="AD97" s="23">
        <f>IFERROR((SUMIFS(COMPRAS_HILO!$H$4:$H$203,COMPRAS_HILO!$B$4:$B$203,A97))*F97/SUMIFS($F$4:$F$503,$A$4:$A$503,A97),0)</f>
        <v>0</v>
      </c>
      <c r="AE97" s="23">
        <f t="shared" si="5"/>
        <v>0</v>
      </c>
      <c r="AF97" s="23">
        <f t="shared" si="6"/>
        <v>0</v>
      </c>
      <c r="AG97" s="25">
        <f t="shared" si="7"/>
        <v>0</v>
      </c>
      <c r="AH97" s="25">
        <f t="shared" si="8"/>
        <v>0</v>
      </c>
      <c r="AI97" s="59"/>
    </row>
    <row r="98" ht="15.75" customHeight="1">
      <c r="A98" s="40"/>
      <c r="B98" s="33"/>
      <c r="C98" s="45" t="str">
        <f>IFERROR(VLOOKUP(B98,COLORES!$A$4:$B$52,2,FALSE()),"")</f>
        <v/>
      </c>
      <c r="D98" s="33"/>
      <c r="E98" s="46"/>
      <c r="F98" s="34"/>
      <c r="G98" s="33"/>
      <c r="H98" s="47"/>
      <c r="I98" s="47"/>
      <c r="J98" s="48">
        <f>IFERROR(VLOOKUP(VLOOKUP(A98,PROGRAMAS!$A$4:$G$103,7,FALSE()),PRECIOS_TEJEDURIA!$A$4:$B$22,2,FALSE()),0)</f>
        <v>0</v>
      </c>
      <c r="K98" s="49"/>
      <c r="L98" s="50"/>
      <c r="M98" s="51">
        <f t="shared" si="1"/>
        <v>0</v>
      </c>
      <c r="N98" s="49"/>
      <c r="O98" s="49"/>
      <c r="P98" s="49"/>
      <c r="Q98" s="52"/>
      <c r="R98" s="53"/>
      <c r="S98" s="53"/>
      <c r="T98" s="54"/>
      <c r="U98" s="19">
        <f t="shared" si="2"/>
        <v>0</v>
      </c>
      <c r="V98" s="20">
        <f t="shared" si="3"/>
        <v>0</v>
      </c>
      <c r="W98" s="55">
        <f t="array" ref="W98">IFERROR(INDEX(PRECIOS_TINTORERIA!$B$4:$U$15,MATCH(D98,PRECIOS_TINTORERIA!$A$4:$A$15,0),MATCH(VLOOKUP(A98,PROGRAMAS!$A$4:$G$103,7,FALSE()),PRECIOS_TINTORERIA!$B$3:$U$3,0)),0)</f>
        <v>0</v>
      </c>
      <c r="X98" s="56"/>
      <c r="Y98" s="57"/>
      <c r="Z98" s="58">
        <f t="shared" si="4"/>
        <v>0</v>
      </c>
      <c r="AA98" s="56"/>
      <c r="AB98" s="56"/>
      <c r="AC98" s="56"/>
      <c r="AD98" s="23">
        <f>IFERROR((SUMIFS(COMPRAS_HILO!$H$4:$H$203,COMPRAS_HILO!$B$4:$B$203,A98))*F98/SUMIFS($F$4:$F$503,$A$4:$A$503,A98),0)</f>
        <v>0</v>
      </c>
      <c r="AE98" s="23">
        <f t="shared" si="5"/>
        <v>0</v>
      </c>
      <c r="AF98" s="23">
        <f t="shared" si="6"/>
        <v>0</v>
      </c>
      <c r="AG98" s="25">
        <f t="shared" si="7"/>
        <v>0</v>
      </c>
      <c r="AH98" s="25">
        <f t="shared" si="8"/>
        <v>0</v>
      </c>
      <c r="AI98" s="59"/>
    </row>
    <row r="99" ht="15.75" customHeight="1">
      <c r="A99" s="40"/>
      <c r="B99" s="33"/>
      <c r="C99" s="45" t="str">
        <f>IFERROR(VLOOKUP(B99,COLORES!$A$4:$B$52,2,FALSE()),"")</f>
        <v/>
      </c>
      <c r="D99" s="33"/>
      <c r="E99" s="46"/>
      <c r="F99" s="34"/>
      <c r="G99" s="33"/>
      <c r="H99" s="47"/>
      <c r="I99" s="47"/>
      <c r="J99" s="48">
        <f>IFERROR(VLOOKUP(VLOOKUP(A99,PROGRAMAS!$A$4:$G$103,7,FALSE()),PRECIOS_TEJEDURIA!$A$4:$B$22,2,FALSE()),0)</f>
        <v>0</v>
      </c>
      <c r="K99" s="49"/>
      <c r="L99" s="50"/>
      <c r="M99" s="51">
        <f t="shared" si="1"/>
        <v>0</v>
      </c>
      <c r="N99" s="49"/>
      <c r="O99" s="49"/>
      <c r="P99" s="49"/>
      <c r="Q99" s="52"/>
      <c r="R99" s="53"/>
      <c r="S99" s="53"/>
      <c r="T99" s="54"/>
      <c r="U99" s="19">
        <f t="shared" si="2"/>
        <v>0</v>
      </c>
      <c r="V99" s="20">
        <f t="shared" si="3"/>
        <v>0</v>
      </c>
      <c r="W99" s="55">
        <f t="array" ref="W99">IFERROR(INDEX(PRECIOS_TINTORERIA!$B$4:$U$15,MATCH(D99,PRECIOS_TINTORERIA!$A$4:$A$15,0),MATCH(VLOOKUP(A99,PROGRAMAS!$A$4:$G$103,7,FALSE()),PRECIOS_TINTORERIA!$B$3:$U$3,0)),0)</f>
        <v>0</v>
      </c>
      <c r="X99" s="56"/>
      <c r="Y99" s="57"/>
      <c r="Z99" s="58">
        <f t="shared" si="4"/>
        <v>0</v>
      </c>
      <c r="AA99" s="56"/>
      <c r="AB99" s="56"/>
      <c r="AC99" s="56"/>
      <c r="AD99" s="23">
        <f>IFERROR((SUMIFS(COMPRAS_HILO!$H$4:$H$203,COMPRAS_HILO!$B$4:$B$203,A99))*F99/SUMIFS($F$4:$F$503,$A$4:$A$503,A99),0)</f>
        <v>0</v>
      </c>
      <c r="AE99" s="23">
        <f t="shared" si="5"/>
        <v>0</v>
      </c>
      <c r="AF99" s="23">
        <f t="shared" si="6"/>
        <v>0</v>
      </c>
      <c r="AG99" s="25">
        <f t="shared" si="7"/>
        <v>0</v>
      </c>
      <c r="AH99" s="25">
        <f t="shared" si="8"/>
        <v>0</v>
      </c>
      <c r="AI99" s="59"/>
    </row>
    <row r="100" ht="15.75" customHeight="1">
      <c r="A100" s="40"/>
      <c r="B100" s="33"/>
      <c r="C100" s="45" t="str">
        <f>IFERROR(VLOOKUP(B100,COLORES!$A$4:$B$52,2,FALSE()),"")</f>
        <v/>
      </c>
      <c r="D100" s="33"/>
      <c r="E100" s="46"/>
      <c r="F100" s="34"/>
      <c r="G100" s="33"/>
      <c r="H100" s="47"/>
      <c r="I100" s="47"/>
      <c r="J100" s="48">
        <f>IFERROR(VLOOKUP(VLOOKUP(A100,PROGRAMAS!$A$4:$G$103,7,FALSE()),PRECIOS_TEJEDURIA!$A$4:$B$22,2,FALSE()),0)</f>
        <v>0</v>
      </c>
      <c r="K100" s="49"/>
      <c r="L100" s="50"/>
      <c r="M100" s="51">
        <f t="shared" si="1"/>
        <v>0</v>
      </c>
      <c r="N100" s="49"/>
      <c r="O100" s="49"/>
      <c r="P100" s="49"/>
      <c r="Q100" s="52"/>
      <c r="R100" s="53"/>
      <c r="S100" s="53"/>
      <c r="T100" s="54"/>
      <c r="U100" s="19">
        <f t="shared" si="2"/>
        <v>0</v>
      </c>
      <c r="V100" s="20">
        <f t="shared" si="3"/>
        <v>0</v>
      </c>
      <c r="W100" s="55">
        <f t="array" ref="W100">IFERROR(INDEX(PRECIOS_TINTORERIA!$B$4:$U$15,MATCH(D100,PRECIOS_TINTORERIA!$A$4:$A$15,0),MATCH(VLOOKUP(A100,PROGRAMAS!$A$4:$G$103,7,FALSE()),PRECIOS_TINTORERIA!$B$3:$U$3,0)),0)</f>
        <v>0</v>
      </c>
      <c r="X100" s="56"/>
      <c r="Y100" s="57"/>
      <c r="Z100" s="58">
        <f t="shared" si="4"/>
        <v>0</v>
      </c>
      <c r="AA100" s="56"/>
      <c r="AB100" s="56"/>
      <c r="AC100" s="56"/>
      <c r="AD100" s="23">
        <f>IFERROR((SUMIFS(COMPRAS_HILO!$H$4:$H$203,COMPRAS_HILO!$B$4:$B$203,A100))*F100/SUMIFS($F$4:$F$503,$A$4:$A$503,A100),0)</f>
        <v>0</v>
      </c>
      <c r="AE100" s="23">
        <f t="shared" si="5"/>
        <v>0</v>
      </c>
      <c r="AF100" s="23">
        <f t="shared" si="6"/>
        <v>0</v>
      </c>
      <c r="AG100" s="25">
        <f t="shared" si="7"/>
        <v>0</v>
      </c>
      <c r="AH100" s="25">
        <f t="shared" si="8"/>
        <v>0</v>
      </c>
      <c r="AI100" s="59"/>
    </row>
    <row r="101" ht="15.75" customHeight="1">
      <c r="A101" s="40"/>
      <c r="B101" s="33"/>
      <c r="C101" s="45" t="str">
        <f>IFERROR(VLOOKUP(B101,COLORES!$A$4:$B$52,2,FALSE()),"")</f>
        <v/>
      </c>
      <c r="D101" s="33"/>
      <c r="E101" s="46"/>
      <c r="F101" s="34"/>
      <c r="G101" s="33"/>
      <c r="H101" s="47"/>
      <c r="I101" s="47"/>
      <c r="J101" s="48">
        <f>IFERROR(VLOOKUP(VLOOKUP(A101,PROGRAMAS!$A$4:$G$103,7,FALSE()),PRECIOS_TEJEDURIA!$A$4:$B$22,2,FALSE()),0)</f>
        <v>0</v>
      </c>
      <c r="K101" s="49"/>
      <c r="L101" s="50"/>
      <c r="M101" s="51">
        <f t="shared" si="1"/>
        <v>0</v>
      </c>
      <c r="N101" s="49"/>
      <c r="O101" s="49"/>
      <c r="P101" s="49"/>
      <c r="Q101" s="52"/>
      <c r="R101" s="53"/>
      <c r="S101" s="53"/>
      <c r="T101" s="54"/>
      <c r="U101" s="19">
        <f t="shared" si="2"/>
        <v>0</v>
      </c>
      <c r="V101" s="20">
        <f t="shared" si="3"/>
        <v>0</v>
      </c>
      <c r="W101" s="55">
        <f t="array" ref="W101">IFERROR(INDEX(PRECIOS_TINTORERIA!$B$4:$U$15,MATCH(D101,PRECIOS_TINTORERIA!$A$4:$A$15,0),MATCH(VLOOKUP(A101,PROGRAMAS!$A$4:$G$103,7,FALSE()),PRECIOS_TINTORERIA!$B$3:$U$3,0)),0)</f>
        <v>0</v>
      </c>
      <c r="X101" s="56"/>
      <c r="Y101" s="57"/>
      <c r="Z101" s="58">
        <f t="shared" si="4"/>
        <v>0</v>
      </c>
      <c r="AA101" s="56"/>
      <c r="AB101" s="56"/>
      <c r="AC101" s="56"/>
      <c r="AD101" s="23">
        <f>IFERROR((SUMIFS(COMPRAS_HILO!$H$4:$H$203,COMPRAS_HILO!$B$4:$B$203,A101))*F101/SUMIFS($F$4:$F$503,$A$4:$A$503,A101),0)</f>
        <v>0</v>
      </c>
      <c r="AE101" s="23">
        <f t="shared" si="5"/>
        <v>0</v>
      </c>
      <c r="AF101" s="23">
        <f t="shared" si="6"/>
        <v>0</v>
      </c>
      <c r="AG101" s="25">
        <f t="shared" si="7"/>
        <v>0</v>
      </c>
      <c r="AH101" s="25">
        <f t="shared" si="8"/>
        <v>0</v>
      </c>
      <c r="AI101" s="59"/>
    </row>
    <row r="102" ht="15.75" customHeight="1">
      <c r="A102" s="40"/>
      <c r="B102" s="33"/>
      <c r="C102" s="45" t="str">
        <f>IFERROR(VLOOKUP(B102,COLORES!$A$4:$B$52,2,FALSE()),"")</f>
        <v/>
      </c>
      <c r="D102" s="33"/>
      <c r="E102" s="46"/>
      <c r="F102" s="34"/>
      <c r="G102" s="33"/>
      <c r="H102" s="47"/>
      <c r="I102" s="47"/>
      <c r="J102" s="48">
        <f>IFERROR(VLOOKUP(VLOOKUP(A102,PROGRAMAS!$A$4:$G$103,7,FALSE()),PRECIOS_TEJEDURIA!$A$4:$B$22,2,FALSE()),0)</f>
        <v>0</v>
      </c>
      <c r="K102" s="49"/>
      <c r="L102" s="50"/>
      <c r="M102" s="51">
        <f t="shared" si="1"/>
        <v>0</v>
      </c>
      <c r="N102" s="49"/>
      <c r="O102" s="49"/>
      <c r="P102" s="49"/>
      <c r="Q102" s="52"/>
      <c r="R102" s="53"/>
      <c r="S102" s="53"/>
      <c r="T102" s="54"/>
      <c r="U102" s="19">
        <f t="shared" si="2"/>
        <v>0</v>
      </c>
      <c r="V102" s="20">
        <f t="shared" si="3"/>
        <v>0</v>
      </c>
      <c r="W102" s="55">
        <f t="array" ref="W102">IFERROR(INDEX(PRECIOS_TINTORERIA!$B$4:$U$15,MATCH(D102,PRECIOS_TINTORERIA!$A$4:$A$15,0),MATCH(VLOOKUP(A102,PROGRAMAS!$A$4:$G$103,7,FALSE()),PRECIOS_TINTORERIA!$B$3:$U$3,0)),0)</f>
        <v>0</v>
      </c>
      <c r="X102" s="56"/>
      <c r="Y102" s="57"/>
      <c r="Z102" s="58">
        <f t="shared" si="4"/>
        <v>0</v>
      </c>
      <c r="AA102" s="56"/>
      <c r="AB102" s="56"/>
      <c r="AC102" s="56"/>
      <c r="AD102" s="23">
        <f>IFERROR((SUMIFS(COMPRAS_HILO!$H$4:$H$203,COMPRAS_HILO!$B$4:$B$203,A102))*F102/SUMIFS($F$4:$F$503,$A$4:$A$503,A102),0)</f>
        <v>0</v>
      </c>
      <c r="AE102" s="23">
        <f t="shared" si="5"/>
        <v>0</v>
      </c>
      <c r="AF102" s="23">
        <f t="shared" si="6"/>
        <v>0</v>
      </c>
      <c r="AG102" s="25">
        <f t="shared" si="7"/>
        <v>0</v>
      </c>
      <c r="AH102" s="25">
        <f t="shared" si="8"/>
        <v>0</v>
      </c>
      <c r="AI102" s="59"/>
    </row>
    <row r="103" ht="15.75" customHeight="1">
      <c r="A103" s="40"/>
      <c r="B103" s="33"/>
      <c r="C103" s="45" t="str">
        <f>IFERROR(VLOOKUP(B103,COLORES!$A$4:$B$52,2,FALSE()),"")</f>
        <v/>
      </c>
      <c r="D103" s="33"/>
      <c r="E103" s="46"/>
      <c r="F103" s="34"/>
      <c r="G103" s="33"/>
      <c r="H103" s="47"/>
      <c r="I103" s="47"/>
      <c r="J103" s="48">
        <f>IFERROR(VLOOKUP(VLOOKUP(A103,PROGRAMAS!$A$4:$G$103,7,FALSE()),PRECIOS_TEJEDURIA!$A$4:$B$22,2,FALSE()),0)</f>
        <v>0</v>
      </c>
      <c r="K103" s="49"/>
      <c r="L103" s="50"/>
      <c r="M103" s="51">
        <f t="shared" si="1"/>
        <v>0</v>
      </c>
      <c r="N103" s="49"/>
      <c r="O103" s="49"/>
      <c r="P103" s="49"/>
      <c r="Q103" s="52"/>
      <c r="R103" s="53"/>
      <c r="S103" s="53"/>
      <c r="T103" s="54"/>
      <c r="U103" s="19">
        <f t="shared" si="2"/>
        <v>0</v>
      </c>
      <c r="V103" s="20">
        <f t="shared" si="3"/>
        <v>0</v>
      </c>
      <c r="W103" s="55">
        <f t="array" ref="W103">IFERROR(INDEX(PRECIOS_TINTORERIA!$B$4:$U$15,MATCH(D103,PRECIOS_TINTORERIA!$A$4:$A$15,0),MATCH(VLOOKUP(A103,PROGRAMAS!$A$4:$G$103,7,FALSE()),PRECIOS_TINTORERIA!$B$3:$U$3,0)),0)</f>
        <v>0</v>
      </c>
      <c r="X103" s="56"/>
      <c r="Y103" s="57"/>
      <c r="Z103" s="58">
        <f t="shared" si="4"/>
        <v>0</v>
      </c>
      <c r="AA103" s="56"/>
      <c r="AB103" s="56"/>
      <c r="AC103" s="56"/>
      <c r="AD103" s="23">
        <f>IFERROR((SUMIFS(COMPRAS_HILO!$H$4:$H$203,COMPRAS_HILO!$B$4:$B$203,A103))*F103/SUMIFS($F$4:$F$503,$A$4:$A$503,A103),0)</f>
        <v>0</v>
      </c>
      <c r="AE103" s="23">
        <f t="shared" si="5"/>
        <v>0</v>
      </c>
      <c r="AF103" s="23">
        <f t="shared" si="6"/>
        <v>0</v>
      </c>
      <c r="AG103" s="25">
        <f t="shared" si="7"/>
        <v>0</v>
      </c>
      <c r="AH103" s="25">
        <f t="shared" si="8"/>
        <v>0</v>
      </c>
      <c r="AI103" s="59"/>
    </row>
    <row r="104" ht="15.75" customHeight="1">
      <c r="A104" s="40"/>
      <c r="B104" s="33"/>
      <c r="C104" s="45" t="str">
        <f>IFERROR(VLOOKUP(B104,COLORES!$A$4:$B$52,2,FALSE()),"")</f>
        <v/>
      </c>
      <c r="D104" s="33"/>
      <c r="E104" s="46"/>
      <c r="F104" s="34"/>
      <c r="G104" s="33"/>
      <c r="H104" s="47"/>
      <c r="I104" s="47"/>
      <c r="J104" s="48">
        <f>IFERROR(VLOOKUP(VLOOKUP(A104,PROGRAMAS!$A$4:$G$103,7,FALSE()),PRECIOS_TEJEDURIA!$A$4:$B$22,2,FALSE()),0)</f>
        <v>0</v>
      </c>
      <c r="K104" s="49"/>
      <c r="L104" s="50"/>
      <c r="M104" s="51">
        <f t="shared" si="1"/>
        <v>0</v>
      </c>
      <c r="N104" s="49"/>
      <c r="O104" s="49"/>
      <c r="P104" s="49"/>
      <c r="Q104" s="52"/>
      <c r="R104" s="53"/>
      <c r="S104" s="53"/>
      <c r="T104" s="54"/>
      <c r="U104" s="19">
        <f t="shared" si="2"/>
        <v>0</v>
      </c>
      <c r="V104" s="20">
        <f t="shared" si="3"/>
        <v>0</v>
      </c>
      <c r="W104" s="55">
        <f t="array" ref="W104">IFERROR(INDEX(PRECIOS_TINTORERIA!$B$4:$U$15,MATCH(D104,PRECIOS_TINTORERIA!$A$4:$A$15,0),MATCH(VLOOKUP(A104,PROGRAMAS!$A$4:$G$103,7,FALSE()),PRECIOS_TINTORERIA!$B$3:$U$3,0)),0)</f>
        <v>0</v>
      </c>
      <c r="X104" s="56"/>
      <c r="Y104" s="57"/>
      <c r="Z104" s="58">
        <f t="shared" si="4"/>
        <v>0</v>
      </c>
      <c r="AA104" s="56"/>
      <c r="AB104" s="56"/>
      <c r="AC104" s="56"/>
      <c r="AD104" s="23">
        <f>IFERROR((SUMIFS(COMPRAS_HILO!$H$4:$H$203,COMPRAS_HILO!$B$4:$B$203,A104))*F104/SUMIFS($F$4:$F$503,$A$4:$A$503,A104),0)</f>
        <v>0</v>
      </c>
      <c r="AE104" s="23">
        <f t="shared" si="5"/>
        <v>0</v>
      </c>
      <c r="AF104" s="23">
        <f t="shared" si="6"/>
        <v>0</v>
      </c>
      <c r="AG104" s="25">
        <f t="shared" si="7"/>
        <v>0</v>
      </c>
      <c r="AH104" s="25">
        <f t="shared" si="8"/>
        <v>0</v>
      </c>
      <c r="AI104" s="59"/>
    </row>
    <row r="105" ht="15.75" customHeight="1">
      <c r="A105" s="40"/>
      <c r="B105" s="33"/>
      <c r="C105" s="45" t="str">
        <f>IFERROR(VLOOKUP(B105,COLORES!$A$4:$B$52,2,FALSE()),"")</f>
        <v/>
      </c>
      <c r="D105" s="33"/>
      <c r="E105" s="46"/>
      <c r="F105" s="34"/>
      <c r="G105" s="33"/>
      <c r="H105" s="47"/>
      <c r="I105" s="47"/>
      <c r="J105" s="48">
        <f>IFERROR(VLOOKUP(VLOOKUP(A105,PROGRAMAS!$A$4:$G$103,7,FALSE()),PRECIOS_TEJEDURIA!$A$4:$B$22,2,FALSE()),0)</f>
        <v>0</v>
      </c>
      <c r="K105" s="49"/>
      <c r="L105" s="50"/>
      <c r="M105" s="51">
        <f t="shared" si="1"/>
        <v>0</v>
      </c>
      <c r="N105" s="49"/>
      <c r="O105" s="49"/>
      <c r="P105" s="49"/>
      <c r="Q105" s="52"/>
      <c r="R105" s="53"/>
      <c r="S105" s="53"/>
      <c r="T105" s="54"/>
      <c r="U105" s="19">
        <f t="shared" si="2"/>
        <v>0</v>
      </c>
      <c r="V105" s="20">
        <f t="shared" si="3"/>
        <v>0</v>
      </c>
      <c r="W105" s="55">
        <f t="array" ref="W105">IFERROR(INDEX(PRECIOS_TINTORERIA!$B$4:$U$15,MATCH(D105,PRECIOS_TINTORERIA!$A$4:$A$15,0),MATCH(VLOOKUP(A105,PROGRAMAS!$A$4:$G$103,7,FALSE()),PRECIOS_TINTORERIA!$B$3:$U$3,0)),0)</f>
        <v>0</v>
      </c>
      <c r="X105" s="56"/>
      <c r="Y105" s="57"/>
      <c r="Z105" s="58">
        <f t="shared" si="4"/>
        <v>0</v>
      </c>
      <c r="AA105" s="56"/>
      <c r="AB105" s="56"/>
      <c r="AC105" s="56"/>
      <c r="AD105" s="23">
        <f>IFERROR((SUMIFS(COMPRAS_HILO!$H$4:$H$203,COMPRAS_HILO!$B$4:$B$203,A105))*F105/SUMIFS($F$4:$F$503,$A$4:$A$503,A105),0)</f>
        <v>0</v>
      </c>
      <c r="AE105" s="23">
        <f t="shared" si="5"/>
        <v>0</v>
      </c>
      <c r="AF105" s="23">
        <f t="shared" si="6"/>
        <v>0</v>
      </c>
      <c r="AG105" s="25">
        <f t="shared" si="7"/>
        <v>0</v>
      </c>
      <c r="AH105" s="25">
        <f t="shared" si="8"/>
        <v>0</v>
      </c>
      <c r="AI105" s="59"/>
    </row>
    <row r="106" ht="15.75" customHeight="1">
      <c r="A106" s="40"/>
      <c r="B106" s="33"/>
      <c r="C106" s="45" t="str">
        <f>IFERROR(VLOOKUP(B106,COLORES!$A$4:$B$52,2,FALSE()),"")</f>
        <v/>
      </c>
      <c r="D106" s="33"/>
      <c r="E106" s="46"/>
      <c r="F106" s="34"/>
      <c r="G106" s="33"/>
      <c r="H106" s="47"/>
      <c r="I106" s="47"/>
      <c r="J106" s="48">
        <f>IFERROR(VLOOKUP(VLOOKUP(A106,PROGRAMAS!$A$4:$G$103,7,FALSE()),PRECIOS_TEJEDURIA!$A$4:$B$22,2,FALSE()),0)</f>
        <v>0</v>
      </c>
      <c r="K106" s="49"/>
      <c r="L106" s="50"/>
      <c r="M106" s="51">
        <f t="shared" si="1"/>
        <v>0</v>
      </c>
      <c r="N106" s="49"/>
      <c r="O106" s="49"/>
      <c r="P106" s="49"/>
      <c r="Q106" s="52"/>
      <c r="R106" s="53"/>
      <c r="S106" s="53"/>
      <c r="T106" s="54"/>
      <c r="U106" s="19">
        <f t="shared" si="2"/>
        <v>0</v>
      </c>
      <c r="V106" s="20">
        <f t="shared" si="3"/>
        <v>0</v>
      </c>
      <c r="W106" s="55">
        <f t="array" ref="W106">IFERROR(INDEX(PRECIOS_TINTORERIA!$B$4:$U$15,MATCH(D106,PRECIOS_TINTORERIA!$A$4:$A$15,0),MATCH(VLOOKUP(A106,PROGRAMAS!$A$4:$G$103,7,FALSE()),PRECIOS_TINTORERIA!$B$3:$U$3,0)),0)</f>
        <v>0</v>
      </c>
      <c r="X106" s="56"/>
      <c r="Y106" s="57"/>
      <c r="Z106" s="58">
        <f t="shared" si="4"/>
        <v>0</v>
      </c>
      <c r="AA106" s="56"/>
      <c r="AB106" s="56"/>
      <c r="AC106" s="56"/>
      <c r="AD106" s="23">
        <f>IFERROR((SUMIFS(COMPRAS_HILO!$H$4:$H$203,COMPRAS_HILO!$B$4:$B$203,A106))*F106/SUMIFS($F$4:$F$503,$A$4:$A$503,A106),0)</f>
        <v>0</v>
      </c>
      <c r="AE106" s="23">
        <f t="shared" si="5"/>
        <v>0</v>
      </c>
      <c r="AF106" s="23">
        <f t="shared" si="6"/>
        <v>0</v>
      </c>
      <c r="AG106" s="25">
        <f t="shared" si="7"/>
        <v>0</v>
      </c>
      <c r="AH106" s="25">
        <f t="shared" si="8"/>
        <v>0</v>
      </c>
      <c r="AI106" s="59"/>
    </row>
    <row r="107" ht="15.75" customHeight="1">
      <c r="A107" s="40"/>
      <c r="B107" s="33"/>
      <c r="C107" s="45" t="str">
        <f>IFERROR(VLOOKUP(B107,COLORES!$A$4:$B$52,2,FALSE()),"")</f>
        <v/>
      </c>
      <c r="D107" s="33"/>
      <c r="E107" s="46"/>
      <c r="F107" s="34"/>
      <c r="G107" s="33"/>
      <c r="H107" s="47"/>
      <c r="I107" s="47"/>
      <c r="J107" s="48">
        <f>IFERROR(VLOOKUP(VLOOKUP(A107,PROGRAMAS!$A$4:$G$103,7,FALSE()),PRECIOS_TEJEDURIA!$A$4:$B$22,2,FALSE()),0)</f>
        <v>0</v>
      </c>
      <c r="K107" s="49"/>
      <c r="L107" s="50"/>
      <c r="M107" s="51">
        <f t="shared" si="1"/>
        <v>0</v>
      </c>
      <c r="N107" s="49"/>
      <c r="O107" s="49"/>
      <c r="P107" s="49"/>
      <c r="Q107" s="52"/>
      <c r="R107" s="53"/>
      <c r="S107" s="53"/>
      <c r="T107" s="54"/>
      <c r="U107" s="19">
        <f t="shared" si="2"/>
        <v>0</v>
      </c>
      <c r="V107" s="20">
        <f t="shared" si="3"/>
        <v>0</v>
      </c>
      <c r="W107" s="55">
        <f t="array" ref="W107">IFERROR(INDEX(PRECIOS_TINTORERIA!$B$4:$U$15,MATCH(D107,PRECIOS_TINTORERIA!$A$4:$A$15,0),MATCH(VLOOKUP(A107,PROGRAMAS!$A$4:$G$103,7,FALSE()),PRECIOS_TINTORERIA!$B$3:$U$3,0)),0)</f>
        <v>0</v>
      </c>
      <c r="X107" s="56"/>
      <c r="Y107" s="57"/>
      <c r="Z107" s="58">
        <f t="shared" si="4"/>
        <v>0</v>
      </c>
      <c r="AA107" s="56"/>
      <c r="AB107" s="56"/>
      <c r="AC107" s="56"/>
      <c r="AD107" s="23">
        <f>IFERROR((SUMIFS(COMPRAS_HILO!$H$4:$H$203,COMPRAS_HILO!$B$4:$B$203,A107))*F107/SUMIFS($F$4:$F$503,$A$4:$A$503,A107),0)</f>
        <v>0</v>
      </c>
      <c r="AE107" s="23">
        <f t="shared" si="5"/>
        <v>0</v>
      </c>
      <c r="AF107" s="23">
        <f t="shared" si="6"/>
        <v>0</v>
      </c>
      <c r="AG107" s="25">
        <f t="shared" si="7"/>
        <v>0</v>
      </c>
      <c r="AH107" s="25">
        <f t="shared" si="8"/>
        <v>0</v>
      </c>
      <c r="AI107" s="59"/>
    </row>
    <row r="108" ht="15.75" customHeight="1">
      <c r="A108" s="40"/>
      <c r="B108" s="33"/>
      <c r="C108" s="45" t="str">
        <f>IFERROR(VLOOKUP(B108,COLORES!$A$4:$B$52,2,FALSE()),"")</f>
        <v/>
      </c>
      <c r="D108" s="33"/>
      <c r="E108" s="46"/>
      <c r="F108" s="34"/>
      <c r="G108" s="33"/>
      <c r="H108" s="47"/>
      <c r="I108" s="47"/>
      <c r="J108" s="48">
        <f>IFERROR(VLOOKUP(VLOOKUP(A108,PROGRAMAS!$A$4:$G$103,7,FALSE()),PRECIOS_TEJEDURIA!$A$4:$B$22,2,FALSE()),0)</f>
        <v>0</v>
      </c>
      <c r="K108" s="49"/>
      <c r="L108" s="50"/>
      <c r="M108" s="51">
        <f t="shared" si="1"/>
        <v>0</v>
      </c>
      <c r="N108" s="49"/>
      <c r="O108" s="49"/>
      <c r="P108" s="49"/>
      <c r="Q108" s="52"/>
      <c r="R108" s="53"/>
      <c r="S108" s="53"/>
      <c r="T108" s="54"/>
      <c r="U108" s="19">
        <f t="shared" si="2"/>
        <v>0</v>
      </c>
      <c r="V108" s="20">
        <f t="shared" si="3"/>
        <v>0</v>
      </c>
      <c r="W108" s="55">
        <f t="array" ref="W108">IFERROR(INDEX(PRECIOS_TINTORERIA!$B$4:$U$15,MATCH(D108,PRECIOS_TINTORERIA!$A$4:$A$15,0),MATCH(VLOOKUP(A108,PROGRAMAS!$A$4:$G$103,7,FALSE()),PRECIOS_TINTORERIA!$B$3:$U$3,0)),0)</f>
        <v>0</v>
      </c>
      <c r="X108" s="56"/>
      <c r="Y108" s="57"/>
      <c r="Z108" s="58">
        <f t="shared" si="4"/>
        <v>0</v>
      </c>
      <c r="AA108" s="56"/>
      <c r="AB108" s="56"/>
      <c r="AC108" s="56"/>
      <c r="AD108" s="23">
        <f>IFERROR((SUMIFS(COMPRAS_HILO!$H$4:$H$203,COMPRAS_HILO!$B$4:$B$203,A108))*F108/SUMIFS($F$4:$F$503,$A$4:$A$503,A108),0)</f>
        <v>0</v>
      </c>
      <c r="AE108" s="23">
        <f t="shared" si="5"/>
        <v>0</v>
      </c>
      <c r="AF108" s="23">
        <f t="shared" si="6"/>
        <v>0</v>
      </c>
      <c r="AG108" s="25">
        <f t="shared" si="7"/>
        <v>0</v>
      </c>
      <c r="AH108" s="25">
        <f t="shared" si="8"/>
        <v>0</v>
      </c>
      <c r="AI108" s="59"/>
    </row>
    <row r="109" ht="15.75" customHeight="1">
      <c r="A109" s="40"/>
      <c r="B109" s="33"/>
      <c r="C109" s="45" t="str">
        <f>IFERROR(VLOOKUP(B109,COLORES!$A$4:$B$52,2,FALSE()),"")</f>
        <v/>
      </c>
      <c r="D109" s="33"/>
      <c r="E109" s="46"/>
      <c r="F109" s="34"/>
      <c r="G109" s="33"/>
      <c r="H109" s="47"/>
      <c r="I109" s="47"/>
      <c r="J109" s="48">
        <f>IFERROR(VLOOKUP(VLOOKUP(A109,PROGRAMAS!$A$4:$G$103,7,FALSE()),PRECIOS_TEJEDURIA!$A$4:$B$22,2,FALSE()),0)</f>
        <v>0</v>
      </c>
      <c r="K109" s="49"/>
      <c r="L109" s="50"/>
      <c r="M109" s="51">
        <f t="shared" si="1"/>
        <v>0</v>
      </c>
      <c r="N109" s="49"/>
      <c r="O109" s="49"/>
      <c r="P109" s="49"/>
      <c r="Q109" s="52"/>
      <c r="R109" s="53"/>
      <c r="S109" s="53"/>
      <c r="T109" s="54"/>
      <c r="U109" s="19">
        <f t="shared" si="2"/>
        <v>0</v>
      </c>
      <c r="V109" s="20">
        <f t="shared" si="3"/>
        <v>0</v>
      </c>
      <c r="W109" s="55">
        <f t="array" ref="W109">IFERROR(INDEX(PRECIOS_TINTORERIA!$B$4:$U$15,MATCH(D109,PRECIOS_TINTORERIA!$A$4:$A$15,0),MATCH(VLOOKUP(A109,PROGRAMAS!$A$4:$G$103,7,FALSE()),PRECIOS_TINTORERIA!$B$3:$U$3,0)),0)</f>
        <v>0</v>
      </c>
      <c r="X109" s="56"/>
      <c r="Y109" s="57"/>
      <c r="Z109" s="58">
        <f t="shared" si="4"/>
        <v>0</v>
      </c>
      <c r="AA109" s="56"/>
      <c r="AB109" s="56"/>
      <c r="AC109" s="56"/>
      <c r="AD109" s="23">
        <f>IFERROR((SUMIFS(COMPRAS_HILO!$H$4:$H$203,COMPRAS_HILO!$B$4:$B$203,A109))*F109/SUMIFS($F$4:$F$503,$A$4:$A$503,A109),0)</f>
        <v>0</v>
      </c>
      <c r="AE109" s="23">
        <f t="shared" si="5"/>
        <v>0</v>
      </c>
      <c r="AF109" s="23">
        <f t="shared" si="6"/>
        <v>0</v>
      </c>
      <c r="AG109" s="25">
        <f t="shared" si="7"/>
        <v>0</v>
      </c>
      <c r="AH109" s="25">
        <f t="shared" si="8"/>
        <v>0</v>
      </c>
      <c r="AI109" s="59"/>
    </row>
    <row r="110" ht="15.75" customHeight="1">
      <c r="A110" s="40"/>
      <c r="B110" s="33"/>
      <c r="C110" s="45" t="str">
        <f>IFERROR(VLOOKUP(B110,COLORES!$A$4:$B$52,2,FALSE()),"")</f>
        <v/>
      </c>
      <c r="D110" s="33"/>
      <c r="E110" s="46"/>
      <c r="F110" s="34"/>
      <c r="G110" s="33"/>
      <c r="H110" s="47"/>
      <c r="I110" s="47"/>
      <c r="J110" s="48">
        <f>IFERROR(VLOOKUP(VLOOKUP(A110,PROGRAMAS!$A$4:$G$103,7,FALSE()),PRECIOS_TEJEDURIA!$A$4:$B$22,2,FALSE()),0)</f>
        <v>0</v>
      </c>
      <c r="K110" s="49"/>
      <c r="L110" s="50"/>
      <c r="M110" s="51">
        <f t="shared" si="1"/>
        <v>0</v>
      </c>
      <c r="N110" s="49"/>
      <c r="O110" s="49"/>
      <c r="P110" s="49"/>
      <c r="Q110" s="52"/>
      <c r="R110" s="53"/>
      <c r="S110" s="53"/>
      <c r="T110" s="54"/>
      <c r="U110" s="19">
        <f t="shared" si="2"/>
        <v>0</v>
      </c>
      <c r="V110" s="20">
        <f t="shared" si="3"/>
        <v>0</v>
      </c>
      <c r="W110" s="55">
        <f t="array" ref="W110">IFERROR(INDEX(PRECIOS_TINTORERIA!$B$4:$U$15,MATCH(D110,PRECIOS_TINTORERIA!$A$4:$A$15,0),MATCH(VLOOKUP(A110,PROGRAMAS!$A$4:$G$103,7,FALSE()),PRECIOS_TINTORERIA!$B$3:$U$3,0)),0)</f>
        <v>0</v>
      </c>
      <c r="X110" s="56"/>
      <c r="Y110" s="57"/>
      <c r="Z110" s="58">
        <f t="shared" si="4"/>
        <v>0</v>
      </c>
      <c r="AA110" s="56"/>
      <c r="AB110" s="56"/>
      <c r="AC110" s="56"/>
      <c r="AD110" s="23">
        <f>IFERROR((SUMIFS(COMPRAS_HILO!$H$4:$H$203,COMPRAS_HILO!$B$4:$B$203,A110))*F110/SUMIFS($F$4:$F$503,$A$4:$A$503,A110),0)</f>
        <v>0</v>
      </c>
      <c r="AE110" s="23">
        <f t="shared" si="5"/>
        <v>0</v>
      </c>
      <c r="AF110" s="23">
        <f t="shared" si="6"/>
        <v>0</v>
      </c>
      <c r="AG110" s="25">
        <f t="shared" si="7"/>
        <v>0</v>
      </c>
      <c r="AH110" s="25">
        <f t="shared" si="8"/>
        <v>0</v>
      </c>
      <c r="AI110" s="59"/>
    </row>
    <row r="111" ht="15.75" customHeight="1">
      <c r="A111" s="40"/>
      <c r="B111" s="33"/>
      <c r="C111" s="45" t="str">
        <f>IFERROR(VLOOKUP(B111,COLORES!$A$4:$B$52,2,FALSE()),"")</f>
        <v/>
      </c>
      <c r="D111" s="33"/>
      <c r="E111" s="46"/>
      <c r="F111" s="34"/>
      <c r="G111" s="33"/>
      <c r="H111" s="47"/>
      <c r="I111" s="47"/>
      <c r="J111" s="48">
        <f>IFERROR(VLOOKUP(VLOOKUP(A111,PROGRAMAS!$A$4:$G$103,7,FALSE()),PRECIOS_TEJEDURIA!$A$4:$B$22,2,FALSE()),0)</f>
        <v>0</v>
      </c>
      <c r="K111" s="49"/>
      <c r="L111" s="50"/>
      <c r="M111" s="51">
        <f t="shared" si="1"/>
        <v>0</v>
      </c>
      <c r="N111" s="49"/>
      <c r="O111" s="49"/>
      <c r="P111" s="49"/>
      <c r="Q111" s="52"/>
      <c r="R111" s="53"/>
      <c r="S111" s="53"/>
      <c r="T111" s="54"/>
      <c r="U111" s="19">
        <f t="shared" si="2"/>
        <v>0</v>
      </c>
      <c r="V111" s="20">
        <f t="shared" si="3"/>
        <v>0</v>
      </c>
      <c r="W111" s="55">
        <f t="array" ref="W111">IFERROR(INDEX(PRECIOS_TINTORERIA!$B$4:$U$15,MATCH(D111,PRECIOS_TINTORERIA!$A$4:$A$15,0),MATCH(VLOOKUP(A111,PROGRAMAS!$A$4:$G$103,7,FALSE()),PRECIOS_TINTORERIA!$B$3:$U$3,0)),0)</f>
        <v>0</v>
      </c>
      <c r="X111" s="56"/>
      <c r="Y111" s="57"/>
      <c r="Z111" s="58">
        <f t="shared" si="4"/>
        <v>0</v>
      </c>
      <c r="AA111" s="56"/>
      <c r="AB111" s="56"/>
      <c r="AC111" s="56"/>
      <c r="AD111" s="23">
        <f>IFERROR((SUMIFS(COMPRAS_HILO!$H$4:$H$203,COMPRAS_HILO!$B$4:$B$203,A111))*F111/SUMIFS($F$4:$F$503,$A$4:$A$503,A111),0)</f>
        <v>0</v>
      </c>
      <c r="AE111" s="23">
        <f t="shared" si="5"/>
        <v>0</v>
      </c>
      <c r="AF111" s="23">
        <f t="shared" si="6"/>
        <v>0</v>
      </c>
      <c r="AG111" s="25">
        <f t="shared" si="7"/>
        <v>0</v>
      </c>
      <c r="AH111" s="25">
        <f t="shared" si="8"/>
        <v>0</v>
      </c>
      <c r="AI111" s="59"/>
    </row>
    <row r="112" ht="15.75" customHeight="1">
      <c r="A112" s="40"/>
      <c r="B112" s="33"/>
      <c r="C112" s="45" t="str">
        <f>IFERROR(VLOOKUP(B112,COLORES!$A$4:$B$52,2,FALSE()),"")</f>
        <v/>
      </c>
      <c r="D112" s="33"/>
      <c r="E112" s="46"/>
      <c r="F112" s="34"/>
      <c r="G112" s="33"/>
      <c r="H112" s="47"/>
      <c r="I112" s="47"/>
      <c r="J112" s="48">
        <f>IFERROR(VLOOKUP(VLOOKUP(A112,PROGRAMAS!$A$4:$G$103,7,FALSE()),PRECIOS_TEJEDURIA!$A$4:$B$22,2,FALSE()),0)</f>
        <v>0</v>
      </c>
      <c r="K112" s="49"/>
      <c r="L112" s="50"/>
      <c r="M112" s="51">
        <f t="shared" si="1"/>
        <v>0</v>
      </c>
      <c r="N112" s="49"/>
      <c r="O112" s="49"/>
      <c r="P112" s="49"/>
      <c r="Q112" s="52"/>
      <c r="R112" s="53"/>
      <c r="S112" s="53"/>
      <c r="T112" s="54"/>
      <c r="U112" s="19">
        <f t="shared" si="2"/>
        <v>0</v>
      </c>
      <c r="V112" s="20">
        <f t="shared" si="3"/>
        <v>0</v>
      </c>
      <c r="W112" s="55">
        <f t="array" ref="W112">IFERROR(INDEX(PRECIOS_TINTORERIA!$B$4:$U$15,MATCH(D112,PRECIOS_TINTORERIA!$A$4:$A$15,0),MATCH(VLOOKUP(A112,PROGRAMAS!$A$4:$G$103,7,FALSE()),PRECIOS_TINTORERIA!$B$3:$U$3,0)),0)</f>
        <v>0</v>
      </c>
      <c r="X112" s="56"/>
      <c r="Y112" s="57"/>
      <c r="Z112" s="58">
        <f t="shared" si="4"/>
        <v>0</v>
      </c>
      <c r="AA112" s="56"/>
      <c r="AB112" s="56"/>
      <c r="AC112" s="56"/>
      <c r="AD112" s="23">
        <f>IFERROR((SUMIFS(COMPRAS_HILO!$H$4:$H$203,COMPRAS_HILO!$B$4:$B$203,A112))*F112/SUMIFS($F$4:$F$503,$A$4:$A$503,A112),0)</f>
        <v>0</v>
      </c>
      <c r="AE112" s="23">
        <f t="shared" si="5"/>
        <v>0</v>
      </c>
      <c r="AF112" s="23">
        <f t="shared" si="6"/>
        <v>0</v>
      </c>
      <c r="AG112" s="25">
        <f t="shared" si="7"/>
        <v>0</v>
      </c>
      <c r="AH112" s="25">
        <f t="shared" si="8"/>
        <v>0</v>
      </c>
      <c r="AI112" s="59"/>
    </row>
    <row r="113" ht="15.75" customHeight="1">
      <c r="A113" s="40"/>
      <c r="B113" s="33"/>
      <c r="C113" s="45" t="str">
        <f>IFERROR(VLOOKUP(B113,COLORES!$A$4:$B$52,2,FALSE()),"")</f>
        <v/>
      </c>
      <c r="D113" s="33"/>
      <c r="E113" s="46"/>
      <c r="F113" s="34"/>
      <c r="G113" s="33"/>
      <c r="H113" s="47"/>
      <c r="I113" s="47"/>
      <c r="J113" s="48">
        <f>IFERROR(VLOOKUP(VLOOKUP(A113,PROGRAMAS!$A$4:$G$103,7,FALSE()),PRECIOS_TEJEDURIA!$A$4:$B$22,2,FALSE()),0)</f>
        <v>0</v>
      </c>
      <c r="K113" s="49"/>
      <c r="L113" s="50"/>
      <c r="M113" s="51">
        <f t="shared" si="1"/>
        <v>0</v>
      </c>
      <c r="N113" s="49"/>
      <c r="O113" s="49"/>
      <c r="P113" s="49"/>
      <c r="Q113" s="52"/>
      <c r="R113" s="53"/>
      <c r="S113" s="53"/>
      <c r="T113" s="54"/>
      <c r="U113" s="19">
        <f t="shared" si="2"/>
        <v>0</v>
      </c>
      <c r="V113" s="20">
        <f t="shared" si="3"/>
        <v>0</v>
      </c>
      <c r="W113" s="55">
        <f t="array" ref="W113">IFERROR(INDEX(PRECIOS_TINTORERIA!$B$4:$U$15,MATCH(D113,PRECIOS_TINTORERIA!$A$4:$A$15,0),MATCH(VLOOKUP(A113,PROGRAMAS!$A$4:$G$103,7,FALSE()),PRECIOS_TINTORERIA!$B$3:$U$3,0)),0)</f>
        <v>0</v>
      </c>
      <c r="X113" s="56"/>
      <c r="Y113" s="57"/>
      <c r="Z113" s="58">
        <f t="shared" si="4"/>
        <v>0</v>
      </c>
      <c r="AA113" s="56"/>
      <c r="AB113" s="56"/>
      <c r="AC113" s="56"/>
      <c r="AD113" s="23">
        <f>IFERROR((SUMIFS(COMPRAS_HILO!$H$4:$H$203,COMPRAS_HILO!$B$4:$B$203,A113))*F113/SUMIFS($F$4:$F$503,$A$4:$A$503,A113),0)</f>
        <v>0</v>
      </c>
      <c r="AE113" s="23">
        <f t="shared" si="5"/>
        <v>0</v>
      </c>
      <c r="AF113" s="23">
        <f t="shared" si="6"/>
        <v>0</v>
      </c>
      <c r="AG113" s="25">
        <f t="shared" si="7"/>
        <v>0</v>
      </c>
      <c r="AH113" s="25">
        <f t="shared" si="8"/>
        <v>0</v>
      </c>
      <c r="AI113" s="59"/>
    </row>
    <row r="114" ht="15.75" customHeight="1">
      <c r="A114" s="40"/>
      <c r="B114" s="33"/>
      <c r="C114" s="45" t="str">
        <f>IFERROR(VLOOKUP(B114,COLORES!$A$4:$B$52,2,FALSE()),"")</f>
        <v/>
      </c>
      <c r="D114" s="33"/>
      <c r="E114" s="46"/>
      <c r="F114" s="34"/>
      <c r="G114" s="33"/>
      <c r="H114" s="47"/>
      <c r="I114" s="47"/>
      <c r="J114" s="48">
        <f>IFERROR(VLOOKUP(VLOOKUP(A114,PROGRAMAS!$A$4:$G$103,7,FALSE()),PRECIOS_TEJEDURIA!$A$4:$B$22,2,FALSE()),0)</f>
        <v>0</v>
      </c>
      <c r="K114" s="49"/>
      <c r="L114" s="50"/>
      <c r="M114" s="51">
        <f t="shared" si="1"/>
        <v>0</v>
      </c>
      <c r="N114" s="49"/>
      <c r="O114" s="49"/>
      <c r="P114" s="49"/>
      <c r="Q114" s="52"/>
      <c r="R114" s="53"/>
      <c r="S114" s="53"/>
      <c r="T114" s="54"/>
      <c r="U114" s="19">
        <f t="shared" si="2"/>
        <v>0</v>
      </c>
      <c r="V114" s="20">
        <f t="shared" si="3"/>
        <v>0</v>
      </c>
      <c r="W114" s="55">
        <f t="array" ref="W114">IFERROR(INDEX(PRECIOS_TINTORERIA!$B$4:$U$15,MATCH(D114,PRECIOS_TINTORERIA!$A$4:$A$15,0),MATCH(VLOOKUP(A114,PROGRAMAS!$A$4:$G$103,7,FALSE()),PRECIOS_TINTORERIA!$B$3:$U$3,0)),0)</f>
        <v>0</v>
      </c>
      <c r="X114" s="56"/>
      <c r="Y114" s="57"/>
      <c r="Z114" s="58">
        <f t="shared" si="4"/>
        <v>0</v>
      </c>
      <c r="AA114" s="56"/>
      <c r="AB114" s="56"/>
      <c r="AC114" s="56"/>
      <c r="AD114" s="23">
        <f>IFERROR((SUMIFS(COMPRAS_HILO!$H$4:$H$203,COMPRAS_HILO!$B$4:$B$203,A114))*F114/SUMIFS($F$4:$F$503,$A$4:$A$503,A114),0)</f>
        <v>0</v>
      </c>
      <c r="AE114" s="23">
        <f t="shared" si="5"/>
        <v>0</v>
      </c>
      <c r="AF114" s="23">
        <f t="shared" si="6"/>
        <v>0</v>
      </c>
      <c r="AG114" s="25">
        <f t="shared" si="7"/>
        <v>0</v>
      </c>
      <c r="AH114" s="25">
        <f t="shared" si="8"/>
        <v>0</v>
      </c>
      <c r="AI114" s="59"/>
    </row>
    <row r="115" ht="15.75" customHeight="1">
      <c r="A115" s="40"/>
      <c r="B115" s="33"/>
      <c r="C115" s="45" t="str">
        <f>IFERROR(VLOOKUP(B115,COLORES!$A$4:$B$52,2,FALSE()),"")</f>
        <v/>
      </c>
      <c r="D115" s="33"/>
      <c r="E115" s="46"/>
      <c r="F115" s="34"/>
      <c r="G115" s="33"/>
      <c r="H115" s="47"/>
      <c r="I115" s="47"/>
      <c r="J115" s="48">
        <f>IFERROR(VLOOKUP(VLOOKUP(A115,PROGRAMAS!$A$4:$G$103,7,FALSE()),PRECIOS_TEJEDURIA!$A$4:$B$22,2,FALSE()),0)</f>
        <v>0</v>
      </c>
      <c r="K115" s="49"/>
      <c r="L115" s="50"/>
      <c r="M115" s="51">
        <f t="shared" si="1"/>
        <v>0</v>
      </c>
      <c r="N115" s="49"/>
      <c r="O115" s="49"/>
      <c r="P115" s="49"/>
      <c r="Q115" s="52"/>
      <c r="R115" s="53"/>
      <c r="S115" s="53"/>
      <c r="T115" s="54"/>
      <c r="U115" s="19">
        <f t="shared" si="2"/>
        <v>0</v>
      </c>
      <c r="V115" s="20">
        <f t="shared" si="3"/>
        <v>0</v>
      </c>
      <c r="W115" s="55">
        <f t="array" ref="W115">IFERROR(INDEX(PRECIOS_TINTORERIA!$B$4:$U$15,MATCH(D115,PRECIOS_TINTORERIA!$A$4:$A$15,0),MATCH(VLOOKUP(A115,PROGRAMAS!$A$4:$G$103,7,FALSE()),PRECIOS_TINTORERIA!$B$3:$U$3,0)),0)</f>
        <v>0</v>
      </c>
      <c r="X115" s="56"/>
      <c r="Y115" s="57"/>
      <c r="Z115" s="58">
        <f t="shared" si="4"/>
        <v>0</v>
      </c>
      <c r="AA115" s="56"/>
      <c r="AB115" s="56"/>
      <c r="AC115" s="56"/>
      <c r="AD115" s="23">
        <f>IFERROR((SUMIFS(COMPRAS_HILO!$H$4:$H$203,COMPRAS_HILO!$B$4:$B$203,A115))*F115/SUMIFS($F$4:$F$503,$A$4:$A$503,A115),0)</f>
        <v>0</v>
      </c>
      <c r="AE115" s="23">
        <f t="shared" si="5"/>
        <v>0</v>
      </c>
      <c r="AF115" s="23">
        <f t="shared" si="6"/>
        <v>0</v>
      </c>
      <c r="AG115" s="25">
        <f t="shared" si="7"/>
        <v>0</v>
      </c>
      <c r="AH115" s="25">
        <f t="shared" si="8"/>
        <v>0</v>
      </c>
      <c r="AI115" s="59"/>
    </row>
    <row r="116" ht="15.75" customHeight="1">
      <c r="A116" s="40"/>
      <c r="B116" s="33"/>
      <c r="C116" s="45" t="str">
        <f>IFERROR(VLOOKUP(B116,COLORES!$A$4:$B$52,2,FALSE()),"")</f>
        <v/>
      </c>
      <c r="D116" s="33"/>
      <c r="E116" s="46"/>
      <c r="F116" s="34"/>
      <c r="G116" s="33"/>
      <c r="H116" s="47"/>
      <c r="I116" s="47"/>
      <c r="J116" s="48">
        <f>IFERROR(VLOOKUP(VLOOKUP(A116,PROGRAMAS!$A$4:$G$103,7,FALSE()),PRECIOS_TEJEDURIA!$A$4:$B$22,2,FALSE()),0)</f>
        <v>0</v>
      </c>
      <c r="K116" s="49"/>
      <c r="L116" s="50"/>
      <c r="M116" s="51">
        <f t="shared" si="1"/>
        <v>0</v>
      </c>
      <c r="N116" s="49"/>
      <c r="O116" s="49"/>
      <c r="P116" s="49"/>
      <c r="Q116" s="52"/>
      <c r="R116" s="53"/>
      <c r="S116" s="53"/>
      <c r="T116" s="54"/>
      <c r="U116" s="19">
        <f t="shared" si="2"/>
        <v>0</v>
      </c>
      <c r="V116" s="20">
        <f t="shared" si="3"/>
        <v>0</v>
      </c>
      <c r="W116" s="55">
        <f t="array" ref="W116">IFERROR(INDEX(PRECIOS_TINTORERIA!$B$4:$U$15,MATCH(D116,PRECIOS_TINTORERIA!$A$4:$A$15,0),MATCH(VLOOKUP(A116,PROGRAMAS!$A$4:$G$103,7,FALSE()),PRECIOS_TINTORERIA!$B$3:$U$3,0)),0)</f>
        <v>0</v>
      </c>
      <c r="X116" s="56"/>
      <c r="Y116" s="57"/>
      <c r="Z116" s="58">
        <f t="shared" si="4"/>
        <v>0</v>
      </c>
      <c r="AA116" s="56"/>
      <c r="AB116" s="56"/>
      <c r="AC116" s="56"/>
      <c r="AD116" s="23">
        <f>IFERROR((SUMIFS(COMPRAS_HILO!$H$4:$H$203,COMPRAS_HILO!$B$4:$B$203,A116))*F116/SUMIFS($F$4:$F$503,$A$4:$A$503,A116),0)</f>
        <v>0</v>
      </c>
      <c r="AE116" s="23">
        <f t="shared" si="5"/>
        <v>0</v>
      </c>
      <c r="AF116" s="23">
        <f t="shared" si="6"/>
        <v>0</v>
      </c>
      <c r="AG116" s="25">
        <f t="shared" si="7"/>
        <v>0</v>
      </c>
      <c r="AH116" s="25">
        <f t="shared" si="8"/>
        <v>0</v>
      </c>
      <c r="AI116" s="59"/>
    </row>
    <row r="117" ht="15.75" customHeight="1">
      <c r="A117" s="40"/>
      <c r="B117" s="33"/>
      <c r="C117" s="45" t="str">
        <f>IFERROR(VLOOKUP(B117,COLORES!$A$4:$B$52,2,FALSE()),"")</f>
        <v/>
      </c>
      <c r="D117" s="33"/>
      <c r="E117" s="46"/>
      <c r="F117" s="34"/>
      <c r="G117" s="33"/>
      <c r="H117" s="47"/>
      <c r="I117" s="47"/>
      <c r="J117" s="48">
        <f>IFERROR(VLOOKUP(VLOOKUP(A117,PROGRAMAS!$A$4:$G$103,7,FALSE()),PRECIOS_TEJEDURIA!$A$4:$B$22,2,FALSE()),0)</f>
        <v>0</v>
      </c>
      <c r="K117" s="49"/>
      <c r="L117" s="50"/>
      <c r="M117" s="51">
        <f t="shared" si="1"/>
        <v>0</v>
      </c>
      <c r="N117" s="49"/>
      <c r="O117" s="49"/>
      <c r="P117" s="49"/>
      <c r="Q117" s="52"/>
      <c r="R117" s="53"/>
      <c r="S117" s="53"/>
      <c r="T117" s="54"/>
      <c r="U117" s="19">
        <f t="shared" si="2"/>
        <v>0</v>
      </c>
      <c r="V117" s="20">
        <f t="shared" si="3"/>
        <v>0</v>
      </c>
      <c r="W117" s="55">
        <f t="array" ref="W117">IFERROR(INDEX(PRECIOS_TINTORERIA!$B$4:$U$15,MATCH(D117,PRECIOS_TINTORERIA!$A$4:$A$15,0),MATCH(VLOOKUP(A117,PROGRAMAS!$A$4:$G$103,7,FALSE()),PRECIOS_TINTORERIA!$B$3:$U$3,0)),0)</f>
        <v>0</v>
      </c>
      <c r="X117" s="56"/>
      <c r="Y117" s="57"/>
      <c r="Z117" s="58">
        <f t="shared" si="4"/>
        <v>0</v>
      </c>
      <c r="AA117" s="56"/>
      <c r="AB117" s="56"/>
      <c r="AC117" s="56"/>
      <c r="AD117" s="23">
        <f>IFERROR((SUMIFS(COMPRAS_HILO!$H$4:$H$203,COMPRAS_HILO!$B$4:$B$203,A117))*F117/SUMIFS($F$4:$F$503,$A$4:$A$503,A117),0)</f>
        <v>0</v>
      </c>
      <c r="AE117" s="23">
        <f t="shared" si="5"/>
        <v>0</v>
      </c>
      <c r="AF117" s="23">
        <f t="shared" si="6"/>
        <v>0</v>
      </c>
      <c r="AG117" s="25">
        <f t="shared" si="7"/>
        <v>0</v>
      </c>
      <c r="AH117" s="25">
        <f t="shared" si="8"/>
        <v>0</v>
      </c>
      <c r="AI117" s="59"/>
    </row>
    <row r="118" ht="15.75" customHeight="1">
      <c r="A118" s="40"/>
      <c r="B118" s="33"/>
      <c r="C118" s="45" t="str">
        <f>IFERROR(VLOOKUP(B118,COLORES!$A$4:$B$52,2,FALSE()),"")</f>
        <v/>
      </c>
      <c r="D118" s="33"/>
      <c r="E118" s="46"/>
      <c r="F118" s="34"/>
      <c r="G118" s="33"/>
      <c r="H118" s="47"/>
      <c r="I118" s="47"/>
      <c r="J118" s="48">
        <f>IFERROR(VLOOKUP(VLOOKUP(A118,PROGRAMAS!$A$4:$G$103,7,FALSE()),PRECIOS_TEJEDURIA!$A$4:$B$22,2,FALSE()),0)</f>
        <v>0</v>
      </c>
      <c r="K118" s="49"/>
      <c r="L118" s="50"/>
      <c r="M118" s="51">
        <f t="shared" si="1"/>
        <v>0</v>
      </c>
      <c r="N118" s="49"/>
      <c r="O118" s="49"/>
      <c r="P118" s="49"/>
      <c r="Q118" s="52"/>
      <c r="R118" s="53"/>
      <c r="S118" s="53"/>
      <c r="T118" s="54"/>
      <c r="U118" s="19">
        <f t="shared" si="2"/>
        <v>0</v>
      </c>
      <c r="V118" s="20">
        <f t="shared" si="3"/>
        <v>0</v>
      </c>
      <c r="W118" s="55">
        <f t="array" ref="W118">IFERROR(INDEX(PRECIOS_TINTORERIA!$B$4:$U$15,MATCH(D118,PRECIOS_TINTORERIA!$A$4:$A$15,0),MATCH(VLOOKUP(A118,PROGRAMAS!$A$4:$G$103,7,FALSE()),PRECIOS_TINTORERIA!$B$3:$U$3,0)),0)</f>
        <v>0</v>
      </c>
      <c r="X118" s="56"/>
      <c r="Y118" s="57"/>
      <c r="Z118" s="58">
        <f t="shared" si="4"/>
        <v>0</v>
      </c>
      <c r="AA118" s="56"/>
      <c r="AB118" s="56"/>
      <c r="AC118" s="56"/>
      <c r="AD118" s="23">
        <f>IFERROR((SUMIFS(COMPRAS_HILO!$H$4:$H$203,COMPRAS_HILO!$B$4:$B$203,A118))*F118/SUMIFS($F$4:$F$503,$A$4:$A$503,A118),0)</f>
        <v>0</v>
      </c>
      <c r="AE118" s="23">
        <f t="shared" si="5"/>
        <v>0</v>
      </c>
      <c r="AF118" s="23">
        <f t="shared" si="6"/>
        <v>0</v>
      </c>
      <c r="AG118" s="25">
        <f t="shared" si="7"/>
        <v>0</v>
      </c>
      <c r="AH118" s="25">
        <f t="shared" si="8"/>
        <v>0</v>
      </c>
      <c r="AI118" s="59"/>
    </row>
    <row r="119" ht="15.75" customHeight="1">
      <c r="A119" s="40"/>
      <c r="B119" s="33"/>
      <c r="C119" s="45" t="str">
        <f>IFERROR(VLOOKUP(B119,COLORES!$A$4:$B$52,2,FALSE()),"")</f>
        <v/>
      </c>
      <c r="D119" s="33"/>
      <c r="E119" s="46"/>
      <c r="F119" s="34"/>
      <c r="G119" s="33"/>
      <c r="H119" s="47"/>
      <c r="I119" s="47"/>
      <c r="J119" s="48">
        <f>IFERROR(VLOOKUP(VLOOKUP(A119,PROGRAMAS!$A$4:$G$103,7,FALSE()),PRECIOS_TEJEDURIA!$A$4:$B$22,2,FALSE()),0)</f>
        <v>0</v>
      </c>
      <c r="K119" s="49"/>
      <c r="L119" s="50"/>
      <c r="M119" s="51">
        <f t="shared" si="1"/>
        <v>0</v>
      </c>
      <c r="N119" s="49"/>
      <c r="O119" s="49"/>
      <c r="P119" s="49"/>
      <c r="Q119" s="52"/>
      <c r="R119" s="53"/>
      <c r="S119" s="53"/>
      <c r="T119" s="54"/>
      <c r="U119" s="19">
        <f t="shared" si="2"/>
        <v>0</v>
      </c>
      <c r="V119" s="20">
        <f t="shared" si="3"/>
        <v>0</v>
      </c>
      <c r="W119" s="55">
        <f t="array" ref="W119">IFERROR(INDEX(PRECIOS_TINTORERIA!$B$4:$U$15,MATCH(D119,PRECIOS_TINTORERIA!$A$4:$A$15,0),MATCH(VLOOKUP(A119,PROGRAMAS!$A$4:$G$103,7,FALSE()),PRECIOS_TINTORERIA!$B$3:$U$3,0)),0)</f>
        <v>0</v>
      </c>
      <c r="X119" s="56"/>
      <c r="Y119" s="57"/>
      <c r="Z119" s="58">
        <f t="shared" si="4"/>
        <v>0</v>
      </c>
      <c r="AA119" s="56"/>
      <c r="AB119" s="56"/>
      <c r="AC119" s="56"/>
      <c r="AD119" s="23">
        <f>IFERROR((SUMIFS(COMPRAS_HILO!$H$4:$H$203,COMPRAS_HILO!$B$4:$B$203,A119))*F119/SUMIFS($F$4:$F$503,$A$4:$A$503,A119),0)</f>
        <v>0</v>
      </c>
      <c r="AE119" s="23">
        <f t="shared" si="5"/>
        <v>0</v>
      </c>
      <c r="AF119" s="23">
        <f t="shared" si="6"/>
        <v>0</v>
      </c>
      <c r="AG119" s="25">
        <f t="shared" si="7"/>
        <v>0</v>
      </c>
      <c r="AH119" s="25">
        <f t="shared" si="8"/>
        <v>0</v>
      </c>
      <c r="AI119" s="59"/>
    </row>
    <row r="120" ht="15.75" customHeight="1">
      <c r="A120" s="40"/>
      <c r="B120" s="33"/>
      <c r="C120" s="45" t="str">
        <f>IFERROR(VLOOKUP(B120,COLORES!$A$4:$B$52,2,FALSE()),"")</f>
        <v/>
      </c>
      <c r="D120" s="33"/>
      <c r="E120" s="46"/>
      <c r="F120" s="34"/>
      <c r="G120" s="33"/>
      <c r="H120" s="47"/>
      <c r="I120" s="47"/>
      <c r="J120" s="48">
        <f>IFERROR(VLOOKUP(VLOOKUP(A120,PROGRAMAS!$A$4:$G$103,7,FALSE()),PRECIOS_TEJEDURIA!$A$4:$B$22,2,FALSE()),0)</f>
        <v>0</v>
      </c>
      <c r="K120" s="49"/>
      <c r="L120" s="50"/>
      <c r="M120" s="51">
        <f t="shared" si="1"/>
        <v>0</v>
      </c>
      <c r="N120" s="49"/>
      <c r="O120" s="49"/>
      <c r="P120" s="49"/>
      <c r="Q120" s="52"/>
      <c r="R120" s="53"/>
      <c r="S120" s="53"/>
      <c r="T120" s="54"/>
      <c r="U120" s="19">
        <f t="shared" si="2"/>
        <v>0</v>
      </c>
      <c r="V120" s="20">
        <f t="shared" si="3"/>
        <v>0</v>
      </c>
      <c r="W120" s="55">
        <f t="array" ref="W120">IFERROR(INDEX(PRECIOS_TINTORERIA!$B$4:$U$15,MATCH(D120,PRECIOS_TINTORERIA!$A$4:$A$15,0),MATCH(VLOOKUP(A120,PROGRAMAS!$A$4:$G$103,7,FALSE()),PRECIOS_TINTORERIA!$B$3:$U$3,0)),0)</f>
        <v>0</v>
      </c>
      <c r="X120" s="56"/>
      <c r="Y120" s="57"/>
      <c r="Z120" s="58">
        <f t="shared" si="4"/>
        <v>0</v>
      </c>
      <c r="AA120" s="56"/>
      <c r="AB120" s="56"/>
      <c r="AC120" s="56"/>
      <c r="AD120" s="23">
        <f>IFERROR((SUMIFS(COMPRAS_HILO!$H$4:$H$203,COMPRAS_HILO!$B$4:$B$203,A120))*F120/SUMIFS($F$4:$F$503,$A$4:$A$503,A120),0)</f>
        <v>0</v>
      </c>
      <c r="AE120" s="23">
        <f t="shared" si="5"/>
        <v>0</v>
      </c>
      <c r="AF120" s="23">
        <f t="shared" si="6"/>
        <v>0</v>
      </c>
      <c r="AG120" s="25">
        <f t="shared" si="7"/>
        <v>0</v>
      </c>
      <c r="AH120" s="25">
        <f t="shared" si="8"/>
        <v>0</v>
      </c>
      <c r="AI120" s="59"/>
    </row>
    <row r="121" ht="15.75" customHeight="1">
      <c r="A121" s="40"/>
      <c r="B121" s="33"/>
      <c r="C121" s="45" t="str">
        <f>IFERROR(VLOOKUP(B121,COLORES!$A$4:$B$52,2,FALSE()),"")</f>
        <v/>
      </c>
      <c r="D121" s="33"/>
      <c r="E121" s="46"/>
      <c r="F121" s="34"/>
      <c r="G121" s="33"/>
      <c r="H121" s="47"/>
      <c r="I121" s="47"/>
      <c r="J121" s="48">
        <f>IFERROR(VLOOKUP(VLOOKUP(A121,PROGRAMAS!$A$4:$G$103,7,FALSE()),PRECIOS_TEJEDURIA!$A$4:$B$22,2,FALSE()),0)</f>
        <v>0</v>
      </c>
      <c r="K121" s="49"/>
      <c r="L121" s="50"/>
      <c r="M121" s="51">
        <f t="shared" si="1"/>
        <v>0</v>
      </c>
      <c r="N121" s="49"/>
      <c r="O121" s="49"/>
      <c r="P121" s="49"/>
      <c r="Q121" s="52"/>
      <c r="R121" s="53"/>
      <c r="S121" s="53"/>
      <c r="T121" s="54"/>
      <c r="U121" s="19">
        <f t="shared" si="2"/>
        <v>0</v>
      </c>
      <c r="V121" s="20">
        <f t="shared" si="3"/>
        <v>0</v>
      </c>
      <c r="W121" s="55">
        <f t="array" ref="W121">IFERROR(INDEX(PRECIOS_TINTORERIA!$B$4:$U$15,MATCH(D121,PRECIOS_TINTORERIA!$A$4:$A$15,0),MATCH(VLOOKUP(A121,PROGRAMAS!$A$4:$G$103,7,FALSE()),PRECIOS_TINTORERIA!$B$3:$U$3,0)),0)</f>
        <v>0</v>
      </c>
      <c r="X121" s="56"/>
      <c r="Y121" s="57"/>
      <c r="Z121" s="58">
        <f t="shared" si="4"/>
        <v>0</v>
      </c>
      <c r="AA121" s="56"/>
      <c r="AB121" s="56"/>
      <c r="AC121" s="56"/>
      <c r="AD121" s="23">
        <f>IFERROR((SUMIFS(COMPRAS_HILO!$H$4:$H$203,COMPRAS_HILO!$B$4:$B$203,A121))*F121/SUMIFS($F$4:$F$503,$A$4:$A$503,A121),0)</f>
        <v>0</v>
      </c>
      <c r="AE121" s="23">
        <f t="shared" si="5"/>
        <v>0</v>
      </c>
      <c r="AF121" s="23">
        <f t="shared" si="6"/>
        <v>0</v>
      </c>
      <c r="AG121" s="25">
        <f t="shared" si="7"/>
        <v>0</v>
      </c>
      <c r="AH121" s="25">
        <f t="shared" si="8"/>
        <v>0</v>
      </c>
      <c r="AI121" s="59"/>
    </row>
    <row r="122" ht="15.75" customHeight="1">
      <c r="A122" s="40"/>
      <c r="B122" s="33"/>
      <c r="C122" s="45" t="str">
        <f>IFERROR(VLOOKUP(B122,COLORES!$A$4:$B$52,2,FALSE()),"")</f>
        <v/>
      </c>
      <c r="D122" s="33"/>
      <c r="E122" s="46"/>
      <c r="F122" s="34"/>
      <c r="G122" s="33"/>
      <c r="H122" s="47"/>
      <c r="I122" s="47"/>
      <c r="J122" s="48">
        <f>IFERROR(VLOOKUP(VLOOKUP(A122,PROGRAMAS!$A$4:$G$103,7,FALSE()),PRECIOS_TEJEDURIA!$A$4:$B$22,2,FALSE()),0)</f>
        <v>0</v>
      </c>
      <c r="K122" s="49"/>
      <c r="L122" s="50"/>
      <c r="M122" s="51">
        <f t="shared" si="1"/>
        <v>0</v>
      </c>
      <c r="N122" s="49"/>
      <c r="O122" s="49"/>
      <c r="P122" s="49"/>
      <c r="Q122" s="52"/>
      <c r="R122" s="53"/>
      <c r="S122" s="53"/>
      <c r="T122" s="54"/>
      <c r="U122" s="19">
        <f t="shared" si="2"/>
        <v>0</v>
      </c>
      <c r="V122" s="20">
        <f t="shared" si="3"/>
        <v>0</v>
      </c>
      <c r="W122" s="55">
        <f t="array" ref="W122">IFERROR(INDEX(PRECIOS_TINTORERIA!$B$4:$U$15,MATCH(D122,PRECIOS_TINTORERIA!$A$4:$A$15,0),MATCH(VLOOKUP(A122,PROGRAMAS!$A$4:$G$103,7,FALSE()),PRECIOS_TINTORERIA!$B$3:$U$3,0)),0)</f>
        <v>0</v>
      </c>
      <c r="X122" s="56"/>
      <c r="Y122" s="57"/>
      <c r="Z122" s="58">
        <f t="shared" si="4"/>
        <v>0</v>
      </c>
      <c r="AA122" s="56"/>
      <c r="AB122" s="56"/>
      <c r="AC122" s="56"/>
      <c r="AD122" s="23">
        <f>IFERROR((SUMIFS(COMPRAS_HILO!$H$4:$H$203,COMPRAS_HILO!$B$4:$B$203,A122))*F122/SUMIFS($F$4:$F$503,$A$4:$A$503,A122),0)</f>
        <v>0</v>
      </c>
      <c r="AE122" s="23">
        <f t="shared" si="5"/>
        <v>0</v>
      </c>
      <c r="AF122" s="23">
        <f t="shared" si="6"/>
        <v>0</v>
      </c>
      <c r="AG122" s="25">
        <f t="shared" si="7"/>
        <v>0</v>
      </c>
      <c r="AH122" s="25">
        <f t="shared" si="8"/>
        <v>0</v>
      </c>
      <c r="AI122" s="59"/>
    </row>
    <row r="123" ht="15.75" customHeight="1">
      <c r="A123" s="40"/>
      <c r="B123" s="33"/>
      <c r="C123" s="45" t="str">
        <f>IFERROR(VLOOKUP(B123,COLORES!$A$4:$B$52,2,FALSE()),"")</f>
        <v/>
      </c>
      <c r="D123" s="33"/>
      <c r="E123" s="46"/>
      <c r="F123" s="34"/>
      <c r="G123" s="33"/>
      <c r="H123" s="47"/>
      <c r="I123" s="47"/>
      <c r="J123" s="48">
        <f>IFERROR(VLOOKUP(VLOOKUP(A123,PROGRAMAS!$A$4:$G$103,7,FALSE()),PRECIOS_TEJEDURIA!$A$4:$B$22,2,FALSE()),0)</f>
        <v>0</v>
      </c>
      <c r="K123" s="49"/>
      <c r="L123" s="50"/>
      <c r="M123" s="51">
        <f t="shared" si="1"/>
        <v>0</v>
      </c>
      <c r="N123" s="49"/>
      <c r="O123" s="49"/>
      <c r="P123" s="49"/>
      <c r="Q123" s="52"/>
      <c r="R123" s="53"/>
      <c r="S123" s="53"/>
      <c r="T123" s="54"/>
      <c r="U123" s="19">
        <f t="shared" si="2"/>
        <v>0</v>
      </c>
      <c r="V123" s="20">
        <f t="shared" si="3"/>
        <v>0</v>
      </c>
      <c r="W123" s="55">
        <f t="array" ref="W123">IFERROR(INDEX(PRECIOS_TINTORERIA!$B$4:$U$15,MATCH(D123,PRECIOS_TINTORERIA!$A$4:$A$15,0),MATCH(VLOOKUP(A123,PROGRAMAS!$A$4:$G$103,7,FALSE()),PRECIOS_TINTORERIA!$B$3:$U$3,0)),0)</f>
        <v>0</v>
      </c>
      <c r="X123" s="56"/>
      <c r="Y123" s="57"/>
      <c r="Z123" s="58">
        <f t="shared" si="4"/>
        <v>0</v>
      </c>
      <c r="AA123" s="56"/>
      <c r="AB123" s="56"/>
      <c r="AC123" s="56"/>
      <c r="AD123" s="23">
        <f>IFERROR((SUMIFS(COMPRAS_HILO!$H$4:$H$203,COMPRAS_HILO!$B$4:$B$203,A123))*F123/SUMIFS($F$4:$F$503,$A$4:$A$503,A123),0)</f>
        <v>0</v>
      </c>
      <c r="AE123" s="23">
        <f t="shared" si="5"/>
        <v>0</v>
      </c>
      <c r="AF123" s="23">
        <f t="shared" si="6"/>
        <v>0</v>
      </c>
      <c r="AG123" s="25">
        <f t="shared" si="7"/>
        <v>0</v>
      </c>
      <c r="AH123" s="25">
        <f t="shared" si="8"/>
        <v>0</v>
      </c>
      <c r="AI123" s="59"/>
    </row>
    <row r="124" ht="15.75" customHeight="1">
      <c r="A124" s="40"/>
      <c r="B124" s="33"/>
      <c r="C124" s="45" t="str">
        <f>IFERROR(VLOOKUP(B124,COLORES!$A$4:$B$52,2,FALSE()),"")</f>
        <v/>
      </c>
      <c r="D124" s="33"/>
      <c r="E124" s="46"/>
      <c r="F124" s="34"/>
      <c r="G124" s="33"/>
      <c r="H124" s="47"/>
      <c r="I124" s="47"/>
      <c r="J124" s="48">
        <f>IFERROR(VLOOKUP(VLOOKUP(A124,PROGRAMAS!$A$4:$G$103,7,FALSE()),PRECIOS_TEJEDURIA!$A$4:$B$22,2,FALSE()),0)</f>
        <v>0</v>
      </c>
      <c r="K124" s="49"/>
      <c r="L124" s="50"/>
      <c r="M124" s="51">
        <f t="shared" si="1"/>
        <v>0</v>
      </c>
      <c r="N124" s="49"/>
      <c r="O124" s="49"/>
      <c r="P124" s="49"/>
      <c r="Q124" s="52"/>
      <c r="R124" s="53"/>
      <c r="S124" s="53"/>
      <c r="T124" s="54"/>
      <c r="U124" s="19">
        <f t="shared" si="2"/>
        <v>0</v>
      </c>
      <c r="V124" s="20">
        <f t="shared" si="3"/>
        <v>0</v>
      </c>
      <c r="W124" s="55">
        <f t="array" ref="W124">IFERROR(INDEX(PRECIOS_TINTORERIA!$B$4:$U$15,MATCH(D124,PRECIOS_TINTORERIA!$A$4:$A$15,0),MATCH(VLOOKUP(A124,PROGRAMAS!$A$4:$G$103,7,FALSE()),PRECIOS_TINTORERIA!$B$3:$U$3,0)),0)</f>
        <v>0</v>
      </c>
      <c r="X124" s="56"/>
      <c r="Y124" s="57"/>
      <c r="Z124" s="58">
        <f t="shared" si="4"/>
        <v>0</v>
      </c>
      <c r="AA124" s="56"/>
      <c r="AB124" s="56"/>
      <c r="AC124" s="56"/>
      <c r="AD124" s="23">
        <f>IFERROR((SUMIFS(COMPRAS_HILO!$H$4:$H$203,COMPRAS_HILO!$B$4:$B$203,A124))*F124/SUMIFS($F$4:$F$503,$A$4:$A$503,A124),0)</f>
        <v>0</v>
      </c>
      <c r="AE124" s="23">
        <f t="shared" si="5"/>
        <v>0</v>
      </c>
      <c r="AF124" s="23">
        <f t="shared" si="6"/>
        <v>0</v>
      </c>
      <c r="AG124" s="25">
        <f t="shared" si="7"/>
        <v>0</v>
      </c>
      <c r="AH124" s="25">
        <f t="shared" si="8"/>
        <v>0</v>
      </c>
      <c r="AI124" s="59"/>
    </row>
    <row r="125" ht="15.75" customHeight="1">
      <c r="A125" s="40"/>
      <c r="B125" s="33"/>
      <c r="C125" s="45" t="str">
        <f>IFERROR(VLOOKUP(B125,COLORES!$A$4:$B$52,2,FALSE()),"")</f>
        <v/>
      </c>
      <c r="D125" s="33"/>
      <c r="E125" s="46"/>
      <c r="F125" s="34"/>
      <c r="G125" s="33"/>
      <c r="H125" s="47"/>
      <c r="I125" s="47"/>
      <c r="J125" s="48">
        <f>IFERROR(VLOOKUP(VLOOKUP(A125,PROGRAMAS!$A$4:$G$103,7,FALSE()),PRECIOS_TEJEDURIA!$A$4:$B$22,2,FALSE()),0)</f>
        <v>0</v>
      </c>
      <c r="K125" s="49"/>
      <c r="L125" s="50"/>
      <c r="M125" s="51">
        <f t="shared" si="1"/>
        <v>0</v>
      </c>
      <c r="N125" s="49"/>
      <c r="O125" s="49"/>
      <c r="P125" s="49"/>
      <c r="Q125" s="52"/>
      <c r="R125" s="53"/>
      <c r="S125" s="53"/>
      <c r="T125" s="54"/>
      <c r="U125" s="19">
        <f t="shared" si="2"/>
        <v>0</v>
      </c>
      <c r="V125" s="20">
        <f t="shared" si="3"/>
        <v>0</v>
      </c>
      <c r="W125" s="55">
        <f t="array" ref="W125">IFERROR(INDEX(PRECIOS_TINTORERIA!$B$4:$U$15,MATCH(D125,PRECIOS_TINTORERIA!$A$4:$A$15,0),MATCH(VLOOKUP(A125,PROGRAMAS!$A$4:$G$103,7,FALSE()),PRECIOS_TINTORERIA!$B$3:$U$3,0)),0)</f>
        <v>0</v>
      </c>
      <c r="X125" s="56"/>
      <c r="Y125" s="57"/>
      <c r="Z125" s="58">
        <f t="shared" si="4"/>
        <v>0</v>
      </c>
      <c r="AA125" s="56"/>
      <c r="AB125" s="56"/>
      <c r="AC125" s="56"/>
      <c r="AD125" s="23">
        <f>IFERROR((SUMIFS(COMPRAS_HILO!$H$4:$H$203,COMPRAS_HILO!$B$4:$B$203,A125))*F125/SUMIFS($F$4:$F$503,$A$4:$A$503,A125),0)</f>
        <v>0</v>
      </c>
      <c r="AE125" s="23">
        <f t="shared" si="5"/>
        <v>0</v>
      </c>
      <c r="AF125" s="23">
        <f t="shared" si="6"/>
        <v>0</v>
      </c>
      <c r="AG125" s="25">
        <f t="shared" si="7"/>
        <v>0</v>
      </c>
      <c r="AH125" s="25">
        <f t="shared" si="8"/>
        <v>0</v>
      </c>
      <c r="AI125" s="59"/>
    </row>
    <row r="126" ht="15.75" customHeight="1">
      <c r="A126" s="40"/>
      <c r="B126" s="33"/>
      <c r="C126" s="45" t="str">
        <f>IFERROR(VLOOKUP(B126,COLORES!$A$4:$B$52,2,FALSE()),"")</f>
        <v/>
      </c>
      <c r="D126" s="33"/>
      <c r="E126" s="46"/>
      <c r="F126" s="34"/>
      <c r="G126" s="33"/>
      <c r="H126" s="47"/>
      <c r="I126" s="47"/>
      <c r="J126" s="48">
        <f>IFERROR(VLOOKUP(VLOOKUP(A126,PROGRAMAS!$A$4:$G$103,7,FALSE()),PRECIOS_TEJEDURIA!$A$4:$B$22,2,FALSE()),0)</f>
        <v>0</v>
      </c>
      <c r="K126" s="49"/>
      <c r="L126" s="50"/>
      <c r="M126" s="51">
        <f t="shared" si="1"/>
        <v>0</v>
      </c>
      <c r="N126" s="49"/>
      <c r="O126" s="49"/>
      <c r="P126" s="49"/>
      <c r="Q126" s="52"/>
      <c r="R126" s="53"/>
      <c r="S126" s="53"/>
      <c r="T126" s="54"/>
      <c r="U126" s="19">
        <f t="shared" si="2"/>
        <v>0</v>
      </c>
      <c r="V126" s="20">
        <f t="shared" si="3"/>
        <v>0</v>
      </c>
      <c r="W126" s="55">
        <f t="array" ref="W126">IFERROR(INDEX(PRECIOS_TINTORERIA!$B$4:$U$15,MATCH(D126,PRECIOS_TINTORERIA!$A$4:$A$15,0),MATCH(VLOOKUP(A126,PROGRAMAS!$A$4:$G$103,7,FALSE()),PRECIOS_TINTORERIA!$B$3:$U$3,0)),0)</f>
        <v>0</v>
      </c>
      <c r="X126" s="56"/>
      <c r="Y126" s="57"/>
      <c r="Z126" s="58">
        <f t="shared" si="4"/>
        <v>0</v>
      </c>
      <c r="AA126" s="56"/>
      <c r="AB126" s="56"/>
      <c r="AC126" s="56"/>
      <c r="AD126" s="23">
        <f>IFERROR((SUMIFS(COMPRAS_HILO!$H$4:$H$203,COMPRAS_HILO!$B$4:$B$203,A126))*F126/SUMIFS($F$4:$F$503,$A$4:$A$503,A126),0)</f>
        <v>0</v>
      </c>
      <c r="AE126" s="23">
        <f t="shared" si="5"/>
        <v>0</v>
      </c>
      <c r="AF126" s="23">
        <f t="shared" si="6"/>
        <v>0</v>
      </c>
      <c r="AG126" s="25">
        <f t="shared" si="7"/>
        <v>0</v>
      </c>
      <c r="AH126" s="25">
        <f t="shared" si="8"/>
        <v>0</v>
      </c>
      <c r="AI126" s="59"/>
    </row>
    <row r="127" ht="15.75" customHeight="1">
      <c r="A127" s="40"/>
      <c r="B127" s="33"/>
      <c r="C127" s="45" t="str">
        <f>IFERROR(VLOOKUP(B127,COLORES!$A$4:$B$52,2,FALSE()),"")</f>
        <v/>
      </c>
      <c r="D127" s="33"/>
      <c r="E127" s="46"/>
      <c r="F127" s="34"/>
      <c r="G127" s="33"/>
      <c r="H127" s="47"/>
      <c r="I127" s="47"/>
      <c r="J127" s="48">
        <f>IFERROR(VLOOKUP(VLOOKUP(A127,PROGRAMAS!$A$4:$G$103,7,FALSE()),PRECIOS_TEJEDURIA!$A$4:$B$22,2,FALSE()),0)</f>
        <v>0</v>
      </c>
      <c r="K127" s="49"/>
      <c r="L127" s="50"/>
      <c r="M127" s="51">
        <f t="shared" si="1"/>
        <v>0</v>
      </c>
      <c r="N127" s="49"/>
      <c r="O127" s="49"/>
      <c r="P127" s="49"/>
      <c r="Q127" s="52"/>
      <c r="R127" s="53"/>
      <c r="S127" s="53"/>
      <c r="T127" s="54"/>
      <c r="U127" s="19">
        <f t="shared" si="2"/>
        <v>0</v>
      </c>
      <c r="V127" s="20">
        <f t="shared" si="3"/>
        <v>0</v>
      </c>
      <c r="W127" s="55">
        <f t="array" ref="W127">IFERROR(INDEX(PRECIOS_TINTORERIA!$B$4:$U$15,MATCH(D127,PRECIOS_TINTORERIA!$A$4:$A$15,0),MATCH(VLOOKUP(A127,PROGRAMAS!$A$4:$G$103,7,FALSE()),PRECIOS_TINTORERIA!$B$3:$U$3,0)),0)</f>
        <v>0</v>
      </c>
      <c r="X127" s="56"/>
      <c r="Y127" s="57"/>
      <c r="Z127" s="58">
        <f t="shared" si="4"/>
        <v>0</v>
      </c>
      <c r="AA127" s="56"/>
      <c r="AB127" s="56"/>
      <c r="AC127" s="56"/>
      <c r="AD127" s="23">
        <f>IFERROR((SUMIFS(COMPRAS_HILO!$H$4:$H$203,COMPRAS_HILO!$B$4:$B$203,A127))*F127/SUMIFS($F$4:$F$503,$A$4:$A$503,A127),0)</f>
        <v>0</v>
      </c>
      <c r="AE127" s="23">
        <f t="shared" si="5"/>
        <v>0</v>
      </c>
      <c r="AF127" s="23">
        <f t="shared" si="6"/>
        <v>0</v>
      </c>
      <c r="AG127" s="25">
        <f t="shared" si="7"/>
        <v>0</v>
      </c>
      <c r="AH127" s="25">
        <f t="shared" si="8"/>
        <v>0</v>
      </c>
      <c r="AI127" s="59"/>
    </row>
    <row r="128" ht="15.75" customHeight="1">
      <c r="A128" s="40"/>
      <c r="B128" s="33"/>
      <c r="C128" s="45" t="str">
        <f>IFERROR(VLOOKUP(B128,COLORES!$A$4:$B$52,2,FALSE()),"")</f>
        <v/>
      </c>
      <c r="D128" s="33"/>
      <c r="E128" s="46"/>
      <c r="F128" s="34"/>
      <c r="G128" s="33"/>
      <c r="H128" s="47"/>
      <c r="I128" s="47"/>
      <c r="J128" s="48">
        <f>IFERROR(VLOOKUP(VLOOKUP(A128,PROGRAMAS!$A$4:$G$103,7,FALSE()),PRECIOS_TEJEDURIA!$A$4:$B$22,2,FALSE()),0)</f>
        <v>0</v>
      </c>
      <c r="K128" s="49"/>
      <c r="L128" s="50"/>
      <c r="M128" s="51">
        <f t="shared" si="1"/>
        <v>0</v>
      </c>
      <c r="N128" s="49"/>
      <c r="O128" s="49"/>
      <c r="P128" s="49"/>
      <c r="Q128" s="52"/>
      <c r="R128" s="53"/>
      <c r="S128" s="53"/>
      <c r="T128" s="54"/>
      <c r="U128" s="19">
        <f t="shared" si="2"/>
        <v>0</v>
      </c>
      <c r="V128" s="20">
        <f t="shared" si="3"/>
        <v>0</v>
      </c>
      <c r="W128" s="55">
        <f t="array" ref="W128">IFERROR(INDEX(PRECIOS_TINTORERIA!$B$4:$U$15,MATCH(D128,PRECIOS_TINTORERIA!$A$4:$A$15,0),MATCH(VLOOKUP(A128,PROGRAMAS!$A$4:$G$103,7,FALSE()),PRECIOS_TINTORERIA!$B$3:$U$3,0)),0)</f>
        <v>0</v>
      </c>
      <c r="X128" s="56"/>
      <c r="Y128" s="57"/>
      <c r="Z128" s="58">
        <f t="shared" si="4"/>
        <v>0</v>
      </c>
      <c r="AA128" s="56"/>
      <c r="AB128" s="56"/>
      <c r="AC128" s="56"/>
      <c r="AD128" s="23">
        <f>IFERROR((SUMIFS(COMPRAS_HILO!$H$4:$H$203,COMPRAS_HILO!$B$4:$B$203,A128))*F128/SUMIFS($F$4:$F$503,$A$4:$A$503,A128),0)</f>
        <v>0</v>
      </c>
      <c r="AE128" s="23">
        <f t="shared" si="5"/>
        <v>0</v>
      </c>
      <c r="AF128" s="23">
        <f t="shared" si="6"/>
        <v>0</v>
      </c>
      <c r="AG128" s="25">
        <f t="shared" si="7"/>
        <v>0</v>
      </c>
      <c r="AH128" s="25">
        <f t="shared" si="8"/>
        <v>0</v>
      </c>
      <c r="AI128" s="59"/>
    </row>
    <row r="129" ht="15.75" customHeight="1">
      <c r="A129" s="40"/>
      <c r="B129" s="33"/>
      <c r="C129" s="45" t="str">
        <f>IFERROR(VLOOKUP(B129,COLORES!$A$4:$B$52,2,FALSE()),"")</f>
        <v/>
      </c>
      <c r="D129" s="33"/>
      <c r="E129" s="46"/>
      <c r="F129" s="34"/>
      <c r="G129" s="33"/>
      <c r="H129" s="47"/>
      <c r="I129" s="47"/>
      <c r="J129" s="48">
        <f>IFERROR(VLOOKUP(VLOOKUP(A129,PROGRAMAS!$A$4:$G$103,7,FALSE()),PRECIOS_TEJEDURIA!$A$4:$B$22,2,FALSE()),0)</f>
        <v>0</v>
      </c>
      <c r="K129" s="49"/>
      <c r="L129" s="50"/>
      <c r="M129" s="51">
        <f t="shared" si="1"/>
        <v>0</v>
      </c>
      <c r="N129" s="49"/>
      <c r="O129" s="49"/>
      <c r="P129" s="49"/>
      <c r="Q129" s="52"/>
      <c r="R129" s="53"/>
      <c r="S129" s="53"/>
      <c r="T129" s="54"/>
      <c r="U129" s="19">
        <f t="shared" si="2"/>
        <v>0</v>
      </c>
      <c r="V129" s="20">
        <f t="shared" si="3"/>
        <v>0</v>
      </c>
      <c r="W129" s="55">
        <f t="array" ref="W129">IFERROR(INDEX(PRECIOS_TINTORERIA!$B$4:$U$15,MATCH(D129,PRECIOS_TINTORERIA!$A$4:$A$15,0),MATCH(VLOOKUP(A129,PROGRAMAS!$A$4:$G$103,7,FALSE()),PRECIOS_TINTORERIA!$B$3:$U$3,0)),0)</f>
        <v>0</v>
      </c>
      <c r="X129" s="56"/>
      <c r="Y129" s="57"/>
      <c r="Z129" s="58">
        <f t="shared" si="4"/>
        <v>0</v>
      </c>
      <c r="AA129" s="56"/>
      <c r="AB129" s="56"/>
      <c r="AC129" s="56"/>
      <c r="AD129" s="23">
        <f>IFERROR((SUMIFS(COMPRAS_HILO!$H$4:$H$203,COMPRAS_HILO!$B$4:$B$203,A129))*F129/SUMIFS($F$4:$F$503,$A$4:$A$503,A129),0)</f>
        <v>0</v>
      </c>
      <c r="AE129" s="23">
        <f t="shared" si="5"/>
        <v>0</v>
      </c>
      <c r="AF129" s="23">
        <f t="shared" si="6"/>
        <v>0</v>
      </c>
      <c r="AG129" s="25">
        <f t="shared" si="7"/>
        <v>0</v>
      </c>
      <c r="AH129" s="25">
        <f t="shared" si="8"/>
        <v>0</v>
      </c>
      <c r="AI129" s="59"/>
    </row>
    <row r="130" ht="15.75" customHeight="1">
      <c r="A130" s="40"/>
      <c r="B130" s="33"/>
      <c r="C130" s="45" t="str">
        <f>IFERROR(VLOOKUP(B130,COLORES!$A$4:$B$52,2,FALSE()),"")</f>
        <v/>
      </c>
      <c r="D130" s="33"/>
      <c r="E130" s="46"/>
      <c r="F130" s="34"/>
      <c r="G130" s="33"/>
      <c r="H130" s="47"/>
      <c r="I130" s="47"/>
      <c r="J130" s="48">
        <f>IFERROR(VLOOKUP(VLOOKUP(A130,PROGRAMAS!$A$4:$G$103,7,FALSE()),PRECIOS_TEJEDURIA!$A$4:$B$22,2,FALSE()),0)</f>
        <v>0</v>
      </c>
      <c r="K130" s="49"/>
      <c r="L130" s="50"/>
      <c r="M130" s="51">
        <f t="shared" si="1"/>
        <v>0</v>
      </c>
      <c r="N130" s="49"/>
      <c r="O130" s="49"/>
      <c r="P130" s="49"/>
      <c r="Q130" s="52"/>
      <c r="R130" s="53"/>
      <c r="S130" s="53"/>
      <c r="T130" s="54"/>
      <c r="U130" s="19">
        <f t="shared" si="2"/>
        <v>0</v>
      </c>
      <c r="V130" s="20">
        <f t="shared" si="3"/>
        <v>0</v>
      </c>
      <c r="W130" s="55">
        <f t="array" ref="W130">IFERROR(INDEX(PRECIOS_TINTORERIA!$B$4:$U$15,MATCH(D130,PRECIOS_TINTORERIA!$A$4:$A$15,0),MATCH(VLOOKUP(A130,PROGRAMAS!$A$4:$G$103,7,FALSE()),PRECIOS_TINTORERIA!$B$3:$U$3,0)),0)</f>
        <v>0</v>
      </c>
      <c r="X130" s="56"/>
      <c r="Y130" s="57"/>
      <c r="Z130" s="58">
        <f t="shared" si="4"/>
        <v>0</v>
      </c>
      <c r="AA130" s="56"/>
      <c r="AB130" s="56"/>
      <c r="AC130" s="56"/>
      <c r="AD130" s="23">
        <f>IFERROR((SUMIFS(COMPRAS_HILO!$H$4:$H$203,COMPRAS_HILO!$B$4:$B$203,A130))*F130/SUMIFS($F$4:$F$503,$A$4:$A$503,A130),0)</f>
        <v>0</v>
      </c>
      <c r="AE130" s="23">
        <f t="shared" si="5"/>
        <v>0</v>
      </c>
      <c r="AF130" s="23">
        <f t="shared" si="6"/>
        <v>0</v>
      </c>
      <c r="AG130" s="25">
        <f t="shared" si="7"/>
        <v>0</v>
      </c>
      <c r="AH130" s="25">
        <f t="shared" si="8"/>
        <v>0</v>
      </c>
      <c r="AI130" s="59"/>
    </row>
    <row r="131" ht="15.75" customHeight="1">
      <c r="A131" s="40"/>
      <c r="B131" s="33"/>
      <c r="C131" s="45" t="str">
        <f>IFERROR(VLOOKUP(B131,COLORES!$A$4:$B$52,2,FALSE()),"")</f>
        <v/>
      </c>
      <c r="D131" s="33"/>
      <c r="E131" s="46"/>
      <c r="F131" s="34"/>
      <c r="G131" s="33"/>
      <c r="H131" s="47"/>
      <c r="I131" s="47"/>
      <c r="J131" s="48">
        <f>IFERROR(VLOOKUP(VLOOKUP(A131,PROGRAMAS!$A$4:$G$103,7,FALSE()),PRECIOS_TEJEDURIA!$A$4:$B$22,2,FALSE()),0)</f>
        <v>0</v>
      </c>
      <c r="K131" s="49"/>
      <c r="L131" s="50"/>
      <c r="M131" s="51">
        <f t="shared" si="1"/>
        <v>0</v>
      </c>
      <c r="N131" s="49"/>
      <c r="O131" s="49"/>
      <c r="P131" s="49"/>
      <c r="Q131" s="52"/>
      <c r="R131" s="53"/>
      <c r="S131" s="53"/>
      <c r="T131" s="54"/>
      <c r="U131" s="19">
        <f t="shared" si="2"/>
        <v>0</v>
      </c>
      <c r="V131" s="20">
        <f t="shared" si="3"/>
        <v>0</v>
      </c>
      <c r="W131" s="55">
        <f t="array" ref="W131">IFERROR(INDEX(PRECIOS_TINTORERIA!$B$4:$U$15,MATCH(D131,PRECIOS_TINTORERIA!$A$4:$A$15,0),MATCH(VLOOKUP(A131,PROGRAMAS!$A$4:$G$103,7,FALSE()),PRECIOS_TINTORERIA!$B$3:$U$3,0)),0)</f>
        <v>0</v>
      </c>
      <c r="X131" s="56"/>
      <c r="Y131" s="57"/>
      <c r="Z131" s="58">
        <f t="shared" si="4"/>
        <v>0</v>
      </c>
      <c r="AA131" s="56"/>
      <c r="AB131" s="56"/>
      <c r="AC131" s="56"/>
      <c r="AD131" s="23">
        <f>IFERROR((SUMIFS(COMPRAS_HILO!$H$4:$H$203,COMPRAS_HILO!$B$4:$B$203,A131))*F131/SUMIFS($F$4:$F$503,$A$4:$A$503,A131),0)</f>
        <v>0</v>
      </c>
      <c r="AE131" s="23">
        <f t="shared" si="5"/>
        <v>0</v>
      </c>
      <c r="AF131" s="23">
        <f t="shared" si="6"/>
        <v>0</v>
      </c>
      <c r="AG131" s="25">
        <f t="shared" si="7"/>
        <v>0</v>
      </c>
      <c r="AH131" s="25">
        <f t="shared" si="8"/>
        <v>0</v>
      </c>
      <c r="AI131" s="59"/>
    </row>
    <row r="132" ht="15.75" customHeight="1">
      <c r="A132" s="40"/>
      <c r="B132" s="33"/>
      <c r="C132" s="45" t="str">
        <f>IFERROR(VLOOKUP(B132,COLORES!$A$4:$B$52,2,FALSE()),"")</f>
        <v/>
      </c>
      <c r="D132" s="33"/>
      <c r="E132" s="46"/>
      <c r="F132" s="34"/>
      <c r="G132" s="33"/>
      <c r="H132" s="47"/>
      <c r="I132" s="47"/>
      <c r="J132" s="48">
        <f>IFERROR(VLOOKUP(VLOOKUP(A132,PROGRAMAS!$A$4:$G$103,7,FALSE()),PRECIOS_TEJEDURIA!$A$4:$B$22,2,FALSE()),0)</f>
        <v>0</v>
      </c>
      <c r="K132" s="49"/>
      <c r="L132" s="50"/>
      <c r="M132" s="51">
        <f t="shared" si="1"/>
        <v>0</v>
      </c>
      <c r="N132" s="49"/>
      <c r="O132" s="49"/>
      <c r="P132" s="49"/>
      <c r="Q132" s="52"/>
      <c r="R132" s="53"/>
      <c r="S132" s="53"/>
      <c r="T132" s="54"/>
      <c r="U132" s="19">
        <f t="shared" si="2"/>
        <v>0</v>
      </c>
      <c r="V132" s="20">
        <f t="shared" si="3"/>
        <v>0</v>
      </c>
      <c r="W132" s="55">
        <f t="array" ref="W132">IFERROR(INDEX(PRECIOS_TINTORERIA!$B$4:$U$15,MATCH(D132,PRECIOS_TINTORERIA!$A$4:$A$15,0),MATCH(VLOOKUP(A132,PROGRAMAS!$A$4:$G$103,7,FALSE()),PRECIOS_TINTORERIA!$B$3:$U$3,0)),0)</f>
        <v>0</v>
      </c>
      <c r="X132" s="56"/>
      <c r="Y132" s="57"/>
      <c r="Z132" s="58">
        <f t="shared" si="4"/>
        <v>0</v>
      </c>
      <c r="AA132" s="56"/>
      <c r="AB132" s="56"/>
      <c r="AC132" s="56"/>
      <c r="AD132" s="23">
        <f>IFERROR((SUMIFS(COMPRAS_HILO!$H$4:$H$203,COMPRAS_HILO!$B$4:$B$203,A132))*F132/SUMIFS($F$4:$F$503,$A$4:$A$503,A132),0)</f>
        <v>0</v>
      </c>
      <c r="AE132" s="23">
        <f t="shared" si="5"/>
        <v>0</v>
      </c>
      <c r="AF132" s="23">
        <f t="shared" si="6"/>
        <v>0</v>
      </c>
      <c r="AG132" s="25">
        <f t="shared" si="7"/>
        <v>0</v>
      </c>
      <c r="AH132" s="25">
        <f t="shared" si="8"/>
        <v>0</v>
      </c>
      <c r="AI132" s="59"/>
    </row>
    <row r="133" ht="15.75" customHeight="1">
      <c r="A133" s="40"/>
      <c r="B133" s="33"/>
      <c r="C133" s="45" t="str">
        <f>IFERROR(VLOOKUP(B133,COLORES!$A$4:$B$52,2,FALSE()),"")</f>
        <v/>
      </c>
      <c r="D133" s="33"/>
      <c r="E133" s="46"/>
      <c r="F133" s="34"/>
      <c r="G133" s="33"/>
      <c r="H133" s="47"/>
      <c r="I133" s="47"/>
      <c r="J133" s="48">
        <f>IFERROR(VLOOKUP(VLOOKUP(A133,PROGRAMAS!$A$4:$G$103,7,FALSE()),PRECIOS_TEJEDURIA!$A$4:$B$22,2,FALSE()),0)</f>
        <v>0</v>
      </c>
      <c r="K133" s="49"/>
      <c r="L133" s="50"/>
      <c r="M133" s="51">
        <f t="shared" si="1"/>
        <v>0</v>
      </c>
      <c r="N133" s="49"/>
      <c r="O133" s="49"/>
      <c r="P133" s="49"/>
      <c r="Q133" s="52"/>
      <c r="R133" s="53"/>
      <c r="S133" s="53"/>
      <c r="T133" s="54"/>
      <c r="U133" s="19">
        <f t="shared" si="2"/>
        <v>0</v>
      </c>
      <c r="V133" s="20">
        <f t="shared" si="3"/>
        <v>0</v>
      </c>
      <c r="W133" s="55">
        <f t="array" ref="W133">IFERROR(INDEX(PRECIOS_TINTORERIA!$B$4:$U$15,MATCH(D133,PRECIOS_TINTORERIA!$A$4:$A$15,0),MATCH(VLOOKUP(A133,PROGRAMAS!$A$4:$G$103,7,FALSE()),PRECIOS_TINTORERIA!$B$3:$U$3,0)),0)</f>
        <v>0</v>
      </c>
      <c r="X133" s="56"/>
      <c r="Y133" s="57"/>
      <c r="Z133" s="58">
        <f t="shared" si="4"/>
        <v>0</v>
      </c>
      <c r="AA133" s="56"/>
      <c r="AB133" s="56"/>
      <c r="AC133" s="56"/>
      <c r="AD133" s="23">
        <f>IFERROR((SUMIFS(COMPRAS_HILO!$H$4:$H$203,COMPRAS_HILO!$B$4:$B$203,A133))*F133/SUMIFS($F$4:$F$503,$A$4:$A$503,A133),0)</f>
        <v>0</v>
      </c>
      <c r="AE133" s="23">
        <f t="shared" si="5"/>
        <v>0</v>
      </c>
      <c r="AF133" s="23">
        <f t="shared" si="6"/>
        <v>0</v>
      </c>
      <c r="AG133" s="25">
        <f t="shared" si="7"/>
        <v>0</v>
      </c>
      <c r="AH133" s="25">
        <f t="shared" si="8"/>
        <v>0</v>
      </c>
      <c r="AI133" s="59"/>
    </row>
    <row r="134" ht="15.75" customHeight="1">
      <c r="A134" s="40"/>
      <c r="B134" s="33"/>
      <c r="C134" s="45" t="str">
        <f>IFERROR(VLOOKUP(B134,COLORES!$A$4:$B$52,2,FALSE()),"")</f>
        <v/>
      </c>
      <c r="D134" s="33"/>
      <c r="E134" s="46"/>
      <c r="F134" s="34"/>
      <c r="G134" s="33"/>
      <c r="H134" s="47"/>
      <c r="I134" s="47"/>
      <c r="J134" s="48">
        <f>IFERROR(VLOOKUP(VLOOKUP(A134,PROGRAMAS!$A$4:$G$103,7,FALSE()),PRECIOS_TEJEDURIA!$A$4:$B$22,2,FALSE()),0)</f>
        <v>0</v>
      </c>
      <c r="K134" s="49"/>
      <c r="L134" s="50"/>
      <c r="M134" s="51">
        <f t="shared" si="1"/>
        <v>0</v>
      </c>
      <c r="N134" s="49"/>
      <c r="O134" s="49"/>
      <c r="P134" s="49"/>
      <c r="Q134" s="52"/>
      <c r="R134" s="53"/>
      <c r="S134" s="53"/>
      <c r="T134" s="54"/>
      <c r="U134" s="19">
        <f t="shared" si="2"/>
        <v>0</v>
      </c>
      <c r="V134" s="20">
        <f t="shared" si="3"/>
        <v>0</v>
      </c>
      <c r="W134" s="55">
        <f t="array" ref="W134">IFERROR(INDEX(PRECIOS_TINTORERIA!$B$4:$U$15,MATCH(D134,PRECIOS_TINTORERIA!$A$4:$A$15,0),MATCH(VLOOKUP(A134,PROGRAMAS!$A$4:$G$103,7,FALSE()),PRECIOS_TINTORERIA!$B$3:$U$3,0)),0)</f>
        <v>0</v>
      </c>
      <c r="X134" s="56"/>
      <c r="Y134" s="57"/>
      <c r="Z134" s="58">
        <f t="shared" si="4"/>
        <v>0</v>
      </c>
      <c r="AA134" s="56"/>
      <c r="AB134" s="56"/>
      <c r="AC134" s="56"/>
      <c r="AD134" s="23">
        <f>IFERROR((SUMIFS(COMPRAS_HILO!$H$4:$H$203,COMPRAS_HILO!$B$4:$B$203,A134))*F134/SUMIFS($F$4:$F$503,$A$4:$A$503,A134),0)</f>
        <v>0</v>
      </c>
      <c r="AE134" s="23">
        <f t="shared" si="5"/>
        <v>0</v>
      </c>
      <c r="AF134" s="23">
        <f t="shared" si="6"/>
        <v>0</v>
      </c>
      <c r="AG134" s="25">
        <f t="shared" si="7"/>
        <v>0</v>
      </c>
      <c r="AH134" s="25">
        <f t="shared" si="8"/>
        <v>0</v>
      </c>
      <c r="AI134" s="59"/>
    </row>
    <row r="135" ht="15.75" customHeight="1">
      <c r="A135" s="40"/>
      <c r="B135" s="33"/>
      <c r="C135" s="45" t="str">
        <f>IFERROR(VLOOKUP(B135,COLORES!$A$4:$B$52,2,FALSE()),"")</f>
        <v/>
      </c>
      <c r="D135" s="33"/>
      <c r="E135" s="46"/>
      <c r="F135" s="34"/>
      <c r="G135" s="33"/>
      <c r="H135" s="47"/>
      <c r="I135" s="47"/>
      <c r="J135" s="48">
        <f>IFERROR(VLOOKUP(VLOOKUP(A135,PROGRAMAS!$A$4:$G$103,7,FALSE()),PRECIOS_TEJEDURIA!$A$4:$B$22,2,FALSE()),0)</f>
        <v>0</v>
      </c>
      <c r="K135" s="49"/>
      <c r="L135" s="50"/>
      <c r="M135" s="51">
        <f t="shared" si="1"/>
        <v>0</v>
      </c>
      <c r="N135" s="49"/>
      <c r="O135" s="49"/>
      <c r="P135" s="49"/>
      <c r="Q135" s="52"/>
      <c r="R135" s="53"/>
      <c r="S135" s="53"/>
      <c r="T135" s="54"/>
      <c r="U135" s="19">
        <f t="shared" si="2"/>
        <v>0</v>
      </c>
      <c r="V135" s="20">
        <f t="shared" si="3"/>
        <v>0</v>
      </c>
      <c r="W135" s="55">
        <f t="array" ref="W135">IFERROR(INDEX(PRECIOS_TINTORERIA!$B$4:$U$15,MATCH(D135,PRECIOS_TINTORERIA!$A$4:$A$15,0),MATCH(VLOOKUP(A135,PROGRAMAS!$A$4:$G$103,7,FALSE()),PRECIOS_TINTORERIA!$B$3:$U$3,0)),0)</f>
        <v>0</v>
      </c>
      <c r="X135" s="56"/>
      <c r="Y135" s="57"/>
      <c r="Z135" s="58">
        <f t="shared" si="4"/>
        <v>0</v>
      </c>
      <c r="AA135" s="56"/>
      <c r="AB135" s="56"/>
      <c r="AC135" s="56"/>
      <c r="AD135" s="23">
        <f>IFERROR((SUMIFS(COMPRAS_HILO!$H$4:$H$203,COMPRAS_HILO!$B$4:$B$203,A135))*F135/SUMIFS($F$4:$F$503,$A$4:$A$503,A135),0)</f>
        <v>0</v>
      </c>
      <c r="AE135" s="23">
        <f t="shared" si="5"/>
        <v>0</v>
      </c>
      <c r="AF135" s="23">
        <f t="shared" si="6"/>
        <v>0</v>
      </c>
      <c r="AG135" s="25">
        <f t="shared" si="7"/>
        <v>0</v>
      </c>
      <c r="AH135" s="25">
        <f t="shared" si="8"/>
        <v>0</v>
      </c>
      <c r="AI135" s="59"/>
    </row>
    <row r="136" ht="15.75" customHeight="1">
      <c r="A136" s="40"/>
      <c r="B136" s="33"/>
      <c r="C136" s="45" t="str">
        <f>IFERROR(VLOOKUP(B136,COLORES!$A$4:$B$52,2,FALSE()),"")</f>
        <v/>
      </c>
      <c r="D136" s="33"/>
      <c r="E136" s="46"/>
      <c r="F136" s="34"/>
      <c r="G136" s="33"/>
      <c r="H136" s="47"/>
      <c r="I136" s="47"/>
      <c r="J136" s="48">
        <f>IFERROR(VLOOKUP(VLOOKUP(A136,PROGRAMAS!$A$4:$G$103,7,FALSE()),PRECIOS_TEJEDURIA!$A$4:$B$22,2,FALSE()),0)</f>
        <v>0</v>
      </c>
      <c r="K136" s="49"/>
      <c r="L136" s="50"/>
      <c r="M136" s="51">
        <f t="shared" si="1"/>
        <v>0</v>
      </c>
      <c r="N136" s="49"/>
      <c r="O136" s="49"/>
      <c r="P136" s="49"/>
      <c r="Q136" s="52"/>
      <c r="R136" s="53"/>
      <c r="S136" s="53"/>
      <c r="T136" s="54"/>
      <c r="U136" s="19">
        <f t="shared" si="2"/>
        <v>0</v>
      </c>
      <c r="V136" s="20">
        <f t="shared" si="3"/>
        <v>0</v>
      </c>
      <c r="W136" s="55">
        <f t="array" ref="W136">IFERROR(INDEX(PRECIOS_TINTORERIA!$B$4:$U$15,MATCH(D136,PRECIOS_TINTORERIA!$A$4:$A$15,0),MATCH(VLOOKUP(A136,PROGRAMAS!$A$4:$G$103,7,FALSE()),PRECIOS_TINTORERIA!$B$3:$U$3,0)),0)</f>
        <v>0</v>
      </c>
      <c r="X136" s="56"/>
      <c r="Y136" s="57"/>
      <c r="Z136" s="58">
        <f t="shared" si="4"/>
        <v>0</v>
      </c>
      <c r="AA136" s="56"/>
      <c r="AB136" s="56"/>
      <c r="AC136" s="56"/>
      <c r="AD136" s="23">
        <f>IFERROR((SUMIFS(COMPRAS_HILO!$H$4:$H$203,COMPRAS_HILO!$B$4:$B$203,A136))*F136/SUMIFS($F$4:$F$503,$A$4:$A$503,A136),0)</f>
        <v>0</v>
      </c>
      <c r="AE136" s="23">
        <f t="shared" si="5"/>
        <v>0</v>
      </c>
      <c r="AF136" s="23">
        <f t="shared" si="6"/>
        <v>0</v>
      </c>
      <c r="AG136" s="25">
        <f t="shared" si="7"/>
        <v>0</v>
      </c>
      <c r="AH136" s="25">
        <f t="shared" si="8"/>
        <v>0</v>
      </c>
      <c r="AI136" s="59"/>
    </row>
    <row r="137" ht="15.75" customHeight="1">
      <c r="A137" s="40"/>
      <c r="B137" s="33"/>
      <c r="C137" s="45" t="str">
        <f>IFERROR(VLOOKUP(B137,COLORES!$A$4:$B$52,2,FALSE()),"")</f>
        <v/>
      </c>
      <c r="D137" s="33"/>
      <c r="E137" s="46"/>
      <c r="F137" s="34"/>
      <c r="G137" s="33"/>
      <c r="H137" s="47"/>
      <c r="I137" s="47"/>
      <c r="J137" s="48">
        <f>IFERROR(VLOOKUP(VLOOKUP(A137,PROGRAMAS!$A$4:$G$103,7,FALSE()),PRECIOS_TEJEDURIA!$A$4:$B$22,2,FALSE()),0)</f>
        <v>0</v>
      </c>
      <c r="K137" s="49"/>
      <c r="L137" s="50"/>
      <c r="M137" s="51">
        <f t="shared" si="1"/>
        <v>0</v>
      </c>
      <c r="N137" s="49"/>
      <c r="O137" s="49"/>
      <c r="P137" s="49"/>
      <c r="Q137" s="52"/>
      <c r="R137" s="53"/>
      <c r="S137" s="53"/>
      <c r="T137" s="54"/>
      <c r="U137" s="19">
        <f t="shared" si="2"/>
        <v>0</v>
      </c>
      <c r="V137" s="20">
        <f t="shared" si="3"/>
        <v>0</v>
      </c>
      <c r="W137" s="55">
        <f t="array" ref="W137">IFERROR(INDEX(PRECIOS_TINTORERIA!$B$4:$U$15,MATCH(D137,PRECIOS_TINTORERIA!$A$4:$A$15,0),MATCH(VLOOKUP(A137,PROGRAMAS!$A$4:$G$103,7,FALSE()),PRECIOS_TINTORERIA!$B$3:$U$3,0)),0)</f>
        <v>0</v>
      </c>
      <c r="X137" s="56"/>
      <c r="Y137" s="57"/>
      <c r="Z137" s="58">
        <f t="shared" si="4"/>
        <v>0</v>
      </c>
      <c r="AA137" s="56"/>
      <c r="AB137" s="56"/>
      <c r="AC137" s="56"/>
      <c r="AD137" s="23">
        <f>IFERROR((SUMIFS(COMPRAS_HILO!$H$4:$H$203,COMPRAS_HILO!$B$4:$B$203,A137))*F137/SUMIFS($F$4:$F$503,$A$4:$A$503,A137),0)</f>
        <v>0</v>
      </c>
      <c r="AE137" s="23">
        <f t="shared" si="5"/>
        <v>0</v>
      </c>
      <c r="AF137" s="23">
        <f t="shared" si="6"/>
        <v>0</v>
      </c>
      <c r="AG137" s="25">
        <f t="shared" si="7"/>
        <v>0</v>
      </c>
      <c r="AH137" s="25">
        <f t="shared" si="8"/>
        <v>0</v>
      </c>
      <c r="AI137" s="59"/>
    </row>
    <row r="138" ht="15.75" customHeight="1">
      <c r="A138" s="40"/>
      <c r="B138" s="33"/>
      <c r="C138" s="45" t="str">
        <f>IFERROR(VLOOKUP(B138,COLORES!$A$4:$B$52,2,FALSE()),"")</f>
        <v/>
      </c>
      <c r="D138" s="33"/>
      <c r="E138" s="46"/>
      <c r="F138" s="34"/>
      <c r="G138" s="33"/>
      <c r="H138" s="47"/>
      <c r="I138" s="47"/>
      <c r="J138" s="48">
        <f>IFERROR(VLOOKUP(VLOOKUP(A138,PROGRAMAS!$A$4:$G$103,7,FALSE()),PRECIOS_TEJEDURIA!$A$4:$B$22,2,FALSE()),0)</f>
        <v>0</v>
      </c>
      <c r="K138" s="49"/>
      <c r="L138" s="50"/>
      <c r="M138" s="51">
        <f t="shared" si="1"/>
        <v>0</v>
      </c>
      <c r="N138" s="49"/>
      <c r="O138" s="49"/>
      <c r="P138" s="49"/>
      <c r="Q138" s="52"/>
      <c r="R138" s="53"/>
      <c r="S138" s="53"/>
      <c r="T138" s="54"/>
      <c r="U138" s="19">
        <f t="shared" si="2"/>
        <v>0</v>
      </c>
      <c r="V138" s="20">
        <f t="shared" si="3"/>
        <v>0</v>
      </c>
      <c r="W138" s="55">
        <f t="array" ref="W138">IFERROR(INDEX(PRECIOS_TINTORERIA!$B$4:$U$15,MATCH(D138,PRECIOS_TINTORERIA!$A$4:$A$15,0),MATCH(VLOOKUP(A138,PROGRAMAS!$A$4:$G$103,7,FALSE()),PRECIOS_TINTORERIA!$B$3:$U$3,0)),0)</f>
        <v>0</v>
      </c>
      <c r="X138" s="56"/>
      <c r="Y138" s="57"/>
      <c r="Z138" s="58">
        <f t="shared" si="4"/>
        <v>0</v>
      </c>
      <c r="AA138" s="56"/>
      <c r="AB138" s="56"/>
      <c r="AC138" s="56"/>
      <c r="AD138" s="23">
        <f>IFERROR((SUMIFS(COMPRAS_HILO!$H$4:$H$203,COMPRAS_HILO!$B$4:$B$203,A138))*F138/SUMIFS($F$4:$F$503,$A$4:$A$503,A138),0)</f>
        <v>0</v>
      </c>
      <c r="AE138" s="23">
        <f t="shared" si="5"/>
        <v>0</v>
      </c>
      <c r="AF138" s="23">
        <f t="shared" si="6"/>
        <v>0</v>
      </c>
      <c r="AG138" s="25">
        <f t="shared" si="7"/>
        <v>0</v>
      </c>
      <c r="AH138" s="25">
        <f t="shared" si="8"/>
        <v>0</v>
      </c>
      <c r="AI138" s="59"/>
    </row>
    <row r="139" ht="15.75" customHeight="1">
      <c r="A139" s="40"/>
      <c r="B139" s="33"/>
      <c r="C139" s="45" t="str">
        <f>IFERROR(VLOOKUP(B139,COLORES!$A$4:$B$52,2,FALSE()),"")</f>
        <v/>
      </c>
      <c r="D139" s="33"/>
      <c r="E139" s="46"/>
      <c r="F139" s="34"/>
      <c r="G139" s="33"/>
      <c r="H139" s="47"/>
      <c r="I139" s="47"/>
      <c r="J139" s="48">
        <f>IFERROR(VLOOKUP(VLOOKUP(A139,PROGRAMAS!$A$4:$G$103,7,FALSE()),PRECIOS_TEJEDURIA!$A$4:$B$22,2,FALSE()),0)</f>
        <v>0</v>
      </c>
      <c r="K139" s="49"/>
      <c r="L139" s="50"/>
      <c r="M139" s="51">
        <f t="shared" si="1"/>
        <v>0</v>
      </c>
      <c r="N139" s="49"/>
      <c r="O139" s="49"/>
      <c r="P139" s="49"/>
      <c r="Q139" s="52"/>
      <c r="R139" s="53"/>
      <c r="S139" s="53"/>
      <c r="T139" s="54"/>
      <c r="U139" s="19">
        <f t="shared" si="2"/>
        <v>0</v>
      </c>
      <c r="V139" s="20">
        <f t="shared" si="3"/>
        <v>0</v>
      </c>
      <c r="W139" s="55">
        <f t="array" ref="W139">IFERROR(INDEX(PRECIOS_TINTORERIA!$B$4:$U$15,MATCH(D139,PRECIOS_TINTORERIA!$A$4:$A$15,0),MATCH(VLOOKUP(A139,PROGRAMAS!$A$4:$G$103,7,FALSE()),PRECIOS_TINTORERIA!$B$3:$U$3,0)),0)</f>
        <v>0</v>
      </c>
      <c r="X139" s="56"/>
      <c r="Y139" s="57"/>
      <c r="Z139" s="58">
        <f t="shared" si="4"/>
        <v>0</v>
      </c>
      <c r="AA139" s="56"/>
      <c r="AB139" s="56"/>
      <c r="AC139" s="56"/>
      <c r="AD139" s="23">
        <f>IFERROR((SUMIFS(COMPRAS_HILO!$H$4:$H$203,COMPRAS_HILO!$B$4:$B$203,A139))*F139/SUMIFS($F$4:$F$503,$A$4:$A$503,A139),0)</f>
        <v>0</v>
      </c>
      <c r="AE139" s="23">
        <f t="shared" si="5"/>
        <v>0</v>
      </c>
      <c r="AF139" s="23">
        <f t="shared" si="6"/>
        <v>0</v>
      </c>
      <c r="AG139" s="25">
        <f t="shared" si="7"/>
        <v>0</v>
      </c>
      <c r="AH139" s="25">
        <f t="shared" si="8"/>
        <v>0</v>
      </c>
      <c r="AI139" s="59"/>
    </row>
    <row r="140" ht="15.75" customHeight="1">
      <c r="A140" s="40"/>
      <c r="B140" s="33"/>
      <c r="C140" s="45" t="str">
        <f>IFERROR(VLOOKUP(B140,COLORES!$A$4:$B$52,2,FALSE()),"")</f>
        <v/>
      </c>
      <c r="D140" s="33"/>
      <c r="E140" s="46"/>
      <c r="F140" s="34"/>
      <c r="G140" s="33"/>
      <c r="H140" s="47"/>
      <c r="I140" s="47"/>
      <c r="J140" s="48">
        <f>IFERROR(VLOOKUP(VLOOKUP(A140,PROGRAMAS!$A$4:$G$103,7,FALSE()),PRECIOS_TEJEDURIA!$A$4:$B$22,2,FALSE()),0)</f>
        <v>0</v>
      </c>
      <c r="K140" s="49"/>
      <c r="L140" s="50"/>
      <c r="M140" s="51">
        <f t="shared" si="1"/>
        <v>0</v>
      </c>
      <c r="N140" s="49"/>
      <c r="O140" s="49"/>
      <c r="P140" s="49"/>
      <c r="Q140" s="52"/>
      <c r="R140" s="53"/>
      <c r="S140" s="53"/>
      <c r="T140" s="54"/>
      <c r="U140" s="19">
        <f t="shared" si="2"/>
        <v>0</v>
      </c>
      <c r="V140" s="20">
        <f t="shared" si="3"/>
        <v>0</v>
      </c>
      <c r="W140" s="55">
        <f t="array" ref="W140">IFERROR(INDEX(PRECIOS_TINTORERIA!$B$4:$U$15,MATCH(D140,PRECIOS_TINTORERIA!$A$4:$A$15,0),MATCH(VLOOKUP(A140,PROGRAMAS!$A$4:$G$103,7,FALSE()),PRECIOS_TINTORERIA!$B$3:$U$3,0)),0)</f>
        <v>0</v>
      </c>
      <c r="X140" s="56"/>
      <c r="Y140" s="57"/>
      <c r="Z140" s="58">
        <f t="shared" si="4"/>
        <v>0</v>
      </c>
      <c r="AA140" s="56"/>
      <c r="AB140" s="56"/>
      <c r="AC140" s="56"/>
      <c r="AD140" s="23">
        <f>IFERROR((SUMIFS(COMPRAS_HILO!$H$4:$H$203,COMPRAS_HILO!$B$4:$B$203,A140))*F140/SUMIFS($F$4:$F$503,$A$4:$A$503,A140),0)</f>
        <v>0</v>
      </c>
      <c r="AE140" s="23">
        <f t="shared" si="5"/>
        <v>0</v>
      </c>
      <c r="AF140" s="23">
        <f t="shared" si="6"/>
        <v>0</v>
      </c>
      <c r="AG140" s="25">
        <f t="shared" si="7"/>
        <v>0</v>
      </c>
      <c r="AH140" s="25">
        <f t="shared" si="8"/>
        <v>0</v>
      </c>
      <c r="AI140" s="59"/>
    </row>
    <row r="141" ht="15.75" customHeight="1">
      <c r="A141" s="40"/>
      <c r="B141" s="33"/>
      <c r="C141" s="45" t="str">
        <f>IFERROR(VLOOKUP(B141,COLORES!$A$4:$B$52,2,FALSE()),"")</f>
        <v/>
      </c>
      <c r="D141" s="33"/>
      <c r="E141" s="46"/>
      <c r="F141" s="34"/>
      <c r="G141" s="33"/>
      <c r="H141" s="47"/>
      <c r="I141" s="47"/>
      <c r="J141" s="48">
        <f>IFERROR(VLOOKUP(VLOOKUP(A141,PROGRAMAS!$A$4:$G$103,7,FALSE()),PRECIOS_TEJEDURIA!$A$4:$B$22,2,FALSE()),0)</f>
        <v>0</v>
      </c>
      <c r="K141" s="49"/>
      <c r="L141" s="50"/>
      <c r="M141" s="51">
        <f t="shared" si="1"/>
        <v>0</v>
      </c>
      <c r="N141" s="49"/>
      <c r="O141" s="49"/>
      <c r="P141" s="49"/>
      <c r="Q141" s="52"/>
      <c r="R141" s="53"/>
      <c r="S141" s="53"/>
      <c r="T141" s="54"/>
      <c r="U141" s="19">
        <f t="shared" si="2"/>
        <v>0</v>
      </c>
      <c r="V141" s="20">
        <f t="shared" si="3"/>
        <v>0</v>
      </c>
      <c r="W141" s="55">
        <f t="array" ref="W141">IFERROR(INDEX(PRECIOS_TINTORERIA!$B$4:$U$15,MATCH(D141,PRECIOS_TINTORERIA!$A$4:$A$15,0),MATCH(VLOOKUP(A141,PROGRAMAS!$A$4:$G$103,7,FALSE()),PRECIOS_TINTORERIA!$B$3:$U$3,0)),0)</f>
        <v>0</v>
      </c>
      <c r="X141" s="56"/>
      <c r="Y141" s="57"/>
      <c r="Z141" s="58">
        <f t="shared" si="4"/>
        <v>0</v>
      </c>
      <c r="AA141" s="56"/>
      <c r="AB141" s="56"/>
      <c r="AC141" s="56"/>
      <c r="AD141" s="23">
        <f>IFERROR((SUMIFS(COMPRAS_HILO!$H$4:$H$203,COMPRAS_HILO!$B$4:$B$203,A141))*F141/SUMIFS($F$4:$F$503,$A$4:$A$503,A141),0)</f>
        <v>0</v>
      </c>
      <c r="AE141" s="23">
        <f t="shared" si="5"/>
        <v>0</v>
      </c>
      <c r="AF141" s="23">
        <f t="shared" si="6"/>
        <v>0</v>
      </c>
      <c r="AG141" s="25">
        <f t="shared" si="7"/>
        <v>0</v>
      </c>
      <c r="AH141" s="25">
        <f t="shared" si="8"/>
        <v>0</v>
      </c>
      <c r="AI141" s="59"/>
    </row>
    <row r="142" ht="15.75" customHeight="1">
      <c r="A142" s="40"/>
      <c r="B142" s="33"/>
      <c r="C142" s="45" t="str">
        <f>IFERROR(VLOOKUP(B142,COLORES!$A$4:$B$52,2,FALSE()),"")</f>
        <v/>
      </c>
      <c r="D142" s="33"/>
      <c r="E142" s="46"/>
      <c r="F142" s="34"/>
      <c r="G142" s="33"/>
      <c r="H142" s="47"/>
      <c r="I142" s="47"/>
      <c r="J142" s="48">
        <f>IFERROR(VLOOKUP(VLOOKUP(A142,PROGRAMAS!$A$4:$G$103,7,FALSE()),PRECIOS_TEJEDURIA!$A$4:$B$22,2,FALSE()),0)</f>
        <v>0</v>
      </c>
      <c r="K142" s="49"/>
      <c r="L142" s="50"/>
      <c r="M142" s="51">
        <f t="shared" si="1"/>
        <v>0</v>
      </c>
      <c r="N142" s="49"/>
      <c r="O142" s="49"/>
      <c r="P142" s="49"/>
      <c r="Q142" s="52"/>
      <c r="R142" s="53"/>
      <c r="S142" s="53"/>
      <c r="T142" s="54"/>
      <c r="U142" s="19">
        <f t="shared" si="2"/>
        <v>0</v>
      </c>
      <c r="V142" s="20">
        <f t="shared" si="3"/>
        <v>0</v>
      </c>
      <c r="W142" s="55">
        <f t="array" ref="W142">IFERROR(INDEX(PRECIOS_TINTORERIA!$B$4:$U$15,MATCH(D142,PRECIOS_TINTORERIA!$A$4:$A$15,0),MATCH(VLOOKUP(A142,PROGRAMAS!$A$4:$G$103,7,FALSE()),PRECIOS_TINTORERIA!$B$3:$U$3,0)),0)</f>
        <v>0</v>
      </c>
      <c r="X142" s="56"/>
      <c r="Y142" s="57"/>
      <c r="Z142" s="58">
        <f t="shared" si="4"/>
        <v>0</v>
      </c>
      <c r="AA142" s="56"/>
      <c r="AB142" s="56"/>
      <c r="AC142" s="56"/>
      <c r="AD142" s="23">
        <f>IFERROR((SUMIFS(COMPRAS_HILO!$H$4:$H$203,COMPRAS_HILO!$B$4:$B$203,A142))*F142/SUMIFS($F$4:$F$503,$A$4:$A$503,A142),0)</f>
        <v>0</v>
      </c>
      <c r="AE142" s="23">
        <f t="shared" si="5"/>
        <v>0</v>
      </c>
      <c r="AF142" s="23">
        <f t="shared" si="6"/>
        <v>0</v>
      </c>
      <c r="AG142" s="25">
        <f t="shared" si="7"/>
        <v>0</v>
      </c>
      <c r="AH142" s="25">
        <f t="shared" si="8"/>
        <v>0</v>
      </c>
      <c r="AI142" s="59"/>
    </row>
    <row r="143" ht="15.75" customHeight="1">
      <c r="A143" s="40"/>
      <c r="B143" s="33"/>
      <c r="C143" s="45" t="str">
        <f>IFERROR(VLOOKUP(B143,COLORES!$A$4:$B$52,2,FALSE()),"")</f>
        <v/>
      </c>
      <c r="D143" s="33"/>
      <c r="E143" s="46"/>
      <c r="F143" s="34"/>
      <c r="G143" s="33"/>
      <c r="H143" s="47"/>
      <c r="I143" s="47"/>
      <c r="J143" s="48">
        <f>IFERROR(VLOOKUP(VLOOKUP(A143,PROGRAMAS!$A$4:$G$103,7,FALSE()),PRECIOS_TEJEDURIA!$A$4:$B$22,2,FALSE()),0)</f>
        <v>0</v>
      </c>
      <c r="K143" s="49"/>
      <c r="L143" s="50"/>
      <c r="M143" s="51">
        <f t="shared" si="1"/>
        <v>0</v>
      </c>
      <c r="N143" s="49"/>
      <c r="O143" s="49"/>
      <c r="P143" s="49"/>
      <c r="Q143" s="52"/>
      <c r="R143" s="53"/>
      <c r="S143" s="53"/>
      <c r="T143" s="54"/>
      <c r="U143" s="19">
        <f t="shared" si="2"/>
        <v>0</v>
      </c>
      <c r="V143" s="20">
        <f t="shared" si="3"/>
        <v>0</v>
      </c>
      <c r="W143" s="55">
        <f t="array" ref="W143">IFERROR(INDEX(PRECIOS_TINTORERIA!$B$4:$U$15,MATCH(D143,PRECIOS_TINTORERIA!$A$4:$A$15,0),MATCH(VLOOKUP(A143,PROGRAMAS!$A$4:$G$103,7,FALSE()),PRECIOS_TINTORERIA!$B$3:$U$3,0)),0)</f>
        <v>0</v>
      </c>
      <c r="X143" s="56"/>
      <c r="Y143" s="57"/>
      <c r="Z143" s="58">
        <f t="shared" si="4"/>
        <v>0</v>
      </c>
      <c r="AA143" s="56"/>
      <c r="AB143" s="56"/>
      <c r="AC143" s="56"/>
      <c r="AD143" s="23">
        <f>IFERROR((SUMIFS(COMPRAS_HILO!$H$4:$H$203,COMPRAS_HILO!$B$4:$B$203,A143))*F143/SUMIFS($F$4:$F$503,$A$4:$A$503,A143),0)</f>
        <v>0</v>
      </c>
      <c r="AE143" s="23">
        <f t="shared" si="5"/>
        <v>0</v>
      </c>
      <c r="AF143" s="23">
        <f t="shared" si="6"/>
        <v>0</v>
      </c>
      <c r="AG143" s="25">
        <f t="shared" si="7"/>
        <v>0</v>
      </c>
      <c r="AH143" s="25">
        <f t="shared" si="8"/>
        <v>0</v>
      </c>
      <c r="AI143" s="59"/>
    </row>
    <row r="144" ht="15.75" customHeight="1">
      <c r="A144" s="40"/>
      <c r="B144" s="33"/>
      <c r="C144" s="45" t="str">
        <f>IFERROR(VLOOKUP(B144,COLORES!$A$4:$B$52,2,FALSE()),"")</f>
        <v/>
      </c>
      <c r="D144" s="33"/>
      <c r="E144" s="46"/>
      <c r="F144" s="34"/>
      <c r="G144" s="33"/>
      <c r="H144" s="47"/>
      <c r="I144" s="47"/>
      <c r="J144" s="48">
        <f>IFERROR(VLOOKUP(VLOOKUP(A144,PROGRAMAS!$A$4:$G$103,7,FALSE()),PRECIOS_TEJEDURIA!$A$4:$B$22,2,FALSE()),0)</f>
        <v>0</v>
      </c>
      <c r="K144" s="49"/>
      <c r="L144" s="50"/>
      <c r="M144" s="51">
        <f t="shared" si="1"/>
        <v>0</v>
      </c>
      <c r="N144" s="49"/>
      <c r="O144" s="49"/>
      <c r="P144" s="49"/>
      <c r="Q144" s="52"/>
      <c r="R144" s="53"/>
      <c r="S144" s="53"/>
      <c r="T144" s="54"/>
      <c r="U144" s="19">
        <f t="shared" si="2"/>
        <v>0</v>
      </c>
      <c r="V144" s="20">
        <f t="shared" si="3"/>
        <v>0</v>
      </c>
      <c r="W144" s="55">
        <f t="array" ref="W144">IFERROR(INDEX(PRECIOS_TINTORERIA!$B$4:$U$15,MATCH(D144,PRECIOS_TINTORERIA!$A$4:$A$15,0),MATCH(VLOOKUP(A144,PROGRAMAS!$A$4:$G$103,7,FALSE()),PRECIOS_TINTORERIA!$B$3:$U$3,0)),0)</f>
        <v>0</v>
      </c>
      <c r="X144" s="56"/>
      <c r="Y144" s="57"/>
      <c r="Z144" s="58">
        <f t="shared" si="4"/>
        <v>0</v>
      </c>
      <c r="AA144" s="56"/>
      <c r="AB144" s="56"/>
      <c r="AC144" s="56"/>
      <c r="AD144" s="23">
        <f>IFERROR((SUMIFS(COMPRAS_HILO!$H$4:$H$203,COMPRAS_HILO!$B$4:$B$203,A144))*F144/SUMIFS($F$4:$F$503,$A$4:$A$503,A144),0)</f>
        <v>0</v>
      </c>
      <c r="AE144" s="23">
        <f t="shared" si="5"/>
        <v>0</v>
      </c>
      <c r="AF144" s="23">
        <f t="shared" si="6"/>
        <v>0</v>
      </c>
      <c r="AG144" s="25">
        <f t="shared" si="7"/>
        <v>0</v>
      </c>
      <c r="AH144" s="25">
        <f t="shared" si="8"/>
        <v>0</v>
      </c>
      <c r="AI144" s="59"/>
    </row>
    <row r="145" ht="15.75" customHeight="1">
      <c r="A145" s="40"/>
      <c r="B145" s="33"/>
      <c r="C145" s="45" t="str">
        <f>IFERROR(VLOOKUP(B145,COLORES!$A$4:$B$52,2,FALSE()),"")</f>
        <v/>
      </c>
      <c r="D145" s="33"/>
      <c r="E145" s="46"/>
      <c r="F145" s="34"/>
      <c r="G145" s="33"/>
      <c r="H145" s="47"/>
      <c r="I145" s="47"/>
      <c r="J145" s="48">
        <f>IFERROR(VLOOKUP(VLOOKUP(A145,PROGRAMAS!$A$4:$G$103,7,FALSE()),PRECIOS_TEJEDURIA!$A$4:$B$22,2,FALSE()),0)</f>
        <v>0</v>
      </c>
      <c r="K145" s="49"/>
      <c r="L145" s="50"/>
      <c r="M145" s="51">
        <f t="shared" si="1"/>
        <v>0</v>
      </c>
      <c r="N145" s="49"/>
      <c r="O145" s="49"/>
      <c r="P145" s="49"/>
      <c r="Q145" s="52"/>
      <c r="R145" s="53"/>
      <c r="S145" s="53"/>
      <c r="T145" s="54"/>
      <c r="U145" s="19">
        <f t="shared" si="2"/>
        <v>0</v>
      </c>
      <c r="V145" s="20">
        <f t="shared" si="3"/>
        <v>0</v>
      </c>
      <c r="W145" s="55">
        <f t="array" ref="W145">IFERROR(INDEX(PRECIOS_TINTORERIA!$B$4:$U$15,MATCH(D145,PRECIOS_TINTORERIA!$A$4:$A$15,0),MATCH(VLOOKUP(A145,PROGRAMAS!$A$4:$G$103,7,FALSE()),PRECIOS_TINTORERIA!$B$3:$U$3,0)),0)</f>
        <v>0</v>
      </c>
      <c r="X145" s="56"/>
      <c r="Y145" s="57"/>
      <c r="Z145" s="58">
        <f t="shared" si="4"/>
        <v>0</v>
      </c>
      <c r="AA145" s="56"/>
      <c r="AB145" s="56"/>
      <c r="AC145" s="56"/>
      <c r="AD145" s="23">
        <f>IFERROR((SUMIFS(COMPRAS_HILO!$H$4:$H$203,COMPRAS_HILO!$B$4:$B$203,A145))*F145/SUMIFS($F$4:$F$503,$A$4:$A$503,A145),0)</f>
        <v>0</v>
      </c>
      <c r="AE145" s="23">
        <f t="shared" si="5"/>
        <v>0</v>
      </c>
      <c r="AF145" s="23">
        <f t="shared" si="6"/>
        <v>0</v>
      </c>
      <c r="AG145" s="25">
        <f t="shared" si="7"/>
        <v>0</v>
      </c>
      <c r="AH145" s="25">
        <f t="shared" si="8"/>
        <v>0</v>
      </c>
      <c r="AI145" s="59"/>
    </row>
    <row r="146" ht="15.75" customHeight="1">
      <c r="A146" s="40"/>
      <c r="B146" s="33"/>
      <c r="C146" s="45" t="str">
        <f>IFERROR(VLOOKUP(B146,COLORES!$A$4:$B$52,2,FALSE()),"")</f>
        <v/>
      </c>
      <c r="D146" s="33"/>
      <c r="E146" s="46"/>
      <c r="F146" s="34"/>
      <c r="G146" s="33"/>
      <c r="H146" s="47"/>
      <c r="I146" s="47"/>
      <c r="J146" s="48">
        <f>IFERROR(VLOOKUP(VLOOKUP(A146,PROGRAMAS!$A$4:$G$103,7,FALSE()),PRECIOS_TEJEDURIA!$A$4:$B$22,2,FALSE()),0)</f>
        <v>0</v>
      </c>
      <c r="K146" s="49"/>
      <c r="L146" s="50"/>
      <c r="M146" s="51">
        <f t="shared" si="1"/>
        <v>0</v>
      </c>
      <c r="N146" s="49"/>
      <c r="O146" s="49"/>
      <c r="P146" s="49"/>
      <c r="Q146" s="52"/>
      <c r="R146" s="53"/>
      <c r="S146" s="53"/>
      <c r="T146" s="54"/>
      <c r="U146" s="19">
        <f t="shared" si="2"/>
        <v>0</v>
      </c>
      <c r="V146" s="20">
        <f t="shared" si="3"/>
        <v>0</v>
      </c>
      <c r="W146" s="55">
        <f t="array" ref="W146">IFERROR(INDEX(PRECIOS_TINTORERIA!$B$4:$U$15,MATCH(D146,PRECIOS_TINTORERIA!$A$4:$A$15,0),MATCH(VLOOKUP(A146,PROGRAMAS!$A$4:$G$103,7,FALSE()),PRECIOS_TINTORERIA!$B$3:$U$3,0)),0)</f>
        <v>0</v>
      </c>
      <c r="X146" s="56"/>
      <c r="Y146" s="57"/>
      <c r="Z146" s="58">
        <f t="shared" si="4"/>
        <v>0</v>
      </c>
      <c r="AA146" s="56"/>
      <c r="AB146" s="56"/>
      <c r="AC146" s="56"/>
      <c r="AD146" s="23">
        <f>IFERROR((SUMIFS(COMPRAS_HILO!$H$4:$H$203,COMPRAS_HILO!$B$4:$B$203,A146))*F146/SUMIFS($F$4:$F$503,$A$4:$A$503,A146),0)</f>
        <v>0</v>
      </c>
      <c r="AE146" s="23">
        <f t="shared" si="5"/>
        <v>0</v>
      </c>
      <c r="AF146" s="23">
        <f t="shared" si="6"/>
        <v>0</v>
      </c>
      <c r="AG146" s="25">
        <f t="shared" si="7"/>
        <v>0</v>
      </c>
      <c r="AH146" s="25">
        <f t="shared" si="8"/>
        <v>0</v>
      </c>
      <c r="AI146" s="59"/>
    </row>
    <row r="147" ht="15.75" customHeight="1">
      <c r="A147" s="40"/>
      <c r="B147" s="33"/>
      <c r="C147" s="45" t="str">
        <f>IFERROR(VLOOKUP(B147,COLORES!$A$4:$B$52,2,FALSE()),"")</f>
        <v/>
      </c>
      <c r="D147" s="33"/>
      <c r="E147" s="46"/>
      <c r="F147" s="34"/>
      <c r="G147" s="33"/>
      <c r="H147" s="47"/>
      <c r="I147" s="47"/>
      <c r="J147" s="48">
        <f>IFERROR(VLOOKUP(VLOOKUP(A147,PROGRAMAS!$A$4:$G$103,7,FALSE()),PRECIOS_TEJEDURIA!$A$4:$B$22,2,FALSE()),0)</f>
        <v>0</v>
      </c>
      <c r="K147" s="49"/>
      <c r="L147" s="50"/>
      <c r="M147" s="51">
        <f t="shared" si="1"/>
        <v>0</v>
      </c>
      <c r="N147" s="49"/>
      <c r="O147" s="49"/>
      <c r="P147" s="49"/>
      <c r="Q147" s="52"/>
      <c r="R147" s="53"/>
      <c r="S147" s="53"/>
      <c r="T147" s="54"/>
      <c r="U147" s="19">
        <f t="shared" si="2"/>
        <v>0</v>
      </c>
      <c r="V147" s="20">
        <f t="shared" si="3"/>
        <v>0</v>
      </c>
      <c r="W147" s="55">
        <f t="array" ref="W147">IFERROR(INDEX(PRECIOS_TINTORERIA!$B$4:$U$15,MATCH(D147,PRECIOS_TINTORERIA!$A$4:$A$15,0),MATCH(VLOOKUP(A147,PROGRAMAS!$A$4:$G$103,7,FALSE()),PRECIOS_TINTORERIA!$B$3:$U$3,0)),0)</f>
        <v>0</v>
      </c>
      <c r="X147" s="56"/>
      <c r="Y147" s="57"/>
      <c r="Z147" s="58">
        <f t="shared" si="4"/>
        <v>0</v>
      </c>
      <c r="AA147" s="56"/>
      <c r="AB147" s="56"/>
      <c r="AC147" s="56"/>
      <c r="AD147" s="23">
        <f>IFERROR((SUMIFS(COMPRAS_HILO!$H$4:$H$203,COMPRAS_HILO!$B$4:$B$203,A147))*F147/SUMIFS($F$4:$F$503,$A$4:$A$503,A147),0)</f>
        <v>0</v>
      </c>
      <c r="AE147" s="23">
        <f t="shared" si="5"/>
        <v>0</v>
      </c>
      <c r="AF147" s="23">
        <f t="shared" si="6"/>
        <v>0</v>
      </c>
      <c r="AG147" s="25">
        <f t="shared" si="7"/>
        <v>0</v>
      </c>
      <c r="AH147" s="25">
        <f t="shared" si="8"/>
        <v>0</v>
      </c>
      <c r="AI147" s="59"/>
    </row>
    <row r="148" ht="15.75" customHeight="1">
      <c r="A148" s="40"/>
      <c r="B148" s="33"/>
      <c r="C148" s="45" t="str">
        <f>IFERROR(VLOOKUP(B148,COLORES!$A$4:$B$52,2,FALSE()),"")</f>
        <v/>
      </c>
      <c r="D148" s="33"/>
      <c r="E148" s="46"/>
      <c r="F148" s="34"/>
      <c r="G148" s="33"/>
      <c r="H148" s="47"/>
      <c r="I148" s="47"/>
      <c r="J148" s="48">
        <f>IFERROR(VLOOKUP(VLOOKUP(A148,PROGRAMAS!$A$4:$G$103,7,FALSE()),PRECIOS_TEJEDURIA!$A$4:$B$22,2,FALSE()),0)</f>
        <v>0</v>
      </c>
      <c r="K148" s="49"/>
      <c r="L148" s="50"/>
      <c r="M148" s="51">
        <f t="shared" si="1"/>
        <v>0</v>
      </c>
      <c r="N148" s="49"/>
      <c r="O148" s="49"/>
      <c r="P148" s="49"/>
      <c r="Q148" s="52"/>
      <c r="R148" s="53"/>
      <c r="S148" s="53"/>
      <c r="T148" s="54"/>
      <c r="U148" s="19">
        <f t="shared" si="2"/>
        <v>0</v>
      </c>
      <c r="V148" s="20">
        <f t="shared" si="3"/>
        <v>0</v>
      </c>
      <c r="W148" s="55">
        <f t="array" ref="W148">IFERROR(INDEX(PRECIOS_TINTORERIA!$B$4:$U$15,MATCH(D148,PRECIOS_TINTORERIA!$A$4:$A$15,0),MATCH(VLOOKUP(A148,PROGRAMAS!$A$4:$G$103,7,FALSE()),PRECIOS_TINTORERIA!$B$3:$U$3,0)),0)</f>
        <v>0</v>
      </c>
      <c r="X148" s="56"/>
      <c r="Y148" s="57"/>
      <c r="Z148" s="58">
        <f t="shared" si="4"/>
        <v>0</v>
      </c>
      <c r="AA148" s="56"/>
      <c r="AB148" s="56"/>
      <c r="AC148" s="56"/>
      <c r="AD148" s="23">
        <f>IFERROR((SUMIFS(COMPRAS_HILO!$H$4:$H$203,COMPRAS_HILO!$B$4:$B$203,A148))*F148/SUMIFS($F$4:$F$503,$A$4:$A$503,A148),0)</f>
        <v>0</v>
      </c>
      <c r="AE148" s="23">
        <f t="shared" si="5"/>
        <v>0</v>
      </c>
      <c r="AF148" s="23">
        <f t="shared" si="6"/>
        <v>0</v>
      </c>
      <c r="AG148" s="25">
        <f t="shared" si="7"/>
        <v>0</v>
      </c>
      <c r="AH148" s="25">
        <f t="shared" si="8"/>
        <v>0</v>
      </c>
      <c r="AI148" s="59"/>
    </row>
    <row r="149" ht="15.75" customHeight="1">
      <c r="A149" s="40"/>
      <c r="B149" s="33"/>
      <c r="C149" s="45" t="str">
        <f>IFERROR(VLOOKUP(B149,COLORES!$A$4:$B$52,2,FALSE()),"")</f>
        <v/>
      </c>
      <c r="D149" s="33"/>
      <c r="E149" s="46"/>
      <c r="F149" s="34"/>
      <c r="G149" s="33"/>
      <c r="H149" s="47"/>
      <c r="I149" s="47"/>
      <c r="J149" s="48">
        <f>IFERROR(VLOOKUP(VLOOKUP(A149,PROGRAMAS!$A$4:$G$103,7,FALSE()),PRECIOS_TEJEDURIA!$A$4:$B$22,2,FALSE()),0)</f>
        <v>0</v>
      </c>
      <c r="K149" s="49"/>
      <c r="L149" s="50"/>
      <c r="M149" s="51">
        <f t="shared" si="1"/>
        <v>0</v>
      </c>
      <c r="N149" s="49"/>
      <c r="O149" s="49"/>
      <c r="P149" s="49"/>
      <c r="Q149" s="52"/>
      <c r="R149" s="53"/>
      <c r="S149" s="53"/>
      <c r="T149" s="54"/>
      <c r="U149" s="19">
        <f t="shared" si="2"/>
        <v>0</v>
      </c>
      <c r="V149" s="20">
        <f t="shared" si="3"/>
        <v>0</v>
      </c>
      <c r="W149" s="55">
        <f t="array" ref="W149">IFERROR(INDEX(PRECIOS_TINTORERIA!$B$4:$U$15,MATCH(D149,PRECIOS_TINTORERIA!$A$4:$A$15,0),MATCH(VLOOKUP(A149,PROGRAMAS!$A$4:$G$103,7,FALSE()),PRECIOS_TINTORERIA!$B$3:$U$3,0)),0)</f>
        <v>0</v>
      </c>
      <c r="X149" s="56"/>
      <c r="Y149" s="57"/>
      <c r="Z149" s="58">
        <f t="shared" si="4"/>
        <v>0</v>
      </c>
      <c r="AA149" s="56"/>
      <c r="AB149" s="56"/>
      <c r="AC149" s="56"/>
      <c r="AD149" s="23">
        <f>IFERROR((SUMIFS(COMPRAS_HILO!$H$4:$H$203,COMPRAS_HILO!$B$4:$B$203,A149))*F149/SUMIFS($F$4:$F$503,$A$4:$A$503,A149),0)</f>
        <v>0</v>
      </c>
      <c r="AE149" s="23">
        <f t="shared" si="5"/>
        <v>0</v>
      </c>
      <c r="AF149" s="23">
        <f t="shared" si="6"/>
        <v>0</v>
      </c>
      <c r="AG149" s="25">
        <f t="shared" si="7"/>
        <v>0</v>
      </c>
      <c r="AH149" s="25">
        <f t="shared" si="8"/>
        <v>0</v>
      </c>
      <c r="AI149" s="59"/>
    </row>
    <row r="150" ht="15.75" customHeight="1">
      <c r="A150" s="40"/>
      <c r="B150" s="33"/>
      <c r="C150" s="45" t="str">
        <f>IFERROR(VLOOKUP(B150,COLORES!$A$4:$B$52,2,FALSE()),"")</f>
        <v/>
      </c>
      <c r="D150" s="33"/>
      <c r="E150" s="46"/>
      <c r="F150" s="34"/>
      <c r="G150" s="33"/>
      <c r="H150" s="47"/>
      <c r="I150" s="47"/>
      <c r="J150" s="48">
        <f>IFERROR(VLOOKUP(VLOOKUP(A150,PROGRAMAS!$A$4:$G$103,7,FALSE()),PRECIOS_TEJEDURIA!$A$4:$B$22,2,FALSE()),0)</f>
        <v>0</v>
      </c>
      <c r="K150" s="49"/>
      <c r="L150" s="50"/>
      <c r="M150" s="51">
        <f t="shared" si="1"/>
        <v>0</v>
      </c>
      <c r="N150" s="49"/>
      <c r="O150" s="49"/>
      <c r="P150" s="49"/>
      <c r="Q150" s="52"/>
      <c r="R150" s="53"/>
      <c r="S150" s="53"/>
      <c r="T150" s="54"/>
      <c r="U150" s="19">
        <f t="shared" si="2"/>
        <v>0</v>
      </c>
      <c r="V150" s="20">
        <f t="shared" si="3"/>
        <v>0</v>
      </c>
      <c r="W150" s="55">
        <f t="array" ref="W150">IFERROR(INDEX(PRECIOS_TINTORERIA!$B$4:$U$15,MATCH(D150,PRECIOS_TINTORERIA!$A$4:$A$15,0),MATCH(VLOOKUP(A150,PROGRAMAS!$A$4:$G$103,7,FALSE()),PRECIOS_TINTORERIA!$B$3:$U$3,0)),0)</f>
        <v>0</v>
      </c>
      <c r="X150" s="56"/>
      <c r="Y150" s="57"/>
      <c r="Z150" s="58">
        <f t="shared" si="4"/>
        <v>0</v>
      </c>
      <c r="AA150" s="56"/>
      <c r="AB150" s="56"/>
      <c r="AC150" s="56"/>
      <c r="AD150" s="23">
        <f>IFERROR((SUMIFS(COMPRAS_HILO!$H$4:$H$203,COMPRAS_HILO!$B$4:$B$203,A150))*F150/SUMIFS($F$4:$F$503,$A$4:$A$503,A150),0)</f>
        <v>0</v>
      </c>
      <c r="AE150" s="23">
        <f t="shared" si="5"/>
        <v>0</v>
      </c>
      <c r="AF150" s="23">
        <f t="shared" si="6"/>
        <v>0</v>
      </c>
      <c r="AG150" s="25">
        <f t="shared" si="7"/>
        <v>0</v>
      </c>
      <c r="AH150" s="25">
        <f t="shared" si="8"/>
        <v>0</v>
      </c>
      <c r="AI150" s="59"/>
    </row>
    <row r="151" ht="15.75" customHeight="1">
      <c r="A151" s="40"/>
      <c r="B151" s="33"/>
      <c r="C151" s="45" t="str">
        <f>IFERROR(VLOOKUP(B151,COLORES!$A$4:$B$52,2,FALSE()),"")</f>
        <v/>
      </c>
      <c r="D151" s="33"/>
      <c r="E151" s="46"/>
      <c r="F151" s="34"/>
      <c r="G151" s="33"/>
      <c r="H151" s="47"/>
      <c r="I151" s="47"/>
      <c r="J151" s="48">
        <f>IFERROR(VLOOKUP(VLOOKUP(A151,PROGRAMAS!$A$4:$G$103,7,FALSE()),PRECIOS_TEJEDURIA!$A$4:$B$22,2,FALSE()),0)</f>
        <v>0</v>
      </c>
      <c r="K151" s="49"/>
      <c r="L151" s="50"/>
      <c r="M151" s="51">
        <f t="shared" si="1"/>
        <v>0</v>
      </c>
      <c r="N151" s="49"/>
      <c r="O151" s="49"/>
      <c r="P151" s="49"/>
      <c r="Q151" s="52"/>
      <c r="R151" s="53"/>
      <c r="S151" s="53"/>
      <c r="T151" s="54"/>
      <c r="U151" s="19">
        <f t="shared" si="2"/>
        <v>0</v>
      </c>
      <c r="V151" s="20">
        <f t="shared" si="3"/>
        <v>0</v>
      </c>
      <c r="W151" s="55">
        <f t="array" ref="W151">IFERROR(INDEX(PRECIOS_TINTORERIA!$B$4:$U$15,MATCH(D151,PRECIOS_TINTORERIA!$A$4:$A$15,0),MATCH(VLOOKUP(A151,PROGRAMAS!$A$4:$G$103,7,FALSE()),PRECIOS_TINTORERIA!$B$3:$U$3,0)),0)</f>
        <v>0</v>
      </c>
      <c r="X151" s="56"/>
      <c r="Y151" s="57"/>
      <c r="Z151" s="58">
        <f t="shared" si="4"/>
        <v>0</v>
      </c>
      <c r="AA151" s="56"/>
      <c r="AB151" s="56"/>
      <c r="AC151" s="56"/>
      <c r="AD151" s="23">
        <f>IFERROR((SUMIFS(COMPRAS_HILO!$H$4:$H$203,COMPRAS_HILO!$B$4:$B$203,A151))*F151/SUMIFS($F$4:$F$503,$A$4:$A$503,A151),0)</f>
        <v>0</v>
      </c>
      <c r="AE151" s="23">
        <f t="shared" si="5"/>
        <v>0</v>
      </c>
      <c r="AF151" s="23">
        <f t="shared" si="6"/>
        <v>0</v>
      </c>
      <c r="AG151" s="25">
        <f t="shared" si="7"/>
        <v>0</v>
      </c>
      <c r="AH151" s="25">
        <f t="shared" si="8"/>
        <v>0</v>
      </c>
      <c r="AI151" s="59"/>
    </row>
    <row r="152" ht="15.75" customHeight="1">
      <c r="A152" s="40"/>
      <c r="B152" s="33"/>
      <c r="C152" s="45" t="str">
        <f>IFERROR(VLOOKUP(B152,COLORES!$A$4:$B$52,2,FALSE()),"")</f>
        <v/>
      </c>
      <c r="D152" s="33"/>
      <c r="E152" s="46"/>
      <c r="F152" s="34"/>
      <c r="G152" s="33"/>
      <c r="H152" s="47"/>
      <c r="I152" s="47"/>
      <c r="J152" s="48">
        <f>IFERROR(VLOOKUP(VLOOKUP(A152,PROGRAMAS!$A$4:$G$103,7,FALSE()),PRECIOS_TEJEDURIA!$A$4:$B$22,2,FALSE()),0)</f>
        <v>0</v>
      </c>
      <c r="K152" s="49"/>
      <c r="L152" s="50"/>
      <c r="M152" s="51">
        <f t="shared" si="1"/>
        <v>0</v>
      </c>
      <c r="N152" s="49"/>
      <c r="O152" s="49"/>
      <c r="P152" s="49"/>
      <c r="Q152" s="52"/>
      <c r="R152" s="53"/>
      <c r="S152" s="53"/>
      <c r="T152" s="54"/>
      <c r="U152" s="19">
        <f t="shared" si="2"/>
        <v>0</v>
      </c>
      <c r="V152" s="20">
        <f t="shared" si="3"/>
        <v>0</v>
      </c>
      <c r="W152" s="55">
        <f t="array" ref="W152">IFERROR(INDEX(PRECIOS_TINTORERIA!$B$4:$U$15,MATCH(D152,PRECIOS_TINTORERIA!$A$4:$A$15,0),MATCH(VLOOKUP(A152,PROGRAMAS!$A$4:$G$103,7,FALSE()),PRECIOS_TINTORERIA!$B$3:$U$3,0)),0)</f>
        <v>0</v>
      </c>
      <c r="X152" s="56"/>
      <c r="Y152" s="57"/>
      <c r="Z152" s="58">
        <f t="shared" si="4"/>
        <v>0</v>
      </c>
      <c r="AA152" s="56"/>
      <c r="AB152" s="56"/>
      <c r="AC152" s="56"/>
      <c r="AD152" s="23">
        <f>IFERROR((SUMIFS(COMPRAS_HILO!$H$4:$H$203,COMPRAS_HILO!$B$4:$B$203,A152))*F152/SUMIFS($F$4:$F$503,$A$4:$A$503,A152),0)</f>
        <v>0</v>
      </c>
      <c r="AE152" s="23">
        <f t="shared" si="5"/>
        <v>0</v>
      </c>
      <c r="AF152" s="23">
        <f t="shared" si="6"/>
        <v>0</v>
      </c>
      <c r="AG152" s="25">
        <f t="shared" si="7"/>
        <v>0</v>
      </c>
      <c r="AH152" s="25">
        <f t="shared" si="8"/>
        <v>0</v>
      </c>
      <c r="AI152" s="59"/>
    </row>
    <row r="153" ht="15.75" customHeight="1">
      <c r="A153" s="40"/>
      <c r="B153" s="33"/>
      <c r="C153" s="45" t="str">
        <f>IFERROR(VLOOKUP(B153,COLORES!$A$4:$B$52,2,FALSE()),"")</f>
        <v/>
      </c>
      <c r="D153" s="33"/>
      <c r="E153" s="46"/>
      <c r="F153" s="34"/>
      <c r="G153" s="33"/>
      <c r="H153" s="47"/>
      <c r="I153" s="47"/>
      <c r="J153" s="48">
        <f>IFERROR(VLOOKUP(VLOOKUP(A153,PROGRAMAS!$A$4:$G$103,7,FALSE()),PRECIOS_TEJEDURIA!$A$4:$B$22,2,FALSE()),0)</f>
        <v>0</v>
      </c>
      <c r="K153" s="49"/>
      <c r="L153" s="50"/>
      <c r="M153" s="51">
        <f t="shared" si="1"/>
        <v>0</v>
      </c>
      <c r="N153" s="49"/>
      <c r="O153" s="49"/>
      <c r="P153" s="49"/>
      <c r="Q153" s="52"/>
      <c r="R153" s="53"/>
      <c r="S153" s="53"/>
      <c r="T153" s="54"/>
      <c r="U153" s="19">
        <f t="shared" si="2"/>
        <v>0</v>
      </c>
      <c r="V153" s="20">
        <f t="shared" si="3"/>
        <v>0</v>
      </c>
      <c r="W153" s="55">
        <f t="array" ref="W153">IFERROR(INDEX(PRECIOS_TINTORERIA!$B$4:$U$15,MATCH(D153,PRECIOS_TINTORERIA!$A$4:$A$15,0),MATCH(VLOOKUP(A153,PROGRAMAS!$A$4:$G$103,7,FALSE()),PRECIOS_TINTORERIA!$B$3:$U$3,0)),0)</f>
        <v>0</v>
      </c>
      <c r="X153" s="56"/>
      <c r="Y153" s="57"/>
      <c r="Z153" s="58">
        <f t="shared" si="4"/>
        <v>0</v>
      </c>
      <c r="AA153" s="56"/>
      <c r="AB153" s="56"/>
      <c r="AC153" s="56"/>
      <c r="AD153" s="23">
        <f>IFERROR((SUMIFS(COMPRAS_HILO!$H$4:$H$203,COMPRAS_HILO!$B$4:$B$203,A153))*F153/SUMIFS($F$4:$F$503,$A$4:$A$503,A153),0)</f>
        <v>0</v>
      </c>
      <c r="AE153" s="23">
        <f t="shared" si="5"/>
        <v>0</v>
      </c>
      <c r="AF153" s="23">
        <f t="shared" si="6"/>
        <v>0</v>
      </c>
      <c r="AG153" s="25">
        <f t="shared" si="7"/>
        <v>0</v>
      </c>
      <c r="AH153" s="25">
        <f t="shared" si="8"/>
        <v>0</v>
      </c>
      <c r="AI153" s="59"/>
    </row>
    <row r="154" ht="15.75" customHeight="1">
      <c r="A154" s="40"/>
      <c r="B154" s="33"/>
      <c r="C154" s="45" t="str">
        <f>IFERROR(VLOOKUP(B154,COLORES!$A$4:$B$52,2,FALSE()),"")</f>
        <v/>
      </c>
      <c r="D154" s="33"/>
      <c r="E154" s="46"/>
      <c r="F154" s="34"/>
      <c r="G154" s="33"/>
      <c r="H154" s="47"/>
      <c r="I154" s="47"/>
      <c r="J154" s="48">
        <f>IFERROR(VLOOKUP(VLOOKUP(A154,PROGRAMAS!$A$4:$G$103,7,FALSE()),PRECIOS_TEJEDURIA!$A$4:$B$22,2,FALSE()),0)</f>
        <v>0</v>
      </c>
      <c r="K154" s="49"/>
      <c r="L154" s="50"/>
      <c r="M154" s="51">
        <f t="shared" si="1"/>
        <v>0</v>
      </c>
      <c r="N154" s="49"/>
      <c r="O154" s="49"/>
      <c r="P154" s="49"/>
      <c r="Q154" s="52"/>
      <c r="R154" s="53"/>
      <c r="S154" s="53"/>
      <c r="T154" s="54"/>
      <c r="U154" s="19">
        <f t="shared" si="2"/>
        <v>0</v>
      </c>
      <c r="V154" s="20">
        <f t="shared" si="3"/>
        <v>0</v>
      </c>
      <c r="W154" s="55">
        <f t="array" ref="W154">IFERROR(INDEX(PRECIOS_TINTORERIA!$B$4:$U$15,MATCH(D154,PRECIOS_TINTORERIA!$A$4:$A$15,0),MATCH(VLOOKUP(A154,PROGRAMAS!$A$4:$G$103,7,FALSE()),PRECIOS_TINTORERIA!$B$3:$U$3,0)),0)</f>
        <v>0</v>
      </c>
      <c r="X154" s="56"/>
      <c r="Y154" s="57"/>
      <c r="Z154" s="58">
        <f t="shared" si="4"/>
        <v>0</v>
      </c>
      <c r="AA154" s="56"/>
      <c r="AB154" s="56"/>
      <c r="AC154" s="56"/>
      <c r="AD154" s="23">
        <f>IFERROR((SUMIFS(COMPRAS_HILO!$H$4:$H$203,COMPRAS_HILO!$B$4:$B$203,A154))*F154/SUMIFS($F$4:$F$503,$A$4:$A$503,A154),0)</f>
        <v>0</v>
      </c>
      <c r="AE154" s="23">
        <f t="shared" si="5"/>
        <v>0</v>
      </c>
      <c r="AF154" s="23">
        <f t="shared" si="6"/>
        <v>0</v>
      </c>
      <c r="AG154" s="25">
        <f t="shared" si="7"/>
        <v>0</v>
      </c>
      <c r="AH154" s="25">
        <f t="shared" si="8"/>
        <v>0</v>
      </c>
      <c r="AI154" s="59"/>
    </row>
    <row r="155" ht="15.75" customHeight="1">
      <c r="A155" s="40"/>
      <c r="B155" s="33"/>
      <c r="C155" s="45" t="str">
        <f>IFERROR(VLOOKUP(B155,COLORES!$A$4:$B$52,2,FALSE()),"")</f>
        <v/>
      </c>
      <c r="D155" s="33"/>
      <c r="E155" s="46"/>
      <c r="F155" s="34"/>
      <c r="G155" s="33"/>
      <c r="H155" s="47"/>
      <c r="I155" s="47"/>
      <c r="J155" s="48">
        <f>IFERROR(VLOOKUP(VLOOKUP(A155,PROGRAMAS!$A$4:$G$103,7,FALSE()),PRECIOS_TEJEDURIA!$A$4:$B$22,2,FALSE()),0)</f>
        <v>0</v>
      </c>
      <c r="K155" s="49"/>
      <c r="L155" s="50"/>
      <c r="M155" s="51">
        <f t="shared" si="1"/>
        <v>0</v>
      </c>
      <c r="N155" s="49"/>
      <c r="O155" s="49"/>
      <c r="P155" s="49"/>
      <c r="Q155" s="52"/>
      <c r="R155" s="53"/>
      <c r="S155" s="53"/>
      <c r="T155" s="54"/>
      <c r="U155" s="19">
        <f t="shared" si="2"/>
        <v>0</v>
      </c>
      <c r="V155" s="20">
        <f t="shared" si="3"/>
        <v>0</v>
      </c>
      <c r="W155" s="55">
        <f t="array" ref="W155">IFERROR(INDEX(PRECIOS_TINTORERIA!$B$4:$U$15,MATCH(D155,PRECIOS_TINTORERIA!$A$4:$A$15,0),MATCH(VLOOKUP(A155,PROGRAMAS!$A$4:$G$103,7,FALSE()),PRECIOS_TINTORERIA!$B$3:$U$3,0)),0)</f>
        <v>0</v>
      </c>
      <c r="X155" s="56"/>
      <c r="Y155" s="57"/>
      <c r="Z155" s="58">
        <f t="shared" si="4"/>
        <v>0</v>
      </c>
      <c r="AA155" s="56"/>
      <c r="AB155" s="56"/>
      <c r="AC155" s="56"/>
      <c r="AD155" s="23">
        <f>IFERROR((SUMIFS(COMPRAS_HILO!$H$4:$H$203,COMPRAS_HILO!$B$4:$B$203,A155))*F155/SUMIFS($F$4:$F$503,$A$4:$A$503,A155),0)</f>
        <v>0</v>
      </c>
      <c r="AE155" s="23">
        <f t="shared" si="5"/>
        <v>0</v>
      </c>
      <c r="AF155" s="23">
        <f t="shared" si="6"/>
        <v>0</v>
      </c>
      <c r="AG155" s="25">
        <f t="shared" si="7"/>
        <v>0</v>
      </c>
      <c r="AH155" s="25">
        <f t="shared" si="8"/>
        <v>0</v>
      </c>
      <c r="AI155" s="59"/>
    </row>
    <row r="156" ht="15.75" customHeight="1">
      <c r="A156" s="40"/>
      <c r="B156" s="33"/>
      <c r="C156" s="45" t="str">
        <f>IFERROR(VLOOKUP(B156,COLORES!$A$4:$B$52,2,FALSE()),"")</f>
        <v/>
      </c>
      <c r="D156" s="33"/>
      <c r="E156" s="46"/>
      <c r="F156" s="34"/>
      <c r="G156" s="33"/>
      <c r="H156" s="47"/>
      <c r="I156" s="47"/>
      <c r="J156" s="48">
        <f>IFERROR(VLOOKUP(VLOOKUP(A156,PROGRAMAS!$A$4:$G$103,7,FALSE()),PRECIOS_TEJEDURIA!$A$4:$B$22,2,FALSE()),0)</f>
        <v>0</v>
      </c>
      <c r="K156" s="49"/>
      <c r="L156" s="50"/>
      <c r="M156" s="51">
        <f t="shared" si="1"/>
        <v>0</v>
      </c>
      <c r="N156" s="49"/>
      <c r="O156" s="49"/>
      <c r="P156" s="49"/>
      <c r="Q156" s="52"/>
      <c r="R156" s="53"/>
      <c r="S156" s="53"/>
      <c r="T156" s="54"/>
      <c r="U156" s="19">
        <f t="shared" si="2"/>
        <v>0</v>
      </c>
      <c r="V156" s="20">
        <f t="shared" si="3"/>
        <v>0</v>
      </c>
      <c r="W156" s="55">
        <f t="array" ref="W156">IFERROR(INDEX(PRECIOS_TINTORERIA!$B$4:$U$15,MATCH(D156,PRECIOS_TINTORERIA!$A$4:$A$15,0),MATCH(VLOOKUP(A156,PROGRAMAS!$A$4:$G$103,7,FALSE()),PRECIOS_TINTORERIA!$B$3:$U$3,0)),0)</f>
        <v>0</v>
      </c>
      <c r="X156" s="56"/>
      <c r="Y156" s="57"/>
      <c r="Z156" s="58">
        <f t="shared" si="4"/>
        <v>0</v>
      </c>
      <c r="AA156" s="56"/>
      <c r="AB156" s="56"/>
      <c r="AC156" s="56"/>
      <c r="AD156" s="23">
        <f>IFERROR((SUMIFS(COMPRAS_HILO!$H$4:$H$203,COMPRAS_HILO!$B$4:$B$203,A156))*F156/SUMIFS($F$4:$F$503,$A$4:$A$503,A156),0)</f>
        <v>0</v>
      </c>
      <c r="AE156" s="23">
        <f t="shared" si="5"/>
        <v>0</v>
      </c>
      <c r="AF156" s="23">
        <f t="shared" si="6"/>
        <v>0</v>
      </c>
      <c r="AG156" s="25">
        <f t="shared" si="7"/>
        <v>0</v>
      </c>
      <c r="AH156" s="25">
        <f t="shared" si="8"/>
        <v>0</v>
      </c>
      <c r="AI156" s="59"/>
    </row>
    <row r="157" ht="15.75" customHeight="1">
      <c r="A157" s="40"/>
      <c r="B157" s="33"/>
      <c r="C157" s="45" t="str">
        <f>IFERROR(VLOOKUP(B157,COLORES!$A$4:$B$52,2,FALSE()),"")</f>
        <v/>
      </c>
      <c r="D157" s="33"/>
      <c r="E157" s="46"/>
      <c r="F157" s="34"/>
      <c r="G157" s="33"/>
      <c r="H157" s="47"/>
      <c r="I157" s="47"/>
      <c r="J157" s="48">
        <f>IFERROR(VLOOKUP(VLOOKUP(A157,PROGRAMAS!$A$4:$G$103,7,FALSE()),PRECIOS_TEJEDURIA!$A$4:$B$22,2,FALSE()),0)</f>
        <v>0</v>
      </c>
      <c r="K157" s="49"/>
      <c r="L157" s="50"/>
      <c r="M157" s="51">
        <f t="shared" si="1"/>
        <v>0</v>
      </c>
      <c r="N157" s="49"/>
      <c r="O157" s="49"/>
      <c r="P157" s="49"/>
      <c r="Q157" s="52"/>
      <c r="R157" s="53"/>
      <c r="S157" s="53"/>
      <c r="T157" s="54"/>
      <c r="U157" s="19">
        <f t="shared" si="2"/>
        <v>0</v>
      </c>
      <c r="V157" s="20">
        <f t="shared" si="3"/>
        <v>0</v>
      </c>
      <c r="W157" s="55">
        <f t="array" ref="W157">IFERROR(INDEX(PRECIOS_TINTORERIA!$B$4:$U$15,MATCH(D157,PRECIOS_TINTORERIA!$A$4:$A$15,0),MATCH(VLOOKUP(A157,PROGRAMAS!$A$4:$G$103,7,FALSE()),PRECIOS_TINTORERIA!$B$3:$U$3,0)),0)</f>
        <v>0</v>
      </c>
      <c r="X157" s="56"/>
      <c r="Y157" s="57"/>
      <c r="Z157" s="58">
        <f t="shared" si="4"/>
        <v>0</v>
      </c>
      <c r="AA157" s="56"/>
      <c r="AB157" s="56"/>
      <c r="AC157" s="56"/>
      <c r="AD157" s="23">
        <f>IFERROR((SUMIFS(COMPRAS_HILO!$H$4:$H$203,COMPRAS_HILO!$B$4:$B$203,A157))*F157/SUMIFS($F$4:$F$503,$A$4:$A$503,A157),0)</f>
        <v>0</v>
      </c>
      <c r="AE157" s="23">
        <f t="shared" si="5"/>
        <v>0</v>
      </c>
      <c r="AF157" s="23">
        <f t="shared" si="6"/>
        <v>0</v>
      </c>
      <c r="AG157" s="25">
        <f t="shared" si="7"/>
        <v>0</v>
      </c>
      <c r="AH157" s="25">
        <f t="shared" si="8"/>
        <v>0</v>
      </c>
      <c r="AI157" s="59"/>
    </row>
    <row r="158" ht="15.75" customHeight="1">
      <c r="A158" s="40"/>
      <c r="B158" s="33"/>
      <c r="C158" s="45" t="str">
        <f>IFERROR(VLOOKUP(B158,COLORES!$A$4:$B$52,2,FALSE()),"")</f>
        <v/>
      </c>
      <c r="D158" s="33"/>
      <c r="E158" s="46"/>
      <c r="F158" s="34"/>
      <c r="G158" s="33"/>
      <c r="H158" s="47"/>
      <c r="I158" s="47"/>
      <c r="J158" s="48">
        <f>IFERROR(VLOOKUP(VLOOKUP(A158,PROGRAMAS!$A$4:$G$103,7,FALSE()),PRECIOS_TEJEDURIA!$A$4:$B$22,2,FALSE()),0)</f>
        <v>0</v>
      </c>
      <c r="K158" s="49"/>
      <c r="L158" s="50"/>
      <c r="M158" s="51">
        <f t="shared" si="1"/>
        <v>0</v>
      </c>
      <c r="N158" s="49"/>
      <c r="O158" s="49"/>
      <c r="P158" s="49"/>
      <c r="Q158" s="52"/>
      <c r="R158" s="53"/>
      <c r="S158" s="53"/>
      <c r="T158" s="54"/>
      <c r="U158" s="19">
        <f t="shared" si="2"/>
        <v>0</v>
      </c>
      <c r="V158" s="20">
        <f t="shared" si="3"/>
        <v>0</v>
      </c>
      <c r="W158" s="55">
        <f t="array" ref="W158">IFERROR(INDEX(PRECIOS_TINTORERIA!$B$4:$U$15,MATCH(D158,PRECIOS_TINTORERIA!$A$4:$A$15,0),MATCH(VLOOKUP(A158,PROGRAMAS!$A$4:$G$103,7,FALSE()),PRECIOS_TINTORERIA!$B$3:$U$3,0)),0)</f>
        <v>0</v>
      </c>
      <c r="X158" s="56"/>
      <c r="Y158" s="57"/>
      <c r="Z158" s="58">
        <f t="shared" si="4"/>
        <v>0</v>
      </c>
      <c r="AA158" s="56"/>
      <c r="AB158" s="56"/>
      <c r="AC158" s="56"/>
      <c r="AD158" s="23">
        <f>IFERROR((SUMIFS(COMPRAS_HILO!$H$4:$H$203,COMPRAS_HILO!$B$4:$B$203,A158))*F158/SUMIFS($F$4:$F$503,$A$4:$A$503,A158),0)</f>
        <v>0</v>
      </c>
      <c r="AE158" s="23">
        <f t="shared" si="5"/>
        <v>0</v>
      </c>
      <c r="AF158" s="23">
        <f t="shared" si="6"/>
        <v>0</v>
      </c>
      <c r="AG158" s="25">
        <f t="shared" si="7"/>
        <v>0</v>
      </c>
      <c r="AH158" s="25">
        <f t="shared" si="8"/>
        <v>0</v>
      </c>
      <c r="AI158" s="59"/>
    </row>
    <row r="159" ht="15.75" customHeight="1">
      <c r="A159" s="40"/>
      <c r="B159" s="33"/>
      <c r="C159" s="45" t="str">
        <f>IFERROR(VLOOKUP(B159,COLORES!$A$4:$B$52,2,FALSE()),"")</f>
        <v/>
      </c>
      <c r="D159" s="33"/>
      <c r="E159" s="46"/>
      <c r="F159" s="34"/>
      <c r="G159" s="33"/>
      <c r="H159" s="47"/>
      <c r="I159" s="47"/>
      <c r="J159" s="48">
        <f>IFERROR(VLOOKUP(VLOOKUP(A159,PROGRAMAS!$A$4:$G$103,7,FALSE()),PRECIOS_TEJEDURIA!$A$4:$B$22,2,FALSE()),0)</f>
        <v>0</v>
      </c>
      <c r="K159" s="49"/>
      <c r="L159" s="50"/>
      <c r="M159" s="51">
        <f t="shared" si="1"/>
        <v>0</v>
      </c>
      <c r="N159" s="49"/>
      <c r="O159" s="49"/>
      <c r="P159" s="49"/>
      <c r="Q159" s="52"/>
      <c r="R159" s="53"/>
      <c r="S159" s="53"/>
      <c r="T159" s="54"/>
      <c r="U159" s="19">
        <f t="shared" si="2"/>
        <v>0</v>
      </c>
      <c r="V159" s="20">
        <f t="shared" si="3"/>
        <v>0</v>
      </c>
      <c r="W159" s="55">
        <f t="array" ref="W159">IFERROR(INDEX(PRECIOS_TINTORERIA!$B$4:$U$15,MATCH(D159,PRECIOS_TINTORERIA!$A$4:$A$15,0),MATCH(VLOOKUP(A159,PROGRAMAS!$A$4:$G$103,7,FALSE()),PRECIOS_TINTORERIA!$B$3:$U$3,0)),0)</f>
        <v>0</v>
      </c>
      <c r="X159" s="56"/>
      <c r="Y159" s="57"/>
      <c r="Z159" s="58">
        <f t="shared" si="4"/>
        <v>0</v>
      </c>
      <c r="AA159" s="56"/>
      <c r="AB159" s="56"/>
      <c r="AC159" s="56"/>
      <c r="AD159" s="23">
        <f>IFERROR((SUMIFS(COMPRAS_HILO!$H$4:$H$203,COMPRAS_HILO!$B$4:$B$203,A159))*F159/SUMIFS($F$4:$F$503,$A$4:$A$503,A159),0)</f>
        <v>0</v>
      </c>
      <c r="AE159" s="23">
        <f t="shared" si="5"/>
        <v>0</v>
      </c>
      <c r="AF159" s="23">
        <f t="shared" si="6"/>
        <v>0</v>
      </c>
      <c r="AG159" s="25">
        <f t="shared" si="7"/>
        <v>0</v>
      </c>
      <c r="AH159" s="25">
        <f t="shared" si="8"/>
        <v>0</v>
      </c>
      <c r="AI159" s="59"/>
    </row>
    <row r="160" ht="15.75" customHeight="1">
      <c r="A160" s="40"/>
      <c r="B160" s="33"/>
      <c r="C160" s="45" t="str">
        <f>IFERROR(VLOOKUP(B160,COLORES!$A$4:$B$52,2,FALSE()),"")</f>
        <v/>
      </c>
      <c r="D160" s="33"/>
      <c r="E160" s="46"/>
      <c r="F160" s="34"/>
      <c r="G160" s="33"/>
      <c r="H160" s="47"/>
      <c r="I160" s="47"/>
      <c r="J160" s="48">
        <f>IFERROR(VLOOKUP(VLOOKUP(A160,PROGRAMAS!$A$4:$G$103,7,FALSE()),PRECIOS_TEJEDURIA!$A$4:$B$22,2,FALSE()),0)</f>
        <v>0</v>
      </c>
      <c r="K160" s="49"/>
      <c r="L160" s="50"/>
      <c r="M160" s="51">
        <f t="shared" si="1"/>
        <v>0</v>
      </c>
      <c r="N160" s="49"/>
      <c r="O160" s="49"/>
      <c r="P160" s="49"/>
      <c r="Q160" s="52"/>
      <c r="R160" s="53"/>
      <c r="S160" s="53"/>
      <c r="T160" s="54"/>
      <c r="U160" s="19">
        <f t="shared" si="2"/>
        <v>0</v>
      </c>
      <c r="V160" s="20">
        <f t="shared" si="3"/>
        <v>0</v>
      </c>
      <c r="W160" s="55">
        <f t="array" ref="W160">IFERROR(INDEX(PRECIOS_TINTORERIA!$B$4:$U$15,MATCH(D160,PRECIOS_TINTORERIA!$A$4:$A$15,0),MATCH(VLOOKUP(A160,PROGRAMAS!$A$4:$G$103,7,FALSE()),PRECIOS_TINTORERIA!$B$3:$U$3,0)),0)</f>
        <v>0</v>
      </c>
      <c r="X160" s="56"/>
      <c r="Y160" s="57"/>
      <c r="Z160" s="58">
        <f t="shared" si="4"/>
        <v>0</v>
      </c>
      <c r="AA160" s="56"/>
      <c r="AB160" s="56"/>
      <c r="AC160" s="56"/>
      <c r="AD160" s="23">
        <f>IFERROR((SUMIFS(COMPRAS_HILO!$H$4:$H$203,COMPRAS_HILO!$B$4:$B$203,A160))*F160/SUMIFS($F$4:$F$503,$A$4:$A$503,A160),0)</f>
        <v>0</v>
      </c>
      <c r="AE160" s="23">
        <f t="shared" si="5"/>
        <v>0</v>
      </c>
      <c r="AF160" s="23">
        <f t="shared" si="6"/>
        <v>0</v>
      </c>
      <c r="AG160" s="25">
        <f t="shared" si="7"/>
        <v>0</v>
      </c>
      <c r="AH160" s="25">
        <f t="shared" si="8"/>
        <v>0</v>
      </c>
      <c r="AI160" s="59"/>
    </row>
    <row r="161" ht="15.75" customHeight="1">
      <c r="A161" s="40"/>
      <c r="B161" s="33"/>
      <c r="C161" s="45" t="str">
        <f>IFERROR(VLOOKUP(B161,COLORES!$A$4:$B$52,2,FALSE()),"")</f>
        <v/>
      </c>
      <c r="D161" s="33"/>
      <c r="E161" s="46"/>
      <c r="F161" s="34"/>
      <c r="G161" s="33"/>
      <c r="H161" s="47"/>
      <c r="I161" s="47"/>
      <c r="J161" s="48">
        <f>IFERROR(VLOOKUP(VLOOKUP(A161,PROGRAMAS!$A$4:$G$103,7,FALSE()),PRECIOS_TEJEDURIA!$A$4:$B$22,2,FALSE()),0)</f>
        <v>0</v>
      </c>
      <c r="K161" s="49"/>
      <c r="L161" s="50"/>
      <c r="M161" s="51">
        <f t="shared" si="1"/>
        <v>0</v>
      </c>
      <c r="N161" s="49"/>
      <c r="O161" s="49"/>
      <c r="P161" s="49"/>
      <c r="Q161" s="52"/>
      <c r="R161" s="53"/>
      <c r="S161" s="53"/>
      <c r="T161" s="54"/>
      <c r="U161" s="19">
        <f t="shared" si="2"/>
        <v>0</v>
      </c>
      <c r="V161" s="20">
        <f t="shared" si="3"/>
        <v>0</v>
      </c>
      <c r="W161" s="55">
        <f t="array" ref="W161">IFERROR(INDEX(PRECIOS_TINTORERIA!$B$4:$U$15,MATCH(D161,PRECIOS_TINTORERIA!$A$4:$A$15,0),MATCH(VLOOKUP(A161,PROGRAMAS!$A$4:$G$103,7,FALSE()),PRECIOS_TINTORERIA!$B$3:$U$3,0)),0)</f>
        <v>0</v>
      </c>
      <c r="X161" s="56"/>
      <c r="Y161" s="57"/>
      <c r="Z161" s="58">
        <f t="shared" si="4"/>
        <v>0</v>
      </c>
      <c r="AA161" s="56"/>
      <c r="AB161" s="56"/>
      <c r="AC161" s="56"/>
      <c r="AD161" s="23">
        <f>IFERROR((SUMIFS(COMPRAS_HILO!$H$4:$H$203,COMPRAS_HILO!$B$4:$B$203,A161))*F161/SUMIFS($F$4:$F$503,$A$4:$A$503,A161),0)</f>
        <v>0</v>
      </c>
      <c r="AE161" s="23">
        <f t="shared" si="5"/>
        <v>0</v>
      </c>
      <c r="AF161" s="23">
        <f t="shared" si="6"/>
        <v>0</v>
      </c>
      <c r="AG161" s="25">
        <f t="shared" si="7"/>
        <v>0</v>
      </c>
      <c r="AH161" s="25">
        <f t="shared" si="8"/>
        <v>0</v>
      </c>
      <c r="AI161" s="59"/>
    </row>
    <row r="162" ht="15.75" customHeight="1">
      <c r="A162" s="40"/>
      <c r="B162" s="33"/>
      <c r="C162" s="45" t="str">
        <f>IFERROR(VLOOKUP(B162,COLORES!$A$4:$B$52,2,FALSE()),"")</f>
        <v/>
      </c>
      <c r="D162" s="33"/>
      <c r="E162" s="46"/>
      <c r="F162" s="34"/>
      <c r="G162" s="33"/>
      <c r="H162" s="47"/>
      <c r="I162" s="47"/>
      <c r="J162" s="48">
        <f>IFERROR(VLOOKUP(VLOOKUP(A162,PROGRAMAS!$A$4:$G$103,7,FALSE()),PRECIOS_TEJEDURIA!$A$4:$B$22,2,FALSE()),0)</f>
        <v>0</v>
      </c>
      <c r="K162" s="49"/>
      <c r="L162" s="50"/>
      <c r="M162" s="51">
        <f t="shared" si="1"/>
        <v>0</v>
      </c>
      <c r="N162" s="49"/>
      <c r="O162" s="49"/>
      <c r="P162" s="49"/>
      <c r="Q162" s="52"/>
      <c r="R162" s="53"/>
      <c r="S162" s="53"/>
      <c r="T162" s="54"/>
      <c r="U162" s="19">
        <f t="shared" si="2"/>
        <v>0</v>
      </c>
      <c r="V162" s="20">
        <f t="shared" si="3"/>
        <v>0</v>
      </c>
      <c r="W162" s="55">
        <f t="array" ref="W162">IFERROR(INDEX(PRECIOS_TINTORERIA!$B$4:$U$15,MATCH(D162,PRECIOS_TINTORERIA!$A$4:$A$15,0),MATCH(VLOOKUP(A162,PROGRAMAS!$A$4:$G$103,7,FALSE()),PRECIOS_TINTORERIA!$B$3:$U$3,0)),0)</f>
        <v>0</v>
      </c>
      <c r="X162" s="56"/>
      <c r="Y162" s="57"/>
      <c r="Z162" s="58">
        <f t="shared" si="4"/>
        <v>0</v>
      </c>
      <c r="AA162" s="56"/>
      <c r="AB162" s="56"/>
      <c r="AC162" s="56"/>
      <c r="AD162" s="23">
        <f>IFERROR((SUMIFS(COMPRAS_HILO!$H$4:$H$203,COMPRAS_HILO!$B$4:$B$203,A162))*F162/SUMIFS($F$4:$F$503,$A$4:$A$503,A162),0)</f>
        <v>0</v>
      </c>
      <c r="AE162" s="23">
        <f t="shared" si="5"/>
        <v>0</v>
      </c>
      <c r="AF162" s="23">
        <f t="shared" si="6"/>
        <v>0</v>
      </c>
      <c r="AG162" s="25">
        <f t="shared" si="7"/>
        <v>0</v>
      </c>
      <c r="AH162" s="25">
        <f t="shared" si="8"/>
        <v>0</v>
      </c>
      <c r="AI162" s="59"/>
    </row>
    <row r="163" ht="15.75" customHeight="1">
      <c r="A163" s="40"/>
      <c r="B163" s="33"/>
      <c r="C163" s="45" t="str">
        <f>IFERROR(VLOOKUP(B163,COLORES!$A$4:$B$52,2,FALSE()),"")</f>
        <v/>
      </c>
      <c r="D163" s="33"/>
      <c r="E163" s="46"/>
      <c r="F163" s="34"/>
      <c r="G163" s="33"/>
      <c r="H163" s="47"/>
      <c r="I163" s="47"/>
      <c r="J163" s="48">
        <f>IFERROR(VLOOKUP(VLOOKUP(A163,PROGRAMAS!$A$4:$G$103,7,FALSE()),PRECIOS_TEJEDURIA!$A$4:$B$22,2,FALSE()),0)</f>
        <v>0</v>
      </c>
      <c r="K163" s="49"/>
      <c r="L163" s="50"/>
      <c r="M163" s="51">
        <f t="shared" si="1"/>
        <v>0</v>
      </c>
      <c r="N163" s="49"/>
      <c r="O163" s="49"/>
      <c r="P163" s="49"/>
      <c r="Q163" s="52"/>
      <c r="R163" s="53"/>
      <c r="S163" s="53"/>
      <c r="T163" s="54"/>
      <c r="U163" s="19">
        <f t="shared" si="2"/>
        <v>0</v>
      </c>
      <c r="V163" s="20">
        <f t="shared" si="3"/>
        <v>0</v>
      </c>
      <c r="W163" s="55">
        <f t="array" ref="W163">IFERROR(INDEX(PRECIOS_TINTORERIA!$B$4:$U$15,MATCH(D163,PRECIOS_TINTORERIA!$A$4:$A$15,0),MATCH(VLOOKUP(A163,PROGRAMAS!$A$4:$G$103,7,FALSE()),PRECIOS_TINTORERIA!$B$3:$U$3,0)),0)</f>
        <v>0</v>
      </c>
      <c r="X163" s="56"/>
      <c r="Y163" s="57"/>
      <c r="Z163" s="58">
        <f t="shared" si="4"/>
        <v>0</v>
      </c>
      <c r="AA163" s="56"/>
      <c r="AB163" s="56"/>
      <c r="AC163" s="56"/>
      <c r="AD163" s="23">
        <f>IFERROR((SUMIFS(COMPRAS_HILO!$H$4:$H$203,COMPRAS_HILO!$B$4:$B$203,A163))*F163/SUMIFS($F$4:$F$503,$A$4:$A$503,A163),0)</f>
        <v>0</v>
      </c>
      <c r="AE163" s="23">
        <f t="shared" si="5"/>
        <v>0</v>
      </c>
      <c r="AF163" s="23">
        <f t="shared" si="6"/>
        <v>0</v>
      </c>
      <c r="AG163" s="25">
        <f t="shared" si="7"/>
        <v>0</v>
      </c>
      <c r="AH163" s="25">
        <f t="shared" si="8"/>
        <v>0</v>
      </c>
      <c r="AI163" s="59"/>
    </row>
    <row r="164" ht="15.75" customHeight="1">
      <c r="A164" s="40"/>
      <c r="B164" s="33"/>
      <c r="C164" s="45" t="str">
        <f>IFERROR(VLOOKUP(B164,COLORES!$A$4:$B$52,2,FALSE()),"")</f>
        <v/>
      </c>
      <c r="D164" s="33"/>
      <c r="E164" s="46"/>
      <c r="F164" s="34"/>
      <c r="G164" s="33"/>
      <c r="H164" s="47"/>
      <c r="I164" s="47"/>
      <c r="J164" s="48">
        <f>IFERROR(VLOOKUP(VLOOKUP(A164,PROGRAMAS!$A$4:$G$103,7,FALSE()),PRECIOS_TEJEDURIA!$A$4:$B$22,2,FALSE()),0)</f>
        <v>0</v>
      </c>
      <c r="K164" s="49"/>
      <c r="L164" s="50"/>
      <c r="M164" s="51">
        <f t="shared" si="1"/>
        <v>0</v>
      </c>
      <c r="N164" s="49"/>
      <c r="O164" s="49"/>
      <c r="P164" s="49"/>
      <c r="Q164" s="52"/>
      <c r="R164" s="53"/>
      <c r="S164" s="53"/>
      <c r="T164" s="54"/>
      <c r="U164" s="19">
        <f t="shared" si="2"/>
        <v>0</v>
      </c>
      <c r="V164" s="20">
        <f t="shared" si="3"/>
        <v>0</v>
      </c>
      <c r="W164" s="55">
        <f t="array" ref="W164">IFERROR(INDEX(PRECIOS_TINTORERIA!$B$4:$U$15,MATCH(D164,PRECIOS_TINTORERIA!$A$4:$A$15,0),MATCH(VLOOKUP(A164,PROGRAMAS!$A$4:$G$103,7,FALSE()),PRECIOS_TINTORERIA!$B$3:$U$3,0)),0)</f>
        <v>0</v>
      </c>
      <c r="X164" s="56"/>
      <c r="Y164" s="57"/>
      <c r="Z164" s="58">
        <f t="shared" si="4"/>
        <v>0</v>
      </c>
      <c r="AA164" s="56"/>
      <c r="AB164" s="56"/>
      <c r="AC164" s="56"/>
      <c r="AD164" s="23">
        <f>IFERROR((SUMIFS(COMPRAS_HILO!$H$4:$H$203,COMPRAS_HILO!$B$4:$B$203,A164))*F164/SUMIFS($F$4:$F$503,$A$4:$A$503,A164),0)</f>
        <v>0</v>
      </c>
      <c r="AE164" s="23">
        <f t="shared" si="5"/>
        <v>0</v>
      </c>
      <c r="AF164" s="23">
        <f t="shared" si="6"/>
        <v>0</v>
      </c>
      <c r="AG164" s="25">
        <f t="shared" si="7"/>
        <v>0</v>
      </c>
      <c r="AH164" s="25">
        <f t="shared" si="8"/>
        <v>0</v>
      </c>
      <c r="AI164" s="59"/>
    </row>
    <row r="165" ht="15.75" customHeight="1">
      <c r="A165" s="40"/>
      <c r="B165" s="33"/>
      <c r="C165" s="45" t="str">
        <f>IFERROR(VLOOKUP(B165,COLORES!$A$4:$B$52,2,FALSE()),"")</f>
        <v/>
      </c>
      <c r="D165" s="33"/>
      <c r="E165" s="46"/>
      <c r="F165" s="34"/>
      <c r="G165" s="33"/>
      <c r="H165" s="47"/>
      <c r="I165" s="47"/>
      <c r="J165" s="48">
        <f>IFERROR(VLOOKUP(VLOOKUP(A165,PROGRAMAS!$A$4:$G$103,7,FALSE()),PRECIOS_TEJEDURIA!$A$4:$B$22,2,FALSE()),0)</f>
        <v>0</v>
      </c>
      <c r="K165" s="49"/>
      <c r="L165" s="50"/>
      <c r="M165" s="51">
        <f t="shared" si="1"/>
        <v>0</v>
      </c>
      <c r="N165" s="49"/>
      <c r="O165" s="49"/>
      <c r="P165" s="49"/>
      <c r="Q165" s="52"/>
      <c r="R165" s="53"/>
      <c r="S165" s="53"/>
      <c r="T165" s="54"/>
      <c r="U165" s="19">
        <f t="shared" si="2"/>
        <v>0</v>
      </c>
      <c r="V165" s="20">
        <f t="shared" si="3"/>
        <v>0</v>
      </c>
      <c r="W165" s="55">
        <f t="array" ref="W165">IFERROR(INDEX(PRECIOS_TINTORERIA!$B$4:$U$15,MATCH(D165,PRECIOS_TINTORERIA!$A$4:$A$15,0),MATCH(VLOOKUP(A165,PROGRAMAS!$A$4:$G$103,7,FALSE()),PRECIOS_TINTORERIA!$B$3:$U$3,0)),0)</f>
        <v>0</v>
      </c>
      <c r="X165" s="56"/>
      <c r="Y165" s="57"/>
      <c r="Z165" s="58">
        <f t="shared" si="4"/>
        <v>0</v>
      </c>
      <c r="AA165" s="56"/>
      <c r="AB165" s="56"/>
      <c r="AC165" s="56"/>
      <c r="AD165" s="23">
        <f>IFERROR((SUMIFS(COMPRAS_HILO!$H$4:$H$203,COMPRAS_HILO!$B$4:$B$203,A165))*F165/SUMIFS($F$4:$F$503,$A$4:$A$503,A165),0)</f>
        <v>0</v>
      </c>
      <c r="AE165" s="23">
        <f t="shared" si="5"/>
        <v>0</v>
      </c>
      <c r="AF165" s="23">
        <f t="shared" si="6"/>
        <v>0</v>
      </c>
      <c r="AG165" s="25">
        <f t="shared" si="7"/>
        <v>0</v>
      </c>
      <c r="AH165" s="25">
        <f t="shared" si="8"/>
        <v>0</v>
      </c>
      <c r="AI165" s="59"/>
    </row>
    <row r="166" ht="15.75" customHeight="1">
      <c r="A166" s="40"/>
      <c r="B166" s="33"/>
      <c r="C166" s="45" t="str">
        <f>IFERROR(VLOOKUP(B166,COLORES!$A$4:$B$52,2,FALSE()),"")</f>
        <v/>
      </c>
      <c r="D166" s="33"/>
      <c r="E166" s="46"/>
      <c r="F166" s="34"/>
      <c r="G166" s="33"/>
      <c r="H166" s="47"/>
      <c r="I166" s="47"/>
      <c r="J166" s="48">
        <f>IFERROR(VLOOKUP(VLOOKUP(A166,PROGRAMAS!$A$4:$G$103,7,FALSE()),PRECIOS_TEJEDURIA!$A$4:$B$22,2,FALSE()),0)</f>
        <v>0</v>
      </c>
      <c r="K166" s="49"/>
      <c r="L166" s="50"/>
      <c r="M166" s="51">
        <f t="shared" si="1"/>
        <v>0</v>
      </c>
      <c r="N166" s="49"/>
      <c r="O166" s="49"/>
      <c r="P166" s="49"/>
      <c r="Q166" s="52"/>
      <c r="R166" s="53"/>
      <c r="S166" s="53"/>
      <c r="T166" s="54"/>
      <c r="U166" s="19">
        <f t="shared" si="2"/>
        <v>0</v>
      </c>
      <c r="V166" s="20">
        <f t="shared" si="3"/>
        <v>0</v>
      </c>
      <c r="W166" s="55">
        <f t="array" ref="W166">IFERROR(INDEX(PRECIOS_TINTORERIA!$B$4:$U$15,MATCH(D166,PRECIOS_TINTORERIA!$A$4:$A$15,0),MATCH(VLOOKUP(A166,PROGRAMAS!$A$4:$G$103,7,FALSE()),PRECIOS_TINTORERIA!$B$3:$U$3,0)),0)</f>
        <v>0</v>
      </c>
      <c r="X166" s="56"/>
      <c r="Y166" s="57"/>
      <c r="Z166" s="58">
        <f t="shared" si="4"/>
        <v>0</v>
      </c>
      <c r="AA166" s="56"/>
      <c r="AB166" s="56"/>
      <c r="AC166" s="56"/>
      <c r="AD166" s="23">
        <f>IFERROR((SUMIFS(COMPRAS_HILO!$H$4:$H$203,COMPRAS_HILO!$B$4:$B$203,A166))*F166/SUMIFS($F$4:$F$503,$A$4:$A$503,A166),0)</f>
        <v>0</v>
      </c>
      <c r="AE166" s="23">
        <f t="shared" si="5"/>
        <v>0</v>
      </c>
      <c r="AF166" s="23">
        <f t="shared" si="6"/>
        <v>0</v>
      </c>
      <c r="AG166" s="25">
        <f t="shared" si="7"/>
        <v>0</v>
      </c>
      <c r="AH166" s="25">
        <f t="shared" si="8"/>
        <v>0</v>
      </c>
      <c r="AI166" s="59"/>
    </row>
    <row r="167" ht="15.75" customHeight="1">
      <c r="A167" s="40"/>
      <c r="B167" s="33"/>
      <c r="C167" s="45" t="str">
        <f>IFERROR(VLOOKUP(B167,COLORES!$A$4:$B$52,2,FALSE()),"")</f>
        <v/>
      </c>
      <c r="D167" s="33"/>
      <c r="E167" s="46"/>
      <c r="F167" s="34"/>
      <c r="G167" s="33"/>
      <c r="H167" s="47"/>
      <c r="I167" s="47"/>
      <c r="J167" s="48">
        <f>IFERROR(VLOOKUP(VLOOKUP(A167,PROGRAMAS!$A$4:$G$103,7,FALSE()),PRECIOS_TEJEDURIA!$A$4:$B$22,2,FALSE()),0)</f>
        <v>0</v>
      </c>
      <c r="K167" s="49"/>
      <c r="L167" s="50"/>
      <c r="M167" s="51">
        <f t="shared" si="1"/>
        <v>0</v>
      </c>
      <c r="N167" s="49"/>
      <c r="O167" s="49"/>
      <c r="P167" s="49"/>
      <c r="Q167" s="52"/>
      <c r="R167" s="53"/>
      <c r="S167" s="53"/>
      <c r="T167" s="54"/>
      <c r="U167" s="19">
        <f t="shared" si="2"/>
        <v>0</v>
      </c>
      <c r="V167" s="20">
        <f t="shared" si="3"/>
        <v>0</v>
      </c>
      <c r="W167" s="55">
        <f t="array" ref="W167">IFERROR(INDEX(PRECIOS_TINTORERIA!$B$4:$U$15,MATCH(D167,PRECIOS_TINTORERIA!$A$4:$A$15,0),MATCH(VLOOKUP(A167,PROGRAMAS!$A$4:$G$103,7,FALSE()),PRECIOS_TINTORERIA!$B$3:$U$3,0)),0)</f>
        <v>0</v>
      </c>
      <c r="X167" s="56"/>
      <c r="Y167" s="57"/>
      <c r="Z167" s="58">
        <f t="shared" si="4"/>
        <v>0</v>
      </c>
      <c r="AA167" s="56"/>
      <c r="AB167" s="56"/>
      <c r="AC167" s="56"/>
      <c r="AD167" s="23">
        <f>IFERROR((SUMIFS(COMPRAS_HILO!$H$4:$H$203,COMPRAS_HILO!$B$4:$B$203,A167))*F167/SUMIFS($F$4:$F$503,$A$4:$A$503,A167),0)</f>
        <v>0</v>
      </c>
      <c r="AE167" s="23">
        <f t="shared" si="5"/>
        <v>0</v>
      </c>
      <c r="AF167" s="23">
        <f t="shared" si="6"/>
        <v>0</v>
      </c>
      <c r="AG167" s="25">
        <f t="shared" si="7"/>
        <v>0</v>
      </c>
      <c r="AH167" s="25">
        <f t="shared" si="8"/>
        <v>0</v>
      </c>
      <c r="AI167" s="59"/>
    </row>
    <row r="168" ht="15.75" customHeight="1">
      <c r="A168" s="40"/>
      <c r="B168" s="33"/>
      <c r="C168" s="45" t="str">
        <f>IFERROR(VLOOKUP(B168,COLORES!$A$4:$B$52,2,FALSE()),"")</f>
        <v/>
      </c>
      <c r="D168" s="33"/>
      <c r="E168" s="46"/>
      <c r="F168" s="34"/>
      <c r="G168" s="33"/>
      <c r="H168" s="47"/>
      <c r="I168" s="47"/>
      <c r="J168" s="48">
        <f>IFERROR(VLOOKUP(VLOOKUP(A168,PROGRAMAS!$A$4:$G$103,7,FALSE()),PRECIOS_TEJEDURIA!$A$4:$B$22,2,FALSE()),0)</f>
        <v>0</v>
      </c>
      <c r="K168" s="49"/>
      <c r="L168" s="50"/>
      <c r="M168" s="51">
        <f t="shared" si="1"/>
        <v>0</v>
      </c>
      <c r="N168" s="49"/>
      <c r="O168" s="49"/>
      <c r="P168" s="49"/>
      <c r="Q168" s="52"/>
      <c r="R168" s="53"/>
      <c r="S168" s="53"/>
      <c r="T168" s="54"/>
      <c r="U168" s="19">
        <f t="shared" si="2"/>
        <v>0</v>
      </c>
      <c r="V168" s="20">
        <f t="shared" si="3"/>
        <v>0</v>
      </c>
      <c r="W168" s="55">
        <f t="array" ref="W168">IFERROR(INDEX(PRECIOS_TINTORERIA!$B$4:$U$15,MATCH(D168,PRECIOS_TINTORERIA!$A$4:$A$15,0),MATCH(VLOOKUP(A168,PROGRAMAS!$A$4:$G$103,7,FALSE()),PRECIOS_TINTORERIA!$B$3:$U$3,0)),0)</f>
        <v>0</v>
      </c>
      <c r="X168" s="56"/>
      <c r="Y168" s="57"/>
      <c r="Z168" s="58">
        <f t="shared" si="4"/>
        <v>0</v>
      </c>
      <c r="AA168" s="56"/>
      <c r="AB168" s="56"/>
      <c r="AC168" s="56"/>
      <c r="AD168" s="23">
        <f>IFERROR((SUMIFS(COMPRAS_HILO!$H$4:$H$203,COMPRAS_HILO!$B$4:$B$203,A168))*F168/SUMIFS($F$4:$F$503,$A$4:$A$503,A168),0)</f>
        <v>0</v>
      </c>
      <c r="AE168" s="23">
        <f t="shared" si="5"/>
        <v>0</v>
      </c>
      <c r="AF168" s="23">
        <f t="shared" si="6"/>
        <v>0</v>
      </c>
      <c r="AG168" s="25">
        <f t="shared" si="7"/>
        <v>0</v>
      </c>
      <c r="AH168" s="25">
        <f t="shared" si="8"/>
        <v>0</v>
      </c>
      <c r="AI168" s="59"/>
    </row>
    <row r="169" ht="15.75" customHeight="1">
      <c r="A169" s="40"/>
      <c r="B169" s="33"/>
      <c r="C169" s="45" t="str">
        <f>IFERROR(VLOOKUP(B169,COLORES!$A$4:$B$52,2,FALSE()),"")</f>
        <v/>
      </c>
      <c r="D169" s="33"/>
      <c r="E169" s="46"/>
      <c r="F169" s="34"/>
      <c r="G169" s="33"/>
      <c r="H169" s="47"/>
      <c r="I169" s="47"/>
      <c r="J169" s="48">
        <f>IFERROR(VLOOKUP(VLOOKUP(A169,PROGRAMAS!$A$4:$G$103,7,FALSE()),PRECIOS_TEJEDURIA!$A$4:$B$22,2,FALSE()),0)</f>
        <v>0</v>
      </c>
      <c r="K169" s="49"/>
      <c r="L169" s="50"/>
      <c r="M169" s="51">
        <f t="shared" si="1"/>
        <v>0</v>
      </c>
      <c r="N169" s="49"/>
      <c r="O169" s="49"/>
      <c r="P169" s="49"/>
      <c r="Q169" s="52"/>
      <c r="R169" s="53"/>
      <c r="S169" s="53"/>
      <c r="T169" s="54"/>
      <c r="U169" s="19">
        <f t="shared" si="2"/>
        <v>0</v>
      </c>
      <c r="V169" s="20">
        <f t="shared" si="3"/>
        <v>0</v>
      </c>
      <c r="W169" s="55">
        <f t="array" ref="W169">IFERROR(INDEX(PRECIOS_TINTORERIA!$B$4:$U$15,MATCH(D169,PRECIOS_TINTORERIA!$A$4:$A$15,0),MATCH(VLOOKUP(A169,PROGRAMAS!$A$4:$G$103,7,FALSE()),PRECIOS_TINTORERIA!$B$3:$U$3,0)),0)</f>
        <v>0</v>
      </c>
      <c r="X169" s="56"/>
      <c r="Y169" s="57"/>
      <c r="Z169" s="58">
        <f t="shared" si="4"/>
        <v>0</v>
      </c>
      <c r="AA169" s="56"/>
      <c r="AB169" s="56"/>
      <c r="AC169" s="56"/>
      <c r="AD169" s="23">
        <f>IFERROR((SUMIFS(COMPRAS_HILO!$H$4:$H$203,COMPRAS_HILO!$B$4:$B$203,A169))*F169/SUMIFS($F$4:$F$503,$A$4:$A$503,A169),0)</f>
        <v>0</v>
      </c>
      <c r="AE169" s="23">
        <f t="shared" si="5"/>
        <v>0</v>
      </c>
      <c r="AF169" s="23">
        <f t="shared" si="6"/>
        <v>0</v>
      </c>
      <c r="AG169" s="25">
        <f t="shared" si="7"/>
        <v>0</v>
      </c>
      <c r="AH169" s="25">
        <f t="shared" si="8"/>
        <v>0</v>
      </c>
      <c r="AI169" s="59"/>
    </row>
    <row r="170" ht="15.75" customHeight="1">
      <c r="A170" s="40"/>
      <c r="B170" s="33"/>
      <c r="C170" s="45" t="str">
        <f>IFERROR(VLOOKUP(B170,COLORES!$A$4:$B$52,2,FALSE()),"")</f>
        <v/>
      </c>
      <c r="D170" s="33"/>
      <c r="E170" s="46"/>
      <c r="F170" s="34"/>
      <c r="G170" s="33"/>
      <c r="H170" s="47"/>
      <c r="I170" s="47"/>
      <c r="J170" s="48">
        <f>IFERROR(VLOOKUP(VLOOKUP(A170,PROGRAMAS!$A$4:$G$103,7,FALSE()),PRECIOS_TEJEDURIA!$A$4:$B$22,2,FALSE()),0)</f>
        <v>0</v>
      </c>
      <c r="K170" s="49"/>
      <c r="L170" s="50"/>
      <c r="M170" s="51">
        <f t="shared" si="1"/>
        <v>0</v>
      </c>
      <c r="N170" s="49"/>
      <c r="O170" s="49"/>
      <c r="P170" s="49"/>
      <c r="Q170" s="52"/>
      <c r="R170" s="53"/>
      <c r="S170" s="53"/>
      <c r="T170" s="54"/>
      <c r="U170" s="19">
        <f t="shared" si="2"/>
        <v>0</v>
      </c>
      <c r="V170" s="20">
        <f t="shared" si="3"/>
        <v>0</v>
      </c>
      <c r="W170" s="55">
        <f t="array" ref="W170">IFERROR(INDEX(PRECIOS_TINTORERIA!$B$4:$U$15,MATCH(D170,PRECIOS_TINTORERIA!$A$4:$A$15,0),MATCH(VLOOKUP(A170,PROGRAMAS!$A$4:$G$103,7,FALSE()),PRECIOS_TINTORERIA!$B$3:$U$3,0)),0)</f>
        <v>0</v>
      </c>
      <c r="X170" s="56"/>
      <c r="Y170" s="57"/>
      <c r="Z170" s="58">
        <f t="shared" si="4"/>
        <v>0</v>
      </c>
      <c r="AA170" s="56"/>
      <c r="AB170" s="56"/>
      <c r="AC170" s="56"/>
      <c r="AD170" s="23">
        <f>IFERROR((SUMIFS(COMPRAS_HILO!$H$4:$H$203,COMPRAS_HILO!$B$4:$B$203,A170))*F170/SUMIFS($F$4:$F$503,$A$4:$A$503,A170),0)</f>
        <v>0</v>
      </c>
      <c r="AE170" s="23">
        <f t="shared" si="5"/>
        <v>0</v>
      </c>
      <c r="AF170" s="23">
        <f t="shared" si="6"/>
        <v>0</v>
      </c>
      <c r="AG170" s="25">
        <f t="shared" si="7"/>
        <v>0</v>
      </c>
      <c r="AH170" s="25">
        <f t="shared" si="8"/>
        <v>0</v>
      </c>
      <c r="AI170" s="59"/>
    </row>
    <row r="171" ht="15.75" customHeight="1">
      <c r="A171" s="40"/>
      <c r="B171" s="33"/>
      <c r="C171" s="45" t="str">
        <f>IFERROR(VLOOKUP(B171,COLORES!$A$4:$B$52,2,FALSE()),"")</f>
        <v/>
      </c>
      <c r="D171" s="33"/>
      <c r="E171" s="46"/>
      <c r="F171" s="34"/>
      <c r="G171" s="33"/>
      <c r="H171" s="47"/>
      <c r="I171" s="47"/>
      <c r="J171" s="48">
        <f>IFERROR(VLOOKUP(VLOOKUP(A171,PROGRAMAS!$A$4:$G$103,7,FALSE()),PRECIOS_TEJEDURIA!$A$4:$B$22,2,FALSE()),0)</f>
        <v>0</v>
      </c>
      <c r="K171" s="49"/>
      <c r="L171" s="50"/>
      <c r="M171" s="51">
        <f t="shared" si="1"/>
        <v>0</v>
      </c>
      <c r="N171" s="49"/>
      <c r="O171" s="49"/>
      <c r="P171" s="49"/>
      <c r="Q171" s="52"/>
      <c r="R171" s="53"/>
      <c r="S171" s="53"/>
      <c r="T171" s="54"/>
      <c r="U171" s="19">
        <f t="shared" si="2"/>
        <v>0</v>
      </c>
      <c r="V171" s="20">
        <f t="shared" si="3"/>
        <v>0</v>
      </c>
      <c r="W171" s="55">
        <f t="array" ref="W171">IFERROR(INDEX(PRECIOS_TINTORERIA!$B$4:$U$15,MATCH(D171,PRECIOS_TINTORERIA!$A$4:$A$15,0),MATCH(VLOOKUP(A171,PROGRAMAS!$A$4:$G$103,7,FALSE()),PRECIOS_TINTORERIA!$B$3:$U$3,0)),0)</f>
        <v>0</v>
      </c>
      <c r="X171" s="56"/>
      <c r="Y171" s="57"/>
      <c r="Z171" s="58">
        <f t="shared" si="4"/>
        <v>0</v>
      </c>
      <c r="AA171" s="56"/>
      <c r="AB171" s="56"/>
      <c r="AC171" s="56"/>
      <c r="AD171" s="23">
        <f>IFERROR((SUMIFS(COMPRAS_HILO!$H$4:$H$203,COMPRAS_HILO!$B$4:$B$203,A171))*F171/SUMIFS($F$4:$F$503,$A$4:$A$503,A171),0)</f>
        <v>0</v>
      </c>
      <c r="AE171" s="23">
        <f t="shared" si="5"/>
        <v>0</v>
      </c>
      <c r="AF171" s="23">
        <f t="shared" si="6"/>
        <v>0</v>
      </c>
      <c r="AG171" s="25">
        <f t="shared" si="7"/>
        <v>0</v>
      </c>
      <c r="AH171" s="25">
        <f t="shared" si="8"/>
        <v>0</v>
      </c>
      <c r="AI171" s="59"/>
    </row>
    <row r="172" ht="15.75" customHeight="1">
      <c r="A172" s="40"/>
      <c r="B172" s="33"/>
      <c r="C172" s="45" t="str">
        <f>IFERROR(VLOOKUP(B172,COLORES!$A$4:$B$52,2,FALSE()),"")</f>
        <v/>
      </c>
      <c r="D172" s="33"/>
      <c r="E172" s="46"/>
      <c r="F172" s="34"/>
      <c r="G172" s="33"/>
      <c r="H172" s="47"/>
      <c r="I172" s="47"/>
      <c r="J172" s="48">
        <f>IFERROR(VLOOKUP(VLOOKUP(A172,PROGRAMAS!$A$4:$G$103,7,FALSE()),PRECIOS_TEJEDURIA!$A$4:$B$22,2,FALSE()),0)</f>
        <v>0</v>
      </c>
      <c r="K172" s="49"/>
      <c r="L172" s="50"/>
      <c r="M172" s="51">
        <f t="shared" si="1"/>
        <v>0</v>
      </c>
      <c r="N172" s="49"/>
      <c r="O172" s="49"/>
      <c r="P172" s="49"/>
      <c r="Q172" s="52"/>
      <c r="R172" s="53"/>
      <c r="S172" s="53"/>
      <c r="T172" s="54"/>
      <c r="U172" s="19">
        <f t="shared" si="2"/>
        <v>0</v>
      </c>
      <c r="V172" s="20">
        <f t="shared" si="3"/>
        <v>0</v>
      </c>
      <c r="W172" s="55">
        <f t="array" ref="W172">IFERROR(INDEX(PRECIOS_TINTORERIA!$B$4:$U$15,MATCH(D172,PRECIOS_TINTORERIA!$A$4:$A$15,0),MATCH(VLOOKUP(A172,PROGRAMAS!$A$4:$G$103,7,FALSE()),PRECIOS_TINTORERIA!$B$3:$U$3,0)),0)</f>
        <v>0</v>
      </c>
      <c r="X172" s="56"/>
      <c r="Y172" s="57"/>
      <c r="Z172" s="58">
        <f t="shared" si="4"/>
        <v>0</v>
      </c>
      <c r="AA172" s="56"/>
      <c r="AB172" s="56"/>
      <c r="AC172" s="56"/>
      <c r="AD172" s="23">
        <f>IFERROR((SUMIFS(COMPRAS_HILO!$H$4:$H$203,COMPRAS_HILO!$B$4:$B$203,A172))*F172/SUMIFS($F$4:$F$503,$A$4:$A$503,A172),0)</f>
        <v>0</v>
      </c>
      <c r="AE172" s="23">
        <f t="shared" si="5"/>
        <v>0</v>
      </c>
      <c r="AF172" s="23">
        <f t="shared" si="6"/>
        <v>0</v>
      </c>
      <c r="AG172" s="25">
        <f t="shared" si="7"/>
        <v>0</v>
      </c>
      <c r="AH172" s="25">
        <f t="shared" si="8"/>
        <v>0</v>
      </c>
      <c r="AI172" s="59"/>
    </row>
    <row r="173" ht="15.75" customHeight="1">
      <c r="A173" s="40"/>
      <c r="B173" s="33"/>
      <c r="C173" s="45" t="str">
        <f>IFERROR(VLOOKUP(B173,COLORES!$A$4:$B$52,2,FALSE()),"")</f>
        <v/>
      </c>
      <c r="D173" s="33"/>
      <c r="E173" s="46"/>
      <c r="F173" s="34"/>
      <c r="G173" s="33"/>
      <c r="H173" s="47"/>
      <c r="I173" s="47"/>
      <c r="J173" s="48">
        <f>IFERROR(VLOOKUP(VLOOKUP(A173,PROGRAMAS!$A$4:$G$103,7,FALSE()),PRECIOS_TEJEDURIA!$A$4:$B$22,2,FALSE()),0)</f>
        <v>0</v>
      </c>
      <c r="K173" s="49"/>
      <c r="L173" s="50"/>
      <c r="M173" s="51">
        <f t="shared" si="1"/>
        <v>0</v>
      </c>
      <c r="N173" s="49"/>
      <c r="O173" s="49"/>
      <c r="P173" s="49"/>
      <c r="Q173" s="52"/>
      <c r="R173" s="53"/>
      <c r="S173" s="53"/>
      <c r="T173" s="54"/>
      <c r="U173" s="19">
        <f t="shared" si="2"/>
        <v>0</v>
      </c>
      <c r="V173" s="20">
        <f t="shared" si="3"/>
        <v>0</v>
      </c>
      <c r="W173" s="55">
        <f t="array" ref="W173">IFERROR(INDEX(PRECIOS_TINTORERIA!$B$4:$U$15,MATCH(D173,PRECIOS_TINTORERIA!$A$4:$A$15,0),MATCH(VLOOKUP(A173,PROGRAMAS!$A$4:$G$103,7,FALSE()),PRECIOS_TINTORERIA!$B$3:$U$3,0)),0)</f>
        <v>0</v>
      </c>
      <c r="X173" s="56"/>
      <c r="Y173" s="57"/>
      <c r="Z173" s="58">
        <f t="shared" si="4"/>
        <v>0</v>
      </c>
      <c r="AA173" s="56"/>
      <c r="AB173" s="56"/>
      <c r="AC173" s="56"/>
      <c r="AD173" s="23">
        <f>IFERROR((SUMIFS(COMPRAS_HILO!$H$4:$H$203,COMPRAS_HILO!$B$4:$B$203,A173))*F173/SUMIFS($F$4:$F$503,$A$4:$A$503,A173),0)</f>
        <v>0</v>
      </c>
      <c r="AE173" s="23">
        <f t="shared" si="5"/>
        <v>0</v>
      </c>
      <c r="AF173" s="23">
        <f t="shared" si="6"/>
        <v>0</v>
      </c>
      <c r="AG173" s="25">
        <f t="shared" si="7"/>
        <v>0</v>
      </c>
      <c r="AH173" s="25">
        <f t="shared" si="8"/>
        <v>0</v>
      </c>
      <c r="AI173" s="59"/>
    </row>
    <row r="174" ht="15.75" customHeight="1">
      <c r="A174" s="40"/>
      <c r="B174" s="33"/>
      <c r="C174" s="45" t="str">
        <f>IFERROR(VLOOKUP(B174,COLORES!$A$4:$B$52,2,FALSE()),"")</f>
        <v/>
      </c>
      <c r="D174" s="33"/>
      <c r="E174" s="46"/>
      <c r="F174" s="34"/>
      <c r="G174" s="33"/>
      <c r="H174" s="47"/>
      <c r="I174" s="47"/>
      <c r="J174" s="48">
        <f>IFERROR(VLOOKUP(VLOOKUP(A174,PROGRAMAS!$A$4:$G$103,7,FALSE()),PRECIOS_TEJEDURIA!$A$4:$B$22,2,FALSE()),0)</f>
        <v>0</v>
      </c>
      <c r="K174" s="49"/>
      <c r="L174" s="50"/>
      <c r="M174" s="51">
        <f t="shared" si="1"/>
        <v>0</v>
      </c>
      <c r="N174" s="49"/>
      <c r="O174" s="49"/>
      <c r="P174" s="49"/>
      <c r="Q174" s="52"/>
      <c r="R174" s="53"/>
      <c r="S174" s="53"/>
      <c r="T174" s="54"/>
      <c r="U174" s="19">
        <f t="shared" si="2"/>
        <v>0</v>
      </c>
      <c r="V174" s="20">
        <f t="shared" si="3"/>
        <v>0</v>
      </c>
      <c r="W174" s="55">
        <f t="array" ref="W174">IFERROR(INDEX(PRECIOS_TINTORERIA!$B$4:$U$15,MATCH(D174,PRECIOS_TINTORERIA!$A$4:$A$15,0),MATCH(VLOOKUP(A174,PROGRAMAS!$A$4:$G$103,7,FALSE()),PRECIOS_TINTORERIA!$B$3:$U$3,0)),0)</f>
        <v>0</v>
      </c>
      <c r="X174" s="56"/>
      <c r="Y174" s="57"/>
      <c r="Z174" s="58">
        <f t="shared" si="4"/>
        <v>0</v>
      </c>
      <c r="AA174" s="56"/>
      <c r="AB174" s="56"/>
      <c r="AC174" s="56"/>
      <c r="AD174" s="23">
        <f>IFERROR((SUMIFS(COMPRAS_HILO!$H$4:$H$203,COMPRAS_HILO!$B$4:$B$203,A174))*F174/SUMIFS($F$4:$F$503,$A$4:$A$503,A174),0)</f>
        <v>0</v>
      </c>
      <c r="AE174" s="23">
        <f t="shared" si="5"/>
        <v>0</v>
      </c>
      <c r="AF174" s="23">
        <f t="shared" si="6"/>
        <v>0</v>
      </c>
      <c r="AG174" s="25">
        <f t="shared" si="7"/>
        <v>0</v>
      </c>
      <c r="AH174" s="25">
        <f t="shared" si="8"/>
        <v>0</v>
      </c>
      <c r="AI174" s="59"/>
    </row>
    <row r="175" ht="15.75" customHeight="1">
      <c r="A175" s="40"/>
      <c r="B175" s="33"/>
      <c r="C175" s="45" t="str">
        <f>IFERROR(VLOOKUP(B175,COLORES!$A$4:$B$52,2,FALSE()),"")</f>
        <v/>
      </c>
      <c r="D175" s="33"/>
      <c r="E175" s="46"/>
      <c r="F175" s="34"/>
      <c r="G175" s="33"/>
      <c r="H175" s="47"/>
      <c r="I175" s="47"/>
      <c r="J175" s="48">
        <f>IFERROR(VLOOKUP(VLOOKUP(A175,PROGRAMAS!$A$4:$G$103,7,FALSE()),PRECIOS_TEJEDURIA!$A$4:$B$22,2,FALSE()),0)</f>
        <v>0</v>
      </c>
      <c r="K175" s="49"/>
      <c r="L175" s="50"/>
      <c r="M175" s="51">
        <f t="shared" si="1"/>
        <v>0</v>
      </c>
      <c r="N175" s="49"/>
      <c r="O175" s="49"/>
      <c r="P175" s="49"/>
      <c r="Q175" s="52"/>
      <c r="R175" s="53"/>
      <c r="S175" s="53"/>
      <c r="T175" s="54"/>
      <c r="U175" s="19">
        <f t="shared" si="2"/>
        <v>0</v>
      </c>
      <c r="V175" s="20">
        <f t="shared" si="3"/>
        <v>0</v>
      </c>
      <c r="W175" s="55">
        <f t="array" ref="W175">IFERROR(INDEX(PRECIOS_TINTORERIA!$B$4:$U$15,MATCH(D175,PRECIOS_TINTORERIA!$A$4:$A$15,0),MATCH(VLOOKUP(A175,PROGRAMAS!$A$4:$G$103,7,FALSE()),PRECIOS_TINTORERIA!$B$3:$U$3,0)),0)</f>
        <v>0</v>
      </c>
      <c r="X175" s="56"/>
      <c r="Y175" s="57"/>
      <c r="Z175" s="58">
        <f t="shared" si="4"/>
        <v>0</v>
      </c>
      <c r="AA175" s="56"/>
      <c r="AB175" s="56"/>
      <c r="AC175" s="56"/>
      <c r="AD175" s="23">
        <f>IFERROR((SUMIFS(COMPRAS_HILO!$H$4:$H$203,COMPRAS_HILO!$B$4:$B$203,A175))*F175/SUMIFS($F$4:$F$503,$A$4:$A$503,A175),0)</f>
        <v>0</v>
      </c>
      <c r="AE175" s="23">
        <f t="shared" si="5"/>
        <v>0</v>
      </c>
      <c r="AF175" s="23">
        <f t="shared" si="6"/>
        <v>0</v>
      </c>
      <c r="AG175" s="25">
        <f t="shared" si="7"/>
        <v>0</v>
      </c>
      <c r="AH175" s="25">
        <f t="shared" si="8"/>
        <v>0</v>
      </c>
      <c r="AI175" s="59"/>
    </row>
    <row r="176" ht="15.75" customHeight="1">
      <c r="A176" s="40"/>
      <c r="B176" s="33"/>
      <c r="C176" s="45" t="str">
        <f>IFERROR(VLOOKUP(B176,COLORES!$A$4:$B$52,2,FALSE()),"")</f>
        <v/>
      </c>
      <c r="D176" s="33"/>
      <c r="E176" s="46"/>
      <c r="F176" s="34"/>
      <c r="G176" s="33"/>
      <c r="H176" s="47"/>
      <c r="I176" s="47"/>
      <c r="J176" s="48">
        <f>IFERROR(VLOOKUP(VLOOKUP(A176,PROGRAMAS!$A$4:$G$103,7,FALSE()),PRECIOS_TEJEDURIA!$A$4:$B$22,2,FALSE()),0)</f>
        <v>0</v>
      </c>
      <c r="K176" s="49"/>
      <c r="L176" s="50"/>
      <c r="M176" s="51">
        <f t="shared" si="1"/>
        <v>0</v>
      </c>
      <c r="N176" s="49"/>
      <c r="O176" s="49"/>
      <c r="P176" s="49"/>
      <c r="Q176" s="52"/>
      <c r="R176" s="53"/>
      <c r="S176" s="53"/>
      <c r="T176" s="54"/>
      <c r="U176" s="19">
        <f t="shared" si="2"/>
        <v>0</v>
      </c>
      <c r="V176" s="20">
        <f t="shared" si="3"/>
        <v>0</v>
      </c>
      <c r="W176" s="55">
        <f t="array" ref="W176">IFERROR(INDEX(PRECIOS_TINTORERIA!$B$4:$U$15,MATCH(D176,PRECIOS_TINTORERIA!$A$4:$A$15,0),MATCH(VLOOKUP(A176,PROGRAMAS!$A$4:$G$103,7,FALSE()),PRECIOS_TINTORERIA!$B$3:$U$3,0)),0)</f>
        <v>0</v>
      </c>
      <c r="X176" s="56"/>
      <c r="Y176" s="57"/>
      <c r="Z176" s="58">
        <f t="shared" si="4"/>
        <v>0</v>
      </c>
      <c r="AA176" s="56"/>
      <c r="AB176" s="56"/>
      <c r="AC176" s="56"/>
      <c r="AD176" s="23">
        <f>IFERROR((SUMIFS(COMPRAS_HILO!$H$4:$H$203,COMPRAS_HILO!$B$4:$B$203,A176))*F176/SUMIFS($F$4:$F$503,$A$4:$A$503,A176),0)</f>
        <v>0</v>
      </c>
      <c r="AE176" s="23">
        <f t="shared" si="5"/>
        <v>0</v>
      </c>
      <c r="AF176" s="23">
        <f t="shared" si="6"/>
        <v>0</v>
      </c>
      <c r="AG176" s="25">
        <f t="shared" si="7"/>
        <v>0</v>
      </c>
      <c r="AH176" s="25">
        <f t="shared" si="8"/>
        <v>0</v>
      </c>
      <c r="AI176" s="59"/>
    </row>
    <row r="177" ht="15.75" customHeight="1">
      <c r="A177" s="40"/>
      <c r="B177" s="33"/>
      <c r="C177" s="45" t="str">
        <f>IFERROR(VLOOKUP(B177,COLORES!$A$4:$B$52,2,FALSE()),"")</f>
        <v/>
      </c>
      <c r="D177" s="33"/>
      <c r="E177" s="46"/>
      <c r="F177" s="34"/>
      <c r="G177" s="33"/>
      <c r="H177" s="47"/>
      <c r="I177" s="47"/>
      <c r="J177" s="48">
        <f>IFERROR(VLOOKUP(VLOOKUP(A177,PROGRAMAS!$A$4:$G$103,7,FALSE()),PRECIOS_TEJEDURIA!$A$4:$B$22,2,FALSE()),0)</f>
        <v>0</v>
      </c>
      <c r="K177" s="49"/>
      <c r="L177" s="50"/>
      <c r="M177" s="51">
        <f t="shared" si="1"/>
        <v>0</v>
      </c>
      <c r="N177" s="49"/>
      <c r="O177" s="49"/>
      <c r="P177" s="49"/>
      <c r="Q177" s="52"/>
      <c r="R177" s="53"/>
      <c r="S177" s="53"/>
      <c r="T177" s="54"/>
      <c r="U177" s="19">
        <f t="shared" si="2"/>
        <v>0</v>
      </c>
      <c r="V177" s="20">
        <f t="shared" si="3"/>
        <v>0</v>
      </c>
      <c r="W177" s="55">
        <f t="array" ref="W177">IFERROR(INDEX(PRECIOS_TINTORERIA!$B$4:$U$15,MATCH(D177,PRECIOS_TINTORERIA!$A$4:$A$15,0),MATCH(VLOOKUP(A177,PROGRAMAS!$A$4:$G$103,7,FALSE()),PRECIOS_TINTORERIA!$B$3:$U$3,0)),0)</f>
        <v>0</v>
      </c>
      <c r="X177" s="56"/>
      <c r="Y177" s="57"/>
      <c r="Z177" s="58">
        <f t="shared" si="4"/>
        <v>0</v>
      </c>
      <c r="AA177" s="56"/>
      <c r="AB177" s="56"/>
      <c r="AC177" s="56"/>
      <c r="AD177" s="23">
        <f>IFERROR((SUMIFS(COMPRAS_HILO!$H$4:$H$203,COMPRAS_HILO!$B$4:$B$203,A177))*F177/SUMIFS($F$4:$F$503,$A$4:$A$503,A177),0)</f>
        <v>0</v>
      </c>
      <c r="AE177" s="23">
        <f t="shared" si="5"/>
        <v>0</v>
      </c>
      <c r="AF177" s="23">
        <f t="shared" si="6"/>
        <v>0</v>
      </c>
      <c r="AG177" s="25">
        <f t="shared" si="7"/>
        <v>0</v>
      </c>
      <c r="AH177" s="25">
        <f t="shared" si="8"/>
        <v>0</v>
      </c>
      <c r="AI177" s="59"/>
    </row>
    <row r="178" ht="15.75" customHeight="1">
      <c r="A178" s="40"/>
      <c r="B178" s="33"/>
      <c r="C178" s="45" t="str">
        <f>IFERROR(VLOOKUP(B178,COLORES!$A$4:$B$52,2,FALSE()),"")</f>
        <v/>
      </c>
      <c r="D178" s="33"/>
      <c r="E178" s="46"/>
      <c r="F178" s="34"/>
      <c r="G178" s="33"/>
      <c r="H178" s="47"/>
      <c r="I178" s="47"/>
      <c r="J178" s="48">
        <f>IFERROR(VLOOKUP(VLOOKUP(A178,PROGRAMAS!$A$4:$G$103,7,FALSE()),PRECIOS_TEJEDURIA!$A$4:$B$22,2,FALSE()),0)</f>
        <v>0</v>
      </c>
      <c r="K178" s="49"/>
      <c r="L178" s="50"/>
      <c r="M178" s="51">
        <f t="shared" si="1"/>
        <v>0</v>
      </c>
      <c r="N178" s="49"/>
      <c r="O178" s="49"/>
      <c r="P178" s="49"/>
      <c r="Q178" s="52"/>
      <c r="R178" s="53"/>
      <c r="S178" s="53"/>
      <c r="T178" s="54"/>
      <c r="U178" s="19">
        <f t="shared" si="2"/>
        <v>0</v>
      </c>
      <c r="V178" s="20">
        <f t="shared" si="3"/>
        <v>0</v>
      </c>
      <c r="W178" s="55">
        <f t="array" ref="W178">IFERROR(INDEX(PRECIOS_TINTORERIA!$B$4:$U$15,MATCH(D178,PRECIOS_TINTORERIA!$A$4:$A$15,0),MATCH(VLOOKUP(A178,PROGRAMAS!$A$4:$G$103,7,FALSE()),PRECIOS_TINTORERIA!$B$3:$U$3,0)),0)</f>
        <v>0</v>
      </c>
      <c r="X178" s="56"/>
      <c r="Y178" s="57"/>
      <c r="Z178" s="58">
        <f t="shared" si="4"/>
        <v>0</v>
      </c>
      <c r="AA178" s="56"/>
      <c r="AB178" s="56"/>
      <c r="AC178" s="56"/>
      <c r="AD178" s="23">
        <f>IFERROR((SUMIFS(COMPRAS_HILO!$H$4:$H$203,COMPRAS_HILO!$B$4:$B$203,A178))*F178/SUMIFS($F$4:$F$503,$A$4:$A$503,A178),0)</f>
        <v>0</v>
      </c>
      <c r="AE178" s="23">
        <f t="shared" si="5"/>
        <v>0</v>
      </c>
      <c r="AF178" s="23">
        <f t="shared" si="6"/>
        <v>0</v>
      </c>
      <c r="AG178" s="25">
        <f t="shared" si="7"/>
        <v>0</v>
      </c>
      <c r="AH178" s="25">
        <f t="shared" si="8"/>
        <v>0</v>
      </c>
      <c r="AI178" s="59"/>
    </row>
    <row r="179" ht="15.75" customHeight="1">
      <c r="A179" s="40"/>
      <c r="B179" s="33"/>
      <c r="C179" s="45" t="str">
        <f>IFERROR(VLOOKUP(B179,COLORES!$A$4:$B$52,2,FALSE()),"")</f>
        <v/>
      </c>
      <c r="D179" s="33"/>
      <c r="E179" s="46"/>
      <c r="F179" s="34"/>
      <c r="G179" s="33"/>
      <c r="H179" s="47"/>
      <c r="I179" s="47"/>
      <c r="J179" s="48">
        <f>IFERROR(VLOOKUP(VLOOKUP(A179,PROGRAMAS!$A$4:$G$103,7,FALSE()),PRECIOS_TEJEDURIA!$A$4:$B$22,2,FALSE()),0)</f>
        <v>0</v>
      </c>
      <c r="K179" s="49"/>
      <c r="L179" s="50"/>
      <c r="M179" s="51">
        <f t="shared" si="1"/>
        <v>0</v>
      </c>
      <c r="N179" s="49"/>
      <c r="O179" s="49"/>
      <c r="P179" s="49"/>
      <c r="Q179" s="52"/>
      <c r="R179" s="53"/>
      <c r="S179" s="53"/>
      <c r="T179" s="54"/>
      <c r="U179" s="19">
        <f t="shared" si="2"/>
        <v>0</v>
      </c>
      <c r="V179" s="20">
        <f t="shared" si="3"/>
        <v>0</v>
      </c>
      <c r="W179" s="55">
        <f t="array" ref="W179">IFERROR(INDEX(PRECIOS_TINTORERIA!$B$4:$U$15,MATCH(D179,PRECIOS_TINTORERIA!$A$4:$A$15,0),MATCH(VLOOKUP(A179,PROGRAMAS!$A$4:$G$103,7,FALSE()),PRECIOS_TINTORERIA!$B$3:$U$3,0)),0)</f>
        <v>0</v>
      </c>
      <c r="X179" s="56"/>
      <c r="Y179" s="57"/>
      <c r="Z179" s="58">
        <f t="shared" si="4"/>
        <v>0</v>
      </c>
      <c r="AA179" s="56"/>
      <c r="AB179" s="56"/>
      <c r="AC179" s="56"/>
      <c r="AD179" s="23">
        <f>IFERROR((SUMIFS(COMPRAS_HILO!$H$4:$H$203,COMPRAS_HILO!$B$4:$B$203,A179))*F179/SUMIFS($F$4:$F$503,$A$4:$A$503,A179),0)</f>
        <v>0</v>
      </c>
      <c r="AE179" s="23">
        <f t="shared" si="5"/>
        <v>0</v>
      </c>
      <c r="AF179" s="23">
        <f t="shared" si="6"/>
        <v>0</v>
      </c>
      <c r="AG179" s="25">
        <f t="shared" si="7"/>
        <v>0</v>
      </c>
      <c r="AH179" s="25">
        <f t="shared" si="8"/>
        <v>0</v>
      </c>
      <c r="AI179" s="59"/>
    </row>
    <row r="180" ht="15.75" customHeight="1">
      <c r="A180" s="40"/>
      <c r="B180" s="33"/>
      <c r="C180" s="45" t="str">
        <f>IFERROR(VLOOKUP(B180,COLORES!$A$4:$B$52,2,FALSE()),"")</f>
        <v/>
      </c>
      <c r="D180" s="33"/>
      <c r="E180" s="46"/>
      <c r="F180" s="34"/>
      <c r="G180" s="33"/>
      <c r="H180" s="47"/>
      <c r="I180" s="47"/>
      <c r="J180" s="48">
        <f>IFERROR(VLOOKUP(VLOOKUP(A180,PROGRAMAS!$A$4:$G$103,7,FALSE()),PRECIOS_TEJEDURIA!$A$4:$B$22,2,FALSE()),0)</f>
        <v>0</v>
      </c>
      <c r="K180" s="49"/>
      <c r="L180" s="50"/>
      <c r="M180" s="51">
        <f t="shared" si="1"/>
        <v>0</v>
      </c>
      <c r="N180" s="49"/>
      <c r="O180" s="49"/>
      <c r="P180" s="49"/>
      <c r="Q180" s="52"/>
      <c r="R180" s="53"/>
      <c r="S180" s="53"/>
      <c r="T180" s="54"/>
      <c r="U180" s="19">
        <f t="shared" si="2"/>
        <v>0</v>
      </c>
      <c r="V180" s="20">
        <f t="shared" si="3"/>
        <v>0</v>
      </c>
      <c r="W180" s="55">
        <f t="array" ref="W180">IFERROR(INDEX(PRECIOS_TINTORERIA!$B$4:$U$15,MATCH(D180,PRECIOS_TINTORERIA!$A$4:$A$15,0),MATCH(VLOOKUP(A180,PROGRAMAS!$A$4:$G$103,7,FALSE()),PRECIOS_TINTORERIA!$B$3:$U$3,0)),0)</f>
        <v>0</v>
      </c>
      <c r="X180" s="56"/>
      <c r="Y180" s="57"/>
      <c r="Z180" s="58">
        <f t="shared" si="4"/>
        <v>0</v>
      </c>
      <c r="AA180" s="56"/>
      <c r="AB180" s="56"/>
      <c r="AC180" s="56"/>
      <c r="AD180" s="23">
        <f>IFERROR((SUMIFS(COMPRAS_HILO!$H$4:$H$203,COMPRAS_HILO!$B$4:$B$203,A180))*F180/SUMIFS($F$4:$F$503,$A$4:$A$503,A180),0)</f>
        <v>0</v>
      </c>
      <c r="AE180" s="23">
        <f t="shared" si="5"/>
        <v>0</v>
      </c>
      <c r="AF180" s="23">
        <f t="shared" si="6"/>
        <v>0</v>
      </c>
      <c r="AG180" s="25">
        <f t="shared" si="7"/>
        <v>0</v>
      </c>
      <c r="AH180" s="25">
        <f t="shared" si="8"/>
        <v>0</v>
      </c>
      <c r="AI180" s="59"/>
    </row>
    <row r="181" ht="15.75" customHeight="1">
      <c r="A181" s="40"/>
      <c r="B181" s="33"/>
      <c r="C181" s="45" t="str">
        <f>IFERROR(VLOOKUP(B181,COLORES!$A$4:$B$52,2,FALSE()),"")</f>
        <v/>
      </c>
      <c r="D181" s="33"/>
      <c r="E181" s="46"/>
      <c r="F181" s="34"/>
      <c r="G181" s="33"/>
      <c r="H181" s="47"/>
      <c r="I181" s="47"/>
      <c r="J181" s="48">
        <f>IFERROR(VLOOKUP(VLOOKUP(A181,PROGRAMAS!$A$4:$G$103,7,FALSE()),PRECIOS_TEJEDURIA!$A$4:$B$22,2,FALSE()),0)</f>
        <v>0</v>
      </c>
      <c r="K181" s="49"/>
      <c r="L181" s="50"/>
      <c r="M181" s="51">
        <f t="shared" si="1"/>
        <v>0</v>
      </c>
      <c r="N181" s="49"/>
      <c r="O181" s="49"/>
      <c r="P181" s="49"/>
      <c r="Q181" s="52"/>
      <c r="R181" s="53"/>
      <c r="S181" s="53"/>
      <c r="T181" s="54"/>
      <c r="U181" s="19">
        <f t="shared" si="2"/>
        <v>0</v>
      </c>
      <c r="V181" s="20">
        <f t="shared" si="3"/>
        <v>0</v>
      </c>
      <c r="W181" s="55">
        <f t="array" ref="W181">IFERROR(INDEX(PRECIOS_TINTORERIA!$B$4:$U$15,MATCH(D181,PRECIOS_TINTORERIA!$A$4:$A$15,0),MATCH(VLOOKUP(A181,PROGRAMAS!$A$4:$G$103,7,FALSE()),PRECIOS_TINTORERIA!$B$3:$U$3,0)),0)</f>
        <v>0</v>
      </c>
      <c r="X181" s="56"/>
      <c r="Y181" s="57"/>
      <c r="Z181" s="58">
        <f t="shared" si="4"/>
        <v>0</v>
      </c>
      <c r="AA181" s="56"/>
      <c r="AB181" s="56"/>
      <c r="AC181" s="56"/>
      <c r="AD181" s="23">
        <f>IFERROR((SUMIFS(COMPRAS_HILO!$H$4:$H$203,COMPRAS_HILO!$B$4:$B$203,A181))*F181/SUMIFS($F$4:$F$503,$A$4:$A$503,A181),0)</f>
        <v>0</v>
      </c>
      <c r="AE181" s="23">
        <f t="shared" si="5"/>
        <v>0</v>
      </c>
      <c r="AF181" s="23">
        <f t="shared" si="6"/>
        <v>0</v>
      </c>
      <c r="AG181" s="25">
        <f t="shared" si="7"/>
        <v>0</v>
      </c>
      <c r="AH181" s="25">
        <f t="shared" si="8"/>
        <v>0</v>
      </c>
      <c r="AI181" s="59"/>
    </row>
    <row r="182" ht="15.75" customHeight="1">
      <c r="A182" s="40"/>
      <c r="B182" s="33"/>
      <c r="C182" s="45" t="str">
        <f>IFERROR(VLOOKUP(B182,COLORES!$A$4:$B$52,2,FALSE()),"")</f>
        <v/>
      </c>
      <c r="D182" s="33"/>
      <c r="E182" s="46"/>
      <c r="F182" s="34"/>
      <c r="G182" s="33"/>
      <c r="H182" s="47"/>
      <c r="I182" s="47"/>
      <c r="J182" s="48">
        <f>IFERROR(VLOOKUP(VLOOKUP(A182,PROGRAMAS!$A$4:$G$103,7,FALSE()),PRECIOS_TEJEDURIA!$A$4:$B$22,2,FALSE()),0)</f>
        <v>0</v>
      </c>
      <c r="K182" s="49"/>
      <c r="L182" s="50"/>
      <c r="M182" s="51">
        <f t="shared" si="1"/>
        <v>0</v>
      </c>
      <c r="N182" s="49"/>
      <c r="O182" s="49"/>
      <c r="P182" s="49"/>
      <c r="Q182" s="52"/>
      <c r="R182" s="53"/>
      <c r="S182" s="53"/>
      <c r="T182" s="54"/>
      <c r="U182" s="19">
        <f t="shared" si="2"/>
        <v>0</v>
      </c>
      <c r="V182" s="20">
        <f t="shared" si="3"/>
        <v>0</v>
      </c>
      <c r="W182" s="55">
        <f t="array" ref="W182">IFERROR(INDEX(PRECIOS_TINTORERIA!$B$4:$U$15,MATCH(D182,PRECIOS_TINTORERIA!$A$4:$A$15,0),MATCH(VLOOKUP(A182,PROGRAMAS!$A$4:$G$103,7,FALSE()),PRECIOS_TINTORERIA!$B$3:$U$3,0)),0)</f>
        <v>0</v>
      </c>
      <c r="X182" s="56"/>
      <c r="Y182" s="57"/>
      <c r="Z182" s="58">
        <f t="shared" si="4"/>
        <v>0</v>
      </c>
      <c r="AA182" s="56"/>
      <c r="AB182" s="56"/>
      <c r="AC182" s="56"/>
      <c r="AD182" s="23">
        <f>IFERROR((SUMIFS(COMPRAS_HILO!$H$4:$H$203,COMPRAS_HILO!$B$4:$B$203,A182))*F182/SUMIFS($F$4:$F$503,$A$4:$A$503,A182),0)</f>
        <v>0</v>
      </c>
      <c r="AE182" s="23">
        <f t="shared" si="5"/>
        <v>0</v>
      </c>
      <c r="AF182" s="23">
        <f t="shared" si="6"/>
        <v>0</v>
      </c>
      <c r="AG182" s="25">
        <f t="shared" si="7"/>
        <v>0</v>
      </c>
      <c r="AH182" s="25">
        <f t="shared" si="8"/>
        <v>0</v>
      </c>
      <c r="AI182" s="59"/>
    </row>
    <row r="183" ht="15.75" customHeight="1">
      <c r="A183" s="40"/>
      <c r="B183" s="33"/>
      <c r="C183" s="45" t="str">
        <f>IFERROR(VLOOKUP(B183,COLORES!$A$4:$B$52,2,FALSE()),"")</f>
        <v/>
      </c>
      <c r="D183" s="33"/>
      <c r="E183" s="46"/>
      <c r="F183" s="34"/>
      <c r="G183" s="33"/>
      <c r="H183" s="47"/>
      <c r="I183" s="47"/>
      <c r="J183" s="48">
        <f>IFERROR(VLOOKUP(VLOOKUP(A183,PROGRAMAS!$A$4:$G$103,7,FALSE()),PRECIOS_TEJEDURIA!$A$4:$B$22,2,FALSE()),0)</f>
        <v>0</v>
      </c>
      <c r="K183" s="49"/>
      <c r="L183" s="50"/>
      <c r="M183" s="51">
        <f t="shared" si="1"/>
        <v>0</v>
      </c>
      <c r="N183" s="49"/>
      <c r="O183" s="49"/>
      <c r="P183" s="49"/>
      <c r="Q183" s="52"/>
      <c r="R183" s="53"/>
      <c r="S183" s="53"/>
      <c r="T183" s="54"/>
      <c r="U183" s="19">
        <f t="shared" si="2"/>
        <v>0</v>
      </c>
      <c r="V183" s="20">
        <f t="shared" si="3"/>
        <v>0</v>
      </c>
      <c r="W183" s="55">
        <f t="array" ref="W183">IFERROR(INDEX(PRECIOS_TINTORERIA!$B$4:$U$15,MATCH(D183,PRECIOS_TINTORERIA!$A$4:$A$15,0),MATCH(VLOOKUP(A183,PROGRAMAS!$A$4:$G$103,7,FALSE()),PRECIOS_TINTORERIA!$B$3:$U$3,0)),0)</f>
        <v>0</v>
      </c>
      <c r="X183" s="56"/>
      <c r="Y183" s="57"/>
      <c r="Z183" s="58">
        <f t="shared" si="4"/>
        <v>0</v>
      </c>
      <c r="AA183" s="56"/>
      <c r="AB183" s="56"/>
      <c r="AC183" s="56"/>
      <c r="AD183" s="23">
        <f>IFERROR((SUMIFS(COMPRAS_HILO!$H$4:$H$203,COMPRAS_HILO!$B$4:$B$203,A183))*F183/SUMIFS($F$4:$F$503,$A$4:$A$503,A183),0)</f>
        <v>0</v>
      </c>
      <c r="AE183" s="23">
        <f t="shared" si="5"/>
        <v>0</v>
      </c>
      <c r="AF183" s="23">
        <f t="shared" si="6"/>
        <v>0</v>
      </c>
      <c r="AG183" s="25">
        <f t="shared" si="7"/>
        <v>0</v>
      </c>
      <c r="AH183" s="25">
        <f t="shared" si="8"/>
        <v>0</v>
      </c>
      <c r="AI183" s="59"/>
    </row>
    <row r="184" ht="15.75" customHeight="1">
      <c r="A184" s="40"/>
      <c r="B184" s="33"/>
      <c r="C184" s="45" t="str">
        <f>IFERROR(VLOOKUP(B184,COLORES!$A$4:$B$52,2,FALSE()),"")</f>
        <v/>
      </c>
      <c r="D184" s="33"/>
      <c r="E184" s="46"/>
      <c r="F184" s="34"/>
      <c r="G184" s="33"/>
      <c r="H184" s="47"/>
      <c r="I184" s="47"/>
      <c r="J184" s="48">
        <f>IFERROR(VLOOKUP(VLOOKUP(A184,PROGRAMAS!$A$4:$G$103,7,FALSE()),PRECIOS_TEJEDURIA!$A$4:$B$22,2,FALSE()),0)</f>
        <v>0</v>
      </c>
      <c r="K184" s="49"/>
      <c r="L184" s="50"/>
      <c r="M184" s="51">
        <f t="shared" si="1"/>
        <v>0</v>
      </c>
      <c r="N184" s="49"/>
      <c r="O184" s="49"/>
      <c r="P184" s="49"/>
      <c r="Q184" s="52"/>
      <c r="R184" s="53"/>
      <c r="S184" s="53"/>
      <c r="T184" s="54"/>
      <c r="U184" s="19">
        <f t="shared" si="2"/>
        <v>0</v>
      </c>
      <c r="V184" s="20">
        <f t="shared" si="3"/>
        <v>0</v>
      </c>
      <c r="W184" s="55">
        <f t="array" ref="W184">IFERROR(INDEX(PRECIOS_TINTORERIA!$B$4:$U$15,MATCH(D184,PRECIOS_TINTORERIA!$A$4:$A$15,0),MATCH(VLOOKUP(A184,PROGRAMAS!$A$4:$G$103,7,FALSE()),PRECIOS_TINTORERIA!$B$3:$U$3,0)),0)</f>
        <v>0</v>
      </c>
      <c r="X184" s="56"/>
      <c r="Y184" s="57"/>
      <c r="Z184" s="58">
        <f t="shared" si="4"/>
        <v>0</v>
      </c>
      <c r="AA184" s="56"/>
      <c r="AB184" s="56"/>
      <c r="AC184" s="56"/>
      <c r="AD184" s="23">
        <f>IFERROR((SUMIFS(COMPRAS_HILO!$H$4:$H$203,COMPRAS_HILO!$B$4:$B$203,A184))*F184/SUMIFS($F$4:$F$503,$A$4:$A$503,A184),0)</f>
        <v>0</v>
      </c>
      <c r="AE184" s="23">
        <f t="shared" si="5"/>
        <v>0</v>
      </c>
      <c r="AF184" s="23">
        <f t="shared" si="6"/>
        <v>0</v>
      </c>
      <c r="AG184" s="25">
        <f t="shared" si="7"/>
        <v>0</v>
      </c>
      <c r="AH184" s="25">
        <f t="shared" si="8"/>
        <v>0</v>
      </c>
      <c r="AI184" s="59"/>
    </row>
    <row r="185" ht="15.75" customHeight="1">
      <c r="A185" s="40"/>
      <c r="B185" s="33"/>
      <c r="C185" s="45" t="str">
        <f>IFERROR(VLOOKUP(B185,COLORES!$A$4:$B$52,2,FALSE()),"")</f>
        <v/>
      </c>
      <c r="D185" s="33"/>
      <c r="E185" s="46"/>
      <c r="F185" s="34"/>
      <c r="G185" s="33"/>
      <c r="H185" s="47"/>
      <c r="I185" s="47"/>
      <c r="J185" s="48">
        <f>IFERROR(VLOOKUP(VLOOKUP(A185,PROGRAMAS!$A$4:$G$103,7,FALSE()),PRECIOS_TEJEDURIA!$A$4:$B$22,2,FALSE()),0)</f>
        <v>0</v>
      </c>
      <c r="K185" s="49"/>
      <c r="L185" s="50"/>
      <c r="M185" s="51">
        <f t="shared" si="1"/>
        <v>0</v>
      </c>
      <c r="N185" s="49"/>
      <c r="O185" s="49"/>
      <c r="P185" s="49"/>
      <c r="Q185" s="52"/>
      <c r="R185" s="53"/>
      <c r="S185" s="53"/>
      <c r="T185" s="54"/>
      <c r="U185" s="19">
        <f t="shared" si="2"/>
        <v>0</v>
      </c>
      <c r="V185" s="20">
        <f t="shared" si="3"/>
        <v>0</v>
      </c>
      <c r="W185" s="55">
        <f t="array" ref="W185">IFERROR(INDEX(PRECIOS_TINTORERIA!$B$4:$U$15,MATCH(D185,PRECIOS_TINTORERIA!$A$4:$A$15,0),MATCH(VLOOKUP(A185,PROGRAMAS!$A$4:$G$103,7,FALSE()),PRECIOS_TINTORERIA!$B$3:$U$3,0)),0)</f>
        <v>0</v>
      </c>
      <c r="X185" s="56"/>
      <c r="Y185" s="57"/>
      <c r="Z185" s="58">
        <f t="shared" si="4"/>
        <v>0</v>
      </c>
      <c r="AA185" s="56"/>
      <c r="AB185" s="56"/>
      <c r="AC185" s="56"/>
      <c r="AD185" s="23">
        <f>IFERROR((SUMIFS(COMPRAS_HILO!$H$4:$H$203,COMPRAS_HILO!$B$4:$B$203,A185))*F185/SUMIFS($F$4:$F$503,$A$4:$A$503,A185),0)</f>
        <v>0</v>
      </c>
      <c r="AE185" s="23">
        <f t="shared" si="5"/>
        <v>0</v>
      </c>
      <c r="AF185" s="23">
        <f t="shared" si="6"/>
        <v>0</v>
      </c>
      <c r="AG185" s="25">
        <f t="shared" si="7"/>
        <v>0</v>
      </c>
      <c r="AH185" s="25">
        <f t="shared" si="8"/>
        <v>0</v>
      </c>
      <c r="AI185" s="59"/>
    </row>
    <row r="186" ht="15.75" customHeight="1">
      <c r="A186" s="40"/>
      <c r="B186" s="33"/>
      <c r="C186" s="45" t="str">
        <f>IFERROR(VLOOKUP(B186,COLORES!$A$4:$B$52,2,FALSE()),"")</f>
        <v/>
      </c>
      <c r="D186" s="33"/>
      <c r="E186" s="46"/>
      <c r="F186" s="34"/>
      <c r="G186" s="33"/>
      <c r="H186" s="47"/>
      <c r="I186" s="47"/>
      <c r="J186" s="48">
        <f>IFERROR(VLOOKUP(VLOOKUP(A186,PROGRAMAS!$A$4:$G$103,7,FALSE()),PRECIOS_TEJEDURIA!$A$4:$B$22,2,FALSE()),0)</f>
        <v>0</v>
      </c>
      <c r="K186" s="49"/>
      <c r="L186" s="50"/>
      <c r="M186" s="51">
        <f t="shared" si="1"/>
        <v>0</v>
      </c>
      <c r="N186" s="49"/>
      <c r="O186" s="49"/>
      <c r="P186" s="49"/>
      <c r="Q186" s="52"/>
      <c r="R186" s="53"/>
      <c r="S186" s="53"/>
      <c r="T186" s="54"/>
      <c r="U186" s="19">
        <f t="shared" si="2"/>
        <v>0</v>
      </c>
      <c r="V186" s="20">
        <f t="shared" si="3"/>
        <v>0</v>
      </c>
      <c r="W186" s="55">
        <f t="array" ref="W186">IFERROR(INDEX(PRECIOS_TINTORERIA!$B$4:$U$15,MATCH(D186,PRECIOS_TINTORERIA!$A$4:$A$15,0),MATCH(VLOOKUP(A186,PROGRAMAS!$A$4:$G$103,7,FALSE()),PRECIOS_TINTORERIA!$B$3:$U$3,0)),0)</f>
        <v>0</v>
      </c>
      <c r="X186" s="56"/>
      <c r="Y186" s="57"/>
      <c r="Z186" s="58">
        <f t="shared" si="4"/>
        <v>0</v>
      </c>
      <c r="AA186" s="56"/>
      <c r="AB186" s="56"/>
      <c r="AC186" s="56"/>
      <c r="AD186" s="23">
        <f>IFERROR((SUMIFS(COMPRAS_HILO!$H$4:$H$203,COMPRAS_HILO!$B$4:$B$203,A186))*F186/SUMIFS($F$4:$F$503,$A$4:$A$503,A186),0)</f>
        <v>0</v>
      </c>
      <c r="AE186" s="23">
        <f t="shared" si="5"/>
        <v>0</v>
      </c>
      <c r="AF186" s="23">
        <f t="shared" si="6"/>
        <v>0</v>
      </c>
      <c r="AG186" s="25">
        <f t="shared" si="7"/>
        <v>0</v>
      </c>
      <c r="AH186" s="25">
        <f t="shared" si="8"/>
        <v>0</v>
      </c>
      <c r="AI186" s="59"/>
    </row>
    <row r="187" ht="15.75" customHeight="1">
      <c r="A187" s="40"/>
      <c r="B187" s="33"/>
      <c r="C187" s="45" t="str">
        <f>IFERROR(VLOOKUP(B187,COLORES!$A$4:$B$52,2,FALSE()),"")</f>
        <v/>
      </c>
      <c r="D187" s="33"/>
      <c r="E187" s="46"/>
      <c r="F187" s="34"/>
      <c r="G187" s="33"/>
      <c r="H187" s="47"/>
      <c r="I187" s="47"/>
      <c r="J187" s="48">
        <f>IFERROR(VLOOKUP(VLOOKUP(A187,PROGRAMAS!$A$4:$G$103,7,FALSE()),PRECIOS_TEJEDURIA!$A$4:$B$22,2,FALSE()),0)</f>
        <v>0</v>
      </c>
      <c r="K187" s="49"/>
      <c r="L187" s="50"/>
      <c r="M187" s="51">
        <f t="shared" si="1"/>
        <v>0</v>
      </c>
      <c r="N187" s="49"/>
      <c r="O187" s="49"/>
      <c r="P187" s="49"/>
      <c r="Q187" s="52"/>
      <c r="R187" s="53"/>
      <c r="S187" s="53"/>
      <c r="T187" s="54"/>
      <c r="U187" s="19">
        <f t="shared" si="2"/>
        <v>0</v>
      </c>
      <c r="V187" s="20">
        <f t="shared" si="3"/>
        <v>0</v>
      </c>
      <c r="W187" s="55">
        <f t="array" ref="W187">IFERROR(INDEX(PRECIOS_TINTORERIA!$B$4:$U$15,MATCH(D187,PRECIOS_TINTORERIA!$A$4:$A$15,0),MATCH(VLOOKUP(A187,PROGRAMAS!$A$4:$G$103,7,FALSE()),PRECIOS_TINTORERIA!$B$3:$U$3,0)),0)</f>
        <v>0</v>
      </c>
      <c r="X187" s="56"/>
      <c r="Y187" s="57"/>
      <c r="Z187" s="58">
        <f t="shared" si="4"/>
        <v>0</v>
      </c>
      <c r="AA187" s="56"/>
      <c r="AB187" s="56"/>
      <c r="AC187" s="56"/>
      <c r="AD187" s="23">
        <f>IFERROR((SUMIFS(COMPRAS_HILO!$H$4:$H$203,COMPRAS_HILO!$B$4:$B$203,A187))*F187/SUMIFS($F$4:$F$503,$A$4:$A$503,A187),0)</f>
        <v>0</v>
      </c>
      <c r="AE187" s="23">
        <f t="shared" si="5"/>
        <v>0</v>
      </c>
      <c r="AF187" s="23">
        <f t="shared" si="6"/>
        <v>0</v>
      </c>
      <c r="AG187" s="25">
        <f t="shared" si="7"/>
        <v>0</v>
      </c>
      <c r="AH187" s="25">
        <f t="shared" si="8"/>
        <v>0</v>
      </c>
      <c r="AI187" s="59"/>
    </row>
    <row r="188" ht="15.75" customHeight="1">
      <c r="A188" s="40"/>
      <c r="B188" s="33"/>
      <c r="C188" s="45" t="str">
        <f>IFERROR(VLOOKUP(B188,COLORES!$A$4:$B$52,2,FALSE()),"")</f>
        <v/>
      </c>
      <c r="D188" s="33"/>
      <c r="E188" s="46"/>
      <c r="F188" s="34"/>
      <c r="G188" s="33"/>
      <c r="H188" s="47"/>
      <c r="I188" s="47"/>
      <c r="J188" s="48">
        <f>IFERROR(VLOOKUP(VLOOKUP(A188,PROGRAMAS!$A$4:$G$103,7,FALSE()),PRECIOS_TEJEDURIA!$A$4:$B$22,2,FALSE()),0)</f>
        <v>0</v>
      </c>
      <c r="K188" s="49"/>
      <c r="L188" s="50"/>
      <c r="M188" s="51">
        <f t="shared" si="1"/>
        <v>0</v>
      </c>
      <c r="N188" s="49"/>
      <c r="O188" s="49"/>
      <c r="P188" s="49"/>
      <c r="Q188" s="52"/>
      <c r="R188" s="53"/>
      <c r="S188" s="53"/>
      <c r="T188" s="54"/>
      <c r="U188" s="19">
        <f t="shared" si="2"/>
        <v>0</v>
      </c>
      <c r="V188" s="20">
        <f t="shared" si="3"/>
        <v>0</v>
      </c>
      <c r="W188" s="55">
        <f t="array" ref="W188">IFERROR(INDEX(PRECIOS_TINTORERIA!$B$4:$U$15,MATCH(D188,PRECIOS_TINTORERIA!$A$4:$A$15,0),MATCH(VLOOKUP(A188,PROGRAMAS!$A$4:$G$103,7,FALSE()),PRECIOS_TINTORERIA!$B$3:$U$3,0)),0)</f>
        <v>0</v>
      </c>
      <c r="X188" s="56"/>
      <c r="Y188" s="57"/>
      <c r="Z188" s="58">
        <f t="shared" si="4"/>
        <v>0</v>
      </c>
      <c r="AA188" s="56"/>
      <c r="AB188" s="56"/>
      <c r="AC188" s="56"/>
      <c r="AD188" s="23">
        <f>IFERROR((SUMIFS(COMPRAS_HILO!$H$4:$H$203,COMPRAS_HILO!$B$4:$B$203,A188))*F188/SUMIFS($F$4:$F$503,$A$4:$A$503,A188),0)</f>
        <v>0</v>
      </c>
      <c r="AE188" s="23">
        <f t="shared" si="5"/>
        <v>0</v>
      </c>
      <c r="AF188" s="23">
        <f t="shared" si="6"/>
        <v>0</v>
      </c>
      <c r="AG188" s="25">
        <f t="shared" si="7"/>
        <v>0</v>
      </c>
      <c r="AH188" s="25">
        <f t="shared" si="8"/>
        <v>0</v>
      </c>
      <c r="AI188" s="59"/>
    </row>
    <row r="189" ht="15.75" customHeight="1">
      <c r="A189" s="40"/>
      <c r="B189" s="33"/>
      <c r="C189" s="45" t="str">
        <f>IFERROR(VLOOKUP(B189,COLORES!$A$4:$B$52,2,FALSE()),"")</f>
        <v/>
      </c>
      <c r="D189" s="33"/>
      <c r="E189" s="46"/>
      <c r="F189" s="34"/>
      <c r="G189" s="33"/>
      <c r="H189" s="47"/>
      <c r="I189" s="47"/>
      <c r="J189" s="48">
        <f>IFERROR(VLOOKUP(VLOOKUP(A189,PROGRAMAS!$A$4:$G$103,7,FALSE()),PRECIOS_TEJEDURIA!$A$4:$B$22,2,FALSE()),0)</f>
        <v>0</v>
      </c>
      <c r="K189" s="49"/>
      <c r="L189" s="50"/>
      <c r="M189" s="51">
        <f t="shared" si="1"/>
        <v>0</v>
      </c>
      <c r="N189" s="49"/>
      <c r="O189" s="49"/>
      <c r="P189" s="49"/>
      <c r="Q189" s="52"/>
      <c r="R189" s="53"/>
      <c r="S189" s="53"/>
      <c r="T189" s="54"/>
      <c r="U189" s="19">
        <f t="shared" si="2"/>
        <v>0</v>
      </c>
      <c r="V189" s="20">
        <f t="shared" si="3"/>
        <v>0</v>
      </c>
      <c r="W189" s="55">
        <f t="array" ref="W189">IFERROR(INDEX(PRECIOS_TINTORERIA!$B$4:$U$15,MATCH(D189,PRECIOS_TINTORERIA!$A$4:$A$15,0),MATCH(VLOOKUP(A189,PROGRAMAS!$A$4:$G$103,7,FALSE()),PRECIOS_TINTORERIA!$B$3:$U$3,0)),0)</f>
        <v>0</v>
      </c>
      <c r="X189" s="56"/>
      <c r="Y189" s="57"/>
      <c r="Z189" s="58">
        <f t="shared" si="4"/>
        <v>0</v>
      </c>
      <c r="AA189" s="56"/>
      <c r="AB189" s="56"/>
      <c r="AC189" s="56"/>
      <c r="AD189" s="23">
        <f>IFERROR((SUMIFS(COMPRAS_HILO!$H$4:$H$203,COMPRAS_HILO!$B$4:$B$203,A189))*F189/SUMIFS($F$4:$F$503,$A$4:$A$503,A189),0)</f>
        <v>0</v>
      </c>
      <c r="AE189" s="23">
        <f t="shared" si="5"/>
        <v>0</v>
      </c>
      <c r="AF189" s="23">
        <f t="shared" si="6"/>
        <v>0</v>
      </c>
      <c r="AG189" s="25">
        <f t="shared" si="7"/>
        <v>0</v>
      </c>
      <c r="AH189" s="25">
        <f t="shared" si="8"/>
        <v>0</v>
      </c>
      <c r="AI189" s="59"/>
    </row>
    <row r="190" ht="15.75" customHeight="1">
      <c r="A190" s="40"/>
      <c r="B190" s="33"/>
      <c r="C190" s="45" t="str">
        <f>IFERROR(VLOOKUP(B190,COLORES!$A$4:$B$52,2,FALSE()),"")</f>
        <v/>
      </c>
      <c r="D190" s="33"/>
      <c r="E190" s="46"/>
      <c r="F190" s="34"/>
      <c r="G190" s="33"/>
      <c r="H190" s="47"/>
      <c r="I190" s="47"/>
      <c r="J190" s="48">
        <f>IFERROR(VLOOKUP(VLOOKUP(A190,PROGRAMAS!$A$4:$G$103,7,FALSE()),PRECIOS_TEJEDURIA!$A$4:$B$22,2,FALSE()),0)</f>
        <v>0</v>
      </c>
      <c r="K190" s="49"/>
      <c r="L190" s="50"/>
      <c r="M190" s="51">
        <f t="shared" si="1"/>
        <v>0</v>
      </c>
      <c r="N190" s="49"/>
      <c r="O190" s="49"/>
      <c r="P190" s="49"/>
      <c r="Q190" s="52"/>
      <c r="R190" s="53"/>
      <c r="S190" s="53"/>
      <c r="T190" s="54"/>
      <c r="U190" s="19">
        <f t="shared" si="2"/>
        <v>0</v>
      </c>
      <c r="V190" s="20">
        <f t="shared" si="3"/>
        <v>0</v>
      </c>
      <c r="W190" s="55">
        <f t="array" ref="W190">IFERROR(INDEX(PRECIOS_TINTORERIA!$B$4:$U$15,MATCH(D190,PRECIOS_TINTORERIA!$A$4:$A$15,0),MATCH(VLOOKUP(A190,PROGRAMAS!$A$4:$G$103,7,FALSE()),PRECIOS_TINTORERIA!$B$3:$U$3,0)),0)</f>
        <v>0</v>
      </c>
      <c r="X190" s="56"/>
      <c r="Y190" s="57"/>
      <c r="Z190" s="58">
        <f t="shared" si="4"/>
        <v>0</v>
      </c>
      <c r="AA190" s="56"/>
      <c r="AB190" s="56"/>
      <c r="AC190" s="56"/>
      <c r="AD190" s="23">
        <f>IFERROR((SUMIFS(COMPRAS_HILO!$H$4:$H$203,COMPRAS_HILO!$B$4:$B$203,A190))*F190/SUMIFS($F$4:$F$503,$A$4:$A$503,A190),0)</f>
        <v>0</v>
      </c>
      <c r="AE190" s="23">
        <f t="shared" si="5"/>
        <v>0</v>
      </c>
      <c r="AF190" s="23">
        <f t="shared" si="6"/>
        <v>0</v>
      </c>
      <c r="AG190" s="25">
        <f t="shared" si="7"/>
        <v>0</v>
      </c>
      <c r="AH190" s="25">
        <f t="shared" si="8"/>
        <v>0</v>
      </c>
      <c r="AI190" s="59"/>
    </row>
    <row r="191" ht="15.75" customHeight="1">
      <c r="A191" s="40"/>
      <c r="B191" s="33"/>
      <c r="C191" s="45" t="str">
        <f>IFERROR(VLOOKUP(B191,COLORES!$A$4:$B$52,2,FALSE()),"")</f>
        <v/>
      </c>
      <c r="D191" s="33"/>
      <c r="E191" s="46"/>
      <c r="F191" s="34"/>
      <c r="G191" s="33"/>
      <c r="H191" s="47"/>
      <c r="I191" s="47"/>
      <c r="J191" s="48">
        <f>IFERROR(VLOOKUP(VLOOKUP(A191,PROGRAMAS!$A$4:$G$103,7,FALSE()),PRECIOS_TEJEDURIA!$A$4:$B$22,2,FALSE()),0)</f>
        <v>0</v>
      </c>
      <c r="K191" s="49"/>
      <c r="L191" s="50"/>
      <c r="M191" s="51">
        <f t="shared" si="1"/>
        <v>0</v>
      </c>
      <c r="N191" s="49"/>
      <c r="O191" s="49"/>
      <c r="P191" s="49"/>
      <c r="Q191" s="52"/>
      <c r="R191" s="53"/>
      <c r="S191" s="53"/>
      <c r="T191" s="54"/>
      <c r="U191" s="19">
        <f t="shared" si="2"/>
        <v>0</v>
      </c>
      <c r="V191" s="20">
        <f t="shared" si="3"/>
        <v>0</v>
      </c>
      <c r="W191" s="55">
        <f t="array" ref="W191">IFERROR(INDEX(PRECIOS_TINTORERIA!$B$4:$U$15,MATCH(D191,PRECIOS_TINTORERIA!$A$4:$A$15,0),MATCH(VLOOKUP(A191,PROGRAMAS!$A$4:$G$103,7,FALSE()),PRECIOS_TINTORERIA!$B$3:$U$3,0)),0)</f>
        <v>0</v>
      </c>
      <c r="X191" s="56"/>
      <c r="Y191" s="57"/>
      <c r="Z191" s="58">
        <f t="shared" si="4"/>
        <v>0</v>
      </c>
      <c r="AA191" s="56"/>
      <c r="AB191" s="56"/>
      <c r="AC191" s="56"/>
      <c r="AD191" s="23">
        <f>IFERROR((SUMIFS(COMPRAS_HILO!$H$4:$H$203,COMPRAS_HILO!$B$4:$B$203,A191))*F191/SUMIFS($F$4:$F$503,$A$4:$A$503,A191),0)</f>
        <v>0</v>
      </c>
      <c r="AE191" s="23">
        <f t="shared" si="5"/>
        <v>0</v>
      </c>
      <c r="AF191" s="23">
        <f t="shared" si="6"/>
        <v>0</v>
      </c>
      <c r="AG191" s="25">
        <f t="shared" si="7"/>
        <v>0</v>
      </c>
      <c r="AH191" s="25">
        <f t="shared" si="8"/>
        <v>0</v>
      </c>
      <c r="AI191" s="59"/>
    </row>
    <row r="192" ht="15.75" customHeight="1">
      <c r="A192" s="40"/>
      <c r="B192" s="33"/>
      <c r="C192" s="45" t="str">
        <f>IFERROR(VLOOKUP(B192,COLORES!$A$4:$B$52,2,FALSE()),"")</f>
        <v/>
      </c>
      <c r="D192" s="33"/>
      <c r="E192" s="46"/>
      <c r="F192" s="34"/>
      <c r="G192" s="33"/>
      <c r="H192" s="47"/>
      <c r="I192" s="47"/>
      <c r="J192" s="48">
        <f>IFERROR(VLOOKUP(VLOOKUP(A192,PROGRAMAS!$A$4:$G$103,7,FALSE()),PRECIOS_TEJEDURIA!$A$4:$B$22,2,FALSE()),0)</f>
        <v>0</v>
      </c>
      <c r="K192" s="49"/>
      <c r="L192" s="50"/>
      <c r="M192" s="51">
        <f t="shared" si="1"/>
        <v>0</v>
      </c>
      <c r="N192" s="49"/>
      <c r="O192" s="49"/>
      <c r="P192" s="49"/>
      <c r="Q192" s="52"/>
      <c r="R192" s="53"/>
      <c r="S192" s="53"/>
      <c r="T192" s="54"/>
      <c r="U192" s="19">
        <f t="shared" si="2"/>
        <v>0</v>
      </c>
      <c r="V192" s="20">
        <f t="shared" si="3"/>
        <v>0</v>
      </c>
      <c r="W192" s="55">
        <f t="array" ref="W192">IFERROR(INDEX(PRECIOS_TINTORERIA!$B$4:$U$15,MATCH(D192,PRECIOS_TINTORERIA!$A$4:$A$15,0),MATCH(VLOOKUP(A192,PROGRAMAS!$A$4:$G$103,7,FALSE()),PRECIOS_TINTORERIA!$B$3:$U$3,0)),0)</f>
        <v>0</v>
      </c>
      <c r="X192" s="56"/>
      <c r="Y192" s="57"/>
      <c r="Z192" s="58">
        <f t="shared" si="4"/>
        <v>0</v>
      </c>
      <c r="AA192" s="56"/>
      <c r="AB192" s="56"/>
      <c r="AC192" s="56"/>
      <c r="AD192" s="23">
        <f>IFERROR((SUMIFS(COMPRAS_HILO!$H$4:$H$203,COMPRAS_HILO!$B$4:$B$203,A192))*F192/SUMIFS($F$4:$F$503,$A$4:$A$503,A192),0)</f>
        <v>0</v>
      </c>
      <c r="AE192" s="23">
        <f t="shared" si="5"/>
        <v>0</v>
      </c>
      <c r="AF192" s="23">
        <f t="shared" si="6"/>
        <v>0</v>
      </c>
      <c r="AG192" s="25">
        <f t="shared" si="7"/>
        <v>0</v>
      </c>
      <c r="AH192" s="25">
        <f t="shared" si="8"/>
        <v>0</v>
      </c>
      <c r="AI192" s="59"/>
    </row>
    <row r="193" ht="15.75" customHeight="1">
      <c r="A193" s="40"/>
      <c r="B193" s="33"/>
      <c r="C193" s="45" t="str">
        <f>IFERROR(VLOOKUP(B193,COLORES!$A$4:$B$52,2,FALSE()),"")</f>
        <v/>
      </c>
      <c r="D193" s="33"/>
      <c r="E193" s="46"/>
      <c r="F193" s="34"/>
      <c r="G193" s="33"/>
      <c r="H193" s="47"/>
      <c r="I193" s="47"/>
      <c r="J193" s="48">
        <f>IFERROR(VLOOKUP(VLOOKUP(A193,PROGRAMAS!$A$4:$G$103,7,FALSE()),PRECIOS_TEJEDURIA!$A$4:$B$22,2,FALSE()),0)</f>
        <v>0</v>
      </c>
      <c r="K193" s="49"/>
      <c r="L193" s="50"/>
      <c r="M193" s="51">
        <f t="shared" si="1"/>
        <v>0</v>
      </c>
      <c r="N193" s="49"/>
      <c r="O193" s="49"/>
      <c r="P193" s="49"/>
      <c r="Q193" s="52"/>
      <c r="R193" s="53"/>
      <c r="S193" s="53"/>
      <c r="T193" s="54"/>
      <c r="U193" s="19">
        <f t="shared" si="2"/>
        <v>0</v>
      </c>
      <c r="V193" s="20">
        <f t="shared" si="3"/>
        <v>0</v>
      </c>
      <c r="W193" s="55">
        <f t="array" ref="W193">IFERROR(INDEX(PRECIOS_TINTORERIA!$B$4:$U$15,MATCH(D193,PRECIOS_TINTORERIA!$A$4:$A$15,0),MATCH(VLOOKUP(A193,PROGRAMAS!$A$4:$G$103,7,FALSE()),PRECIOS_TINTORERIA!$B$3:$U$3,0)),0)</f>
        <v>0</v>
      </c>
      <c r="X193" s="56"/>
      <c r="Y193" s="57"/>
      <c r="Z193" s="58">
        <f t="shared" si="4"/>
        <v>0</v>
      </c>
      <c r="AA193" s="56"/>
      <c r="AB193" s="56"/>
      <c r="AC193" s="56"/>
      <c r="AD193" s="23">
        <f>IFERROR((SUMIFS(COMPRAS_HILO!$H$4:$H$203,COMPRAS_HILO!$B$4:$B$203,A193))*F193/SUMIFS($F$4:$F$503,$A$4:$A$503,A193),0)</f>
        <v>0</v>
      </c>
      <c r="AE193" s="23">
        <f t="shared" si="5"/>
        <v>0</v>
      </c>
      <c r="AF193" s="23">
        <f t="shared" si="6"/>
        <v>0</v>
      </c>
      <c r="AG193" s="25">
        <f t="shared" si="7"/>
        <v>0</v>
      </c>
      <c r="AH193" s="25">
        <f t="shared" si="8"/>
        <v>0</v>
      </c>
      <c r="AI193" s="59"/>
    </row>
    <row r="194" ht="15.75" customHeight="1">
      <c r="A194" s="40"/>
      <c r="B194" s="33"/>
      <c r="C194" s="45" t="str">
        <f>IFERROR(VLOOKUP(B194,COLORES!$A$4:$B$52,2,FALSE()),"")</f>
        <v/>
      </c>
      <c r="D194" s="33"/>
      <c r="E194" s="46"/>
      <c r="F194" s="34"/>
      <c r="G194" s="33"/>
      <c r="H194" s="47"/>
      <c r="I194" s="47"/>
      <c r="J194" s="48">
        <f>IFERROR(VLOOKUP(VLOOKUP(A194,PROGRAMAS!$A$4:$G$103,7,FALSE()),PRECIOS_TEJEDURIA!$A$4:$B$22,2,FALSE()),0)</f>
        <v>0</v>
      </c>
      <c r="K194" s="49"/>
      <c r="L194" s="50"/>
      <c r="M194" s="51">
        <f t="shared" si="1"/>
        <v>0</v>
      </c>
      <c r="N194" s="49"/>
      <c r="O194" s="49"/>
      <c r="P194" s="49"/>
      <c r="Q194" s="52"/>
      <c r="R194" s="53"/>
      <c r="S194" s="53"/>
      <c r="T194" s="54"/>
      <c r="U194" s="19">
        <f t="shared" si="2"/>
        <v>0</v>
      </c>
      <c r="V194" s="20">
        <f t="shared" si="3"/>
        <v>0</v>
      </c>
      <c r="W194" s="55">
        <f t="array" ref="W194">IFERROR(INDEX(PRECIOS_TINTORERIA!$B$4:$U$15,MATCH(D194,PRECIOS_TINTORERIA!$A$4:$A$15,0),MATCH(VLOOKUP(A194,PROGRAMAS!$A$4:$G$103,7,FALSE()),PRECIOS_TINTORERIA!$B$3:$U$3,0)),0)</f>
        <v>0</v>
      </c>
      <c r="X194" s="56"/>
      <c r="Y194" s="57"/>
      <c r="Z194" s="58">
        <f t="shared" si="4"/>
        <v>0</v>
      </c>
      <c r="AA194" s="56"/>
      <c r="AB194" s="56"/>
      <c r="AC194" s="56"/>
      <c r="AD194" s="23">
        <f>IFERROR((SUMIFS(COMPRAS_HILO!$H$4:$H$203,COMPRAS_HILO!$B$4:$B$203,A194))*F194/SUMIFS($F$4:$F$503,$A$4:$A$503,A194),0)</f>
        <v>0</v>
      </c>
      <c r="AE194" s="23">
        <f t="shared" si="5"/>
        <v>0</v>
      </c>
      <c r="AF194" s="23">
        <f t="shared" si="6"/>
        <v>0</v>
      </c>
      <c r="AG194" s="25">
        <f t="shared" si="7"/>
        <v>0</v>
      </c>
      <c r="AH194" s="25">
        <f t="shared" si="8"/>
        <v>0</v>
      </c>
      <c r="AI194" s="59"/>
    </row>
    <row r="195" ht="15.75" customHeight="1">
      <c r="A195" s="40"/>
      <c r="B195" s="33"/>
      <c r="C195" s="45" t="str">
        <f>IFERROR(VLOOKUP(B195,COLORES!$A$4:$B$52,2,FALSE()),"")</f>
        <v/>
      </c>
      <c r="D195" s="33"/>
      <c r="E195" s="46"/>
      <c r="F195" s="34"/>
      <c r="G195" s="33"/>
      <c r="H195" s="47"/>
      <c r="I195" s="47"/>
      <c r="J195" s="48">
        <f>IFERROR(VLOOKUP(VLOOKUP(A195,PROGRAMAS!$A$4:$G$103,7,FALSE()),PRECIOS_TEJEDURIA!$A$4:$B$22,2,FALSE()),0)</f>
        <v>0</v>
      </c>
      <c r="K195" s="49"/>
      <c r="L195" s="50"/>
      <c r="M195" s="51">
        <f t="shared" si="1"/>
        <v>0</v>
      </c>
      <c r="N195" s="49"/>
      <c r="O195" s="49"/>
      <c r="P195" s="49"/>
      <c r="Q195" s="52"/>
      <c r="R195" s="53"/>
      <c r="S195" s="53"/>
      <c r="T195" s="54"/>
      <c r="U195" s="19">
        <f t="shared" si="2"/>
        <v>0</v>
      </c>
      <c r="V195" s="20">
        <f t="shared" si="3"/>
        <v>0</v>
      </c>
      <c r="W195" s="55">
        <f t="array" ref="W195">IFERROR(INDEX(PRECIOS_TINTORERIA!$B$4:$U$15,MATCH(D195,PRECIOS_TINTORERIA!$A$4:$A$15,0),MATCH(VLOOKUP(A195,PROGRAMAS!$A$4:$G$103,7,FALSE()),PRECIOS_TINTORERIA!$B$3:$U$3,0)),0)</f>
        <v>0</v>
      </c>
      <c r="X195" s="56"/>
      <c r="Y195" s="57"/>
      <c r="Z195" s="58">
        <f t="shared" si="4"/>
        <v>0</v>
      </c>
      <c r="AA195" s="56"/>
      <c r="AB195" s="56"/>
      <c r="AC195" s="56"/>
      <c r="AD195" s="23">
        <f>IFERROR((SUMIFS(COMPRAS_HILO!$H$4:$H$203,COMPRAS_HILO!$B$4:$B$203,A195))*F195/SUMIFS($F$4:$F$503,$A$4:$A$503,A195),0)</f>
        <v>0</v>
      </c>
      <c r="AE195" s="23">
        <f t="shared" si="5"/>
        <v>0</v>
      </c>
      <c r="AF195" s="23">
        <f t="shared" si="6"/>
        <v>0</v>
      </c>
      <c r="AG195" s="25">
        <f t="shared" si="7"/>
        <v>0</v>
      </c>
      <c r="AH195" s="25">
        <f t="shared" si="8"/>
        <v>0</v>
      </c>
      <c r="AI195" s="59"/>
    </row>
    <row r="196" ht="15.75" customHeight="1">
      <c r="A196" s="40"/>
      <c r="B196" s="33"/>
      <c r="C196" s="45" t="str">
        <f>IFERROR(VLOOKUP(B196,COLORES!$A$4:$B$52,2,FALSE()),"")</f>
        <v/>
      </c>
      <c r="D196" s="33"/>
      <c r="E196" s="46"/>
      <c r="F196" s="34"/>
      <c r="G196" s="33"/>
      <c r="H196" s="47"/>
      <c r="I196" s="47"/>
      <c r="J196" s="48">
        <f>IFERROR(VLOOKUP(VLOOKUP(A196,PROGRAMAS!$A$4:$G$103,7,FALSE()),PRECIOS_TEJEDURIA!$A$4:$B$22,2,FALSE()),0)</f>
        <v>0</v>
      </c>
      <c r="K196" s="49"/>
      <c r="L196" s="50"/>
      <c r="M196" s="51">
        <f t="shared" si="1"/>
        <v>0</v>
      </c>
      <c r="N196" s="49"/>
      <c r="O196" s="49"/>
      <c r="P196" s="49"/>
      <c r="Q196" s="52"/>
      <c r="R196" s="53"/>
      <c r="S196" s="53"/>
      <c r="T196" s="54"/>
      <c r="U196" s="19">
        <f t="shared" si="2"/>
        <v>0</v>
      </c>
      <c r="V196" s="20">
        <f t="shared" si="3"/>
        <v>0</v>
      </c>
      <c r="W196" s="55">
        <f t="array" ref="W196">IFERROR(INDEX(PRECIOS_TINTORERIA!$B$4:$U$15,MATCH(D196,PRECIOS_TINTORERIA!$A$4:$A$15,0),MATCH(VLOOKUP(A196,PROGRAMAS!$A$4:$G$103,7,FALSE()),PRECIOS_TINTORERIA!$B$3:$U$3,0)),0)</f>
        <v>0</v>
      </c>
      <c r="X196" s="56"/>
      <c r="Y196" s="57"/>
      <c r="Z196" s="58">
        <f t="shared" si="4"/>
        <v>0</v>
      </c>
      <c r="AA196" s="56"/>
      <c r="AB196" s="56"/>
      <c r="AC196" s="56"/>
      <c r="AD196" s="23">
        <f>IFERROR((SUMIFS(COMPRAS_HILO!$H$4:$H$203,COMPRAS_HILO!$B$4:$B$203,A196))*F196/SUMIFS($F$4:$F$503,$A$4:$A$503,A196),0)</f>
        <v>0</v>
      </c>
      <c r="AE196" s="23">
        <f t="shared" si="5"/>
        <v>0</v>
      </c>
      <c r="AF196" s="23">
        <f t="shared" si="6"/>
        <v>0</v>
      </c>
      <c r="AG196" s="25">
        <f t="shared" si="7"/>
        <v>0</v>
      </c>
      <c r="AH196" s="25">
        <f t="shared" si="8"/>
        <v>0</v>
      </c>
      <c r="AI196" s="59"/>
    </row>
    <row r="197" ht="15.75" customHeight="1">
      <c r="A197" s="40"/>
      <c r="B197" s="33"/>
      <c r="C197" s="45" t="str">
        <f>IFERROR(VLOOKUP(B197,COLORES!$A$4:$B$52,2,FALSE()),"")</f>
        <v/>
      </c>
      <c r="D197" s="33"/>
      <c r="E197" s="46"/>
      <c r="F197" s="34"/>
      <c r="G197" s="33"/>
      <c r="H197" s="47"/>
      <c r="I197" s="47"/>
      <c r="J197" s="48">
        <f>IFERROR(VLOOKUP(VLOOKUP(A197,PROGRAMAS!$A$4:$G$103,7,FALSE()),PRECIOS_TEJEDURIA!$A$4:$B$22,2,FALSE()),0)</f>
        <v>0</v>
      </c>
      <c r="K197" s="49"/>
      <c r="L197" s="50"/>
      <c r="M197" s="51">
        <f t="shared" si="1"/>
        <v>0</v>
      </c>
      <c r="N197" s="49"/>
      <c r="O197" s="49"/>
      <c r="P197" s="49"/>
      <c r="Q197" s="52"/>
      <c r="R197" s="53"/>
      <c r="S197" s="53"/>
      <c r="T197" s="54"/>
      <c r="U197" s="19">
        <f t="shared" si="2"/>
        <v>0</v>
      </c>
      <c r="V197" s="20">
        <f t="shared" si="3"/>
        <v>0</v>
      </c>
      <c r="W197" s="55">
        <f t="array" ref="W197">IFERROR(INDEX(PRECIOS_TINTORERIA!$B$4:$U$15,MATCH(D197,PRECIOS_TINTORERIA!$A$4:$A$15,0),MATCH(VLOOKUP(A197,PROGRAMAS!$A$4:$G$103,7,FALSE()),PRECIOS_TINTORERIA!$B$3:$U$3,0)),0)</f>
        <v>0</v>
      </c>
      <c r="X197" s="56"/>
      <c r="Y197" s="57"/>
      <c r="Z197" s="58">
        <f t="shared" si="4"/>
        <v>0</v>
      </c>
      <c r="AA197" s="56"/>
      <c r="AB197" s="56"/>
      <c r="AC197" s="56"/>
      <c r="AD197" s="23">
        <f>IFERROR((SUMIFS(COMPRAS_HILO!$H$4:$H$203,COMPRAS_HILO!$B$4:$B$203,A197))*F197/SUMIFS($F$4:$F$503,$A$4:$A$503,A197),0)</f>
        <v>0</v>
      </c>
      <c r="AE197" s="23">
        <f t="shared" si="5"/>
        <v>0</v>
      </c>
      <c r="AF197" s="23">
        <f t="shared" si="6"/>
        <v>0</v>
      </c>
      <c r="AG197" s="25">
        <f t="shared" si="7"/>
        <v>0</v>
      </c>
      <c r="AH197" s="25">
        <f t="shared" si="8"/>
        <v>0</v>
      </c>
      <c r="AI197" s="59"/>
    </row>
    <row r="198" ht="15.75" customHeight="1">
      <c r="A198" s="40"/>
      <c r="B198" s="33"/>
      <c r="C198" s="45" t="str">
        <f>IFERROR(VLOOKUP(B198,COLORES!$A$4:$B$52,2,FALSE()),"")</f>
        <v/>
      </c>
      <c r="D198" s="33"/>
      <c r="E198" s="46"/>
      <c r="F198" s="34"/>
      <c r="G198" s="33"/>
      <c r="H198" s="47"/>
      <c r="I198" s="47"/>
      <c r="J198" s="48">
        <f>IFERROR(VLOOKUP(VLOOKUP(A198,PROGRAMAS!$A$4:$G$103,7,FALSE()),PRECIOS_TEJEDURIA!$A$4:$B$22,2,FALSE()),0)</f>
        <v>0</v>
      </c>
      <c r="K198" s="49"/>
      <c r="L198" s="50"/>
      <c r="M198" s="51">
        <f t="shared" si="1"/>
        <v>0</v>
      </c>
      <c r="N198" s="49"/>
      <c r="O198" s="49"/>
      <c r="P198" s="49"/>
      <c r="Q198" s="52"/>
      <c r="R198" s="53"/>
      <c r="S198" s="53"/>
      <c r="T198" s="54"/>
      <c r="U198" s="19">
        <f t="shared" si="2"/>
        <v>0</v>
      </c>
      <c r="V198" s="20">
        <f t="shared" si="3"/>
        <v>0</v>
      </c>
      <c r="W198" s="55">
        <f t="array" ref="W198">IFERROR(INDEX(PRECIOS_TINTORERIA!$B$4:$U$15,MATCH(D198,PRECIOS_TINTORERIA!$A$4:$A$15,0),MATCH(VLOOKUP(A198,PROGRAMAS!$A$4:$G$103,7,FALSE()),PRECIOS_TINTORERIA!$B$3:$U$3,0)),0)</f>
        <v>0</v>
      </c>
      <c r="X198" s="56"/>
      <c r="Y198" s="57"/>
      <c r="Z198" s="58">
        <f t="shared" si="4"/>
        <v>0</v>
      </c>
      <c r="AA198" s="56"/>
      <c r="AB198" s="56"/>
      <c r="AC198" s="56"/>
      <c r="AD198" s="23">
        <f>IFERROR((SUMIFS(COMPRAS_HILO!$H$4:$H$203,COMPRAS_HILO!$B$4:$B$203,A198))*F198/SUMIFS($F$4:$F$503,$A$4:$A$503,A198),0)</f>
        <v>0</v>
      </c>
      <c r="AE198" s="23">
        <f t="shared" si="5"/>
        <v>0</v>
      </c>
      <c r="AF198" s="23">
        <f t="shared" si="6"/>
        <v>0</v>
      </c>
      <c r="AG198" s="25">
        <f t="shared" si="7"/>
        <v>0</v>
      </c>
      <c r="AH198" s="25">
        <f t="shared" si="8"/>
        <v>0</v>
      </c>
      <c r="AI198" s="59"/>
    </row>
    <row r="199" ht="15.75" customHeight="1">
      <c r="A199" s="40"/>
      <c r="B199" s="33"/>
      <c r="C199" s="45" t="str">
        <f>IFERROR(VLOOKUP(B199,COLORES!$A$4:$B$52,2,FALSE()),"")</f>
        <v/>
      </c>
      <c r="D199" s="33"/>
      <c r="E199" s="46"/>
      <c r="F199" s="34"/>
      <c r="G199" s="33"/>
      <c r="H199" s="47"/>
      <c r="I199" s="47"/>
      <c r="J199" s="48">
        <f>IFERROR(VLOOKUP(VLOOKUP(A199,PROGRAMAS!$A$4:$G$103,7,FALSE()),PRECIOS_TEJEDURIA!$A$4:$B$22,2,FALSE()),0)</f>
        <v>0</v>
      </c>
      <c r="K199" s="49"/>
      <c r="L199" s="50"/>
      <c r="M199" s="51">
        <f t="shared" si="1"/>
        <v>0</v>
      </c>
      <c r="N199" s="49"/>
      <c r="O199" s="49"/>
      <c r="P199" s="49"/>
      <c r="Q199" s="52"/>
      <c r="R199" s="53"/>
      <c r="S199" s="53"/>
      <c r="T199" s="54"/>
      <c r="U199" s="19">
        <f t="shared" si="2"/>
        <v>0</v>
      </c>
      <c r="V199" s="20">
        <f t="shared" si="3"/>
        <v>0</v>
      </c>
      <c r="W199" s="55">
        <f t="array" ref="W199">IFERROR(INDEX(PRECIOS_TINTORERIA!$B$4:$U$15,MATCH(D199,PRECIOS_TINTORERIA!$A$4:$A$15,0),MATCH(VLOOKUP(A199,PROGRAMAS!$A$4:$G$103,7,FALSE()),PRECIOS_TINTORERIA!$B$3:$U$3,0)),0)</f>
        <v>0</v>
      </c>
      <c r="X199" s="56"/>
      <c r="Y199" s="57"/>
      <c r="Z199" s="58">
        <f t="shared" si="4"/>
        <v>0</v>
      </c>
      <c r="AA199" s="56"/>
      <c r="AB199" s="56"/>
      <c r="AC199" s="56"/>
      <c r="AD199" s="23">
        <f>IFERROR((SUMIFS(COMPRAS_HILO!$H$4:$H$203,COMPRAS_HILO!$B$4:$B$203,A199))*F199/SUMIFS($F$4:$F$503,$A$4:$A$503,A199),0)</f>
        <v>0</v>
      </c>
      <c r="AE199" s="23">
        <f t="shared" si="5"/>
        <v>0</v>
      </c>
      <c r="AF199" s="23">
        <f t="shared" si="6"/>
        <v>0</v>
      </c>
      <c r="AG199" s="25">
        <f t="shared" si="7"/>
        <v>0</v>
      </c>
      <c r="AH199" s="25">
        <f t="shared" si="8"/>
        <v>0</v>
      </c>
      <c r="AI199" s="59"/>
    </row>
    <row r="200" ht="15.75" customHeight="1">
      <c r="A200" s="40"/>
      <c r="B200" s="33"/>
      <c r="C200" s="45" t="str">
        <f>IFERROR(VLOOKUP(B200,COLORES!$A$4:$B$52,2,FALSE()),"")</f>
        <v/>
      </c>
      <c r="D200" s="33"/>
      <c r="E200" s="46"/>
      <c r="F200" s="34"/>
      <c r="G200" s="33"/>
      <c r="H200" s="47"/>
      <c r="I200" s="47"/>
      <c r="J200" s="48">
        <f>IFERROR(VLOOKUP(VLOOKUP(A200,PROGRAMAS!$A$4:$G$103,7,FALSE()),PRECIOS_TEJEDURIA!$A$4:$B$22,2,FALSE()),0)</f>
        <v>0</v>
      </c>
      <c r="K200" s="49"/>
      <c r="L200" s="50"/>
      <c r="M200" s="51">
        <f t="shared" si="1"/>
        <v>0</v>
      </c>
      <c r="N200" s="49"/>
      <c r="O200" s="49"/>
      <c r="P200" s="49"/>
      <c r="Q200" s="52"/>
      <c r="R200" s="53"/>
      <c r="S200" s="53"/>
      <c r="T200" s="54"/>
      <c r="U200" s="19">
        <f t="shared" si="2"/>
        <v>0</v>
      </c>
      <c r="V200" s="20">
        <f t="shared" si="3"/>
        <v>0</v>
      </c>
      <c r="W200" s="55">
        <f t="array" ref="W200">IFERROR(INDEX(PRECIOS_TINTORERIA!$B$4:$U$15,MATCH(D200,PRECIOS_TINTORERIA!$A$4:$A$15,0),MATCH(VLOOKUP(A200,PROGRAMAS!$A$4:$G$103,7,FALSE()),PRECIOS_TINTORERIA!$B$3:$U$3,0)),0)</f>
        <v>0</v>
      </c>
      <c r="X200" s="56"/>
      <c r="Y200" s="57"/>
      <c r="Z200" s="58">
        <f t="shared" si="4"/>
        <v>0</v>
      </c>
      <c r="AA200" s="56"/>
      <c r="AB200" s="56"/>
      <c r="AC200" s="56"/>
      <c r="AD200" s="23">
        <f>IFERROR((SUMIFS(COMPRAS_HILO!$H$4:$H$203,COMPRAS_HILO!$B$4:$B$203,A200))*F200/SUMIFS($F$4:$F$503,$A$4:$A$503,A200),0)</f>
        <v>0</v>
      </c>
      <c r="AE200" s="23">
        <f t="shared" si="5"/>
        <v>0</v>
      </c>
      <c r="AF200" s="23">
        <f t="shared" si="6"/>
        <v>0</v>
      </c>
      <c r="AG200" s="25">
        <f t="shared" si="7"/>
        <v>0</v>
      </c>
      <c r="AH200" s="25">
        <f t="shared" si="8"/>
        <v>0</v>
      </c>
      <c r="AI200" s="59"/>
    </row>
    <row r="201" ht="15.75" customHeight="1">
      <c r="A201" s="40"/>
      <c r="B201" s="33"/>
      <c r="C201" s="45" t="str">
        <f>IFERROR(VLOOKUP(B201,COLORES!$A$4:$B$52,2,FALSE()),"")</f>
        <v/>
      </c>
      <c r="D201" s="33"/>
      <c r="E201" s="46"/>
      <c r="F201" s="34"/>
      <c r="G201" s="33"/>
      <c r="H201" s="47"/>
      <c r="I201" s="47"/>
      <c r="J201" s="48">
        <f>IFERROR(VLOOKUP(VLOOKUP(A201,PROGRAMAS!$A$4:$G$103,7,FALSE()),PRECIOS_TEJEDURIA!$A$4:$B$22,2,FALSE()),0)</f>
        <v>0</v>
      </c>
      <c r="K201" s="49"/>
      <c r="L201" s="50"/>
      <c r="M201" s="51">
        <f t="shared" si="1"/>
        <v>0</v>
      </c>
      <c r="N201" s="49"/>
      <c r="O201" s="49"/>
      <c r="P201" s="49"/>
      <c r="Q201" s="52"/>
      <c r="R201" s="53"/>
      <c r="S201" s="53"/>
      <c r="T201" s="54"/>
      <c r="U201" s="19">
        <f t="shared" si="2"/>
        <v>0</v>
      </c>
      <c r="V201" s="20">
        <f t="shared" si="3"/>
        <v>0</v>
      </c>
      <c r="W201" s="55">
        <f t="array" ref="W201">IFERROR(INDEX(PRECIOS_TINTORERIA!$B$4:$U$15,MATCH(D201,PRECIOS_TINTORERIA!$A$4:$A$15,0),MATCH(VLOOKUP(A201,PROGRAMAS!$A$4:$G$103,7,FALSE()),PRECIOS_TINTORERIA!$B$3:$U$3,0)),0)</f>
        <v>0</v>
      </c>
      <c r="X201" s="56"/>
      <c r="Y201" s="57"/>
      <c r="Z201" s="58">
        <f t="shared" si="4"/>
        <v>0</v>
      </c>
      <c r="AA201" s="56"/>
      <c r="AB201" s="56"/>
      <c r="AC201" s="56"/>
      <c r="AD201" s="23">
        <f>IFERROR((SUMIFS(COMPRAS_HILO!$H$4:$H$203,COMPRAS_HILO!$B$4:$B$203,A201))*F201/SUMIFS($F$4:$F$503,$A$4:$A$503,A201),0)</f>
        <v>0</v>
      </c>
      <c r="AE201" s="23">
        <f t="shared" si="5"/>
        <v>0</v>
      </c>
      <c r="AF201" s="23">
        <f t="shared" si="6"/>
        <v>0</v>
      </c>
      <c r="AG201" s="25">
        <f t="shared" si="7"/>
        <v>0</v>
      </c>
      <c r="AH201" s="25">
        <f t="shared" si="8"/>
        <v>0</v>
      </c>
      <c r="AI201" s="59"/>
    </row>
    <row r="202" ht="15.75" customHeight="1">
      <c r="A202" s="40"/>
      <c r="B202" s="33"/>
      <c r="C202" s="45" t="str">
        <f>IFERROR(VLOOKUP(B202,COLORES!$A$4:$B$52,2,FALSE()),"")</f>
        <v/>
      </c>
      <c r="D202" s="33"/>
      <c r="E202" s="46"/>
      <c r="F202" s="34"/>
      <c r="G202" s="33"/>
      <c r="H202" s="47"/>
      <c r="I202" s="47"/>
      <c r="J202" s="48">
        <f>IFERROR(VLOOKUP(VLOOKUP(A202,PROGRAMAS!$A$4:$G$103,7,FALSE()),PRECIOS_TEJEDURIA!$A$4:$B$22,2,FALSE()),0)</f>
        <v>0</v>
      </c>
      <c r="K202" s="49"/>
      <c r="L202" s="50"/>
      <c r="M202" s="51">
        <f t="shared" si="1"/>
        <v>0</v>
      </c>
      <c r="N202" s="49"/>
      <c r="O202" s="49"/>
      <c r="P202" s="49"/>
      <c r="Q202" s="52"/>
      <c r="R202" s="53"/>
      <c r="S202" s="53"/>
      <c r="T202" s="54"/>
      <c r="U202" s="19">
        <f t="shared" si="2"/>
        <v>0</v>
      </c>
      <c r="V202" s="20">
        <f t="shared" si="3"/>
        <v>0</v>
      </c>
      <c r="W202" s="55">
        <f t="array" ref="W202">IFERROR(INDEX(PRECIOS_TINTORERIA!$B$4:$U$15,MATCH(D202,PRECIOS_TINTORERIA!$A$4:$A$15,0),MATCH(VLOOKUP(A202,PROGRAMAS!$A$4:$G$103,7,FALSE()),PRECIOS_TINTORERIA!$B$3:$U$3,0)),0)</f>
        <v>0</v>
      </c>
      <c r="X202" s="56"/>
      <c r="Y202" s="57"/>
      <c r="Z202" s="58">
        <f t="shared" si="4"/>
        <v>0</v>
      </c>
      <c r="AA202" s="56"/>
      <c r="AB202" s="56"/>
      <c r="AC202" s="56"/>
      <c r="AD202" s="23">
        <f>IFERROR((SUMIFS(COMPRAS_HILO!$H$4:$H$203,COMPRAS_HILO!$B$4:$B$203,A202))*F202/SUMIFS($F$4:$F$503,$A$4:$A$503,A202),0)</f>
        <v>0</v>
      </c>
      <c r="AE202" s="23">
        <f t="shared" si="5"/>
        <v>0</v>
      </c>
      <c r="AF202" s="23">
        <f t="shared" si="6"/>
        <v>0</v>
      </c>
      <c r="AG202" s="25">
        <f t="shared" si="7"/>
        <v>0</v>
      </c>
      <c r="AH202" s="25">
        <f t="shared" si="8"/>
        <v>0</v>
      </c>
      <c r="AI202" s="59"/>
    </row>
    <row r="203" ht="15.75" customHeight="1">
      <c r="A203" s="40"/>
      <c r="B203" s="33"/>
      <c r="C203" s="45" t="str">
        <f>IFERROR(VLOOKUP(B203,COLORES!$A$4:$B$52,2,FALSE()),"")</f>
        <v/>
      </c>
      <c r="D203" s="33"/>
      <c r="E203" s="46"/>
      <c r="F203" s="34"/>
      <c r="G203" s="33"/>
      <c r="H203" s="47"/>
      <c r="I203" s="47"/>
      <c r="J203" s="48">
        <f>IFERROR(VLOOKUP(VLOOKUP(A203,PROGRAMAS!$A$4:$G$103,7,FALSE()),PRECIOS_TEJEDURIA!$A$4:$B$22,2,FALSE()),0)</f>
        <v>0</v>
      </c>
      <c r="K203" s="49"/>
      <c r="L203" s="50"/>
      <c r="M203" s="51">
        <f t="shared" si="1"/>
        <v>0</v>
      </c>
      <c r="N203" s="49"/>
      <c r="O203" s="49"/>
      <c r="P203" s="49"/>
      <c r="Q203" s="52"/>
      <c r="R203" s="53"/>
      <c r="S203" s="53"/>
      <c r="T203" s="54"/>
      <c r="U203" s="19">
        <f t="shared" si="2"/>
        <v>0</v>
      </c>
      <c r="V203" s="20">
        <f t="shared" si="3"/>
        <v>0</v>
      </c>
      <c r="W203" s="55">
        <f t="array" ref="W203">IFERROR(INDEX(PRECIOS_TINTORERIA!$B$4:$U$15,MATCH(D203,PRECIOS_TINTORERIA!$A$4:$A$15,0),MATCH(VLOOKUP(A203,PROGRAMAS!$A$4:$G$103,7,FALSE()),PRECIOS_TINTORERIA!$B$3:$U$3,0)),0)</f>
        <v>0</v>
      </c>
      <c r="X203" s="56"/>
      <c r="Y203" s="57"/>
      <c r="Z203" s="58">
        <f t="shared" si="4"/>
        <v>0</v>
      </c>
      <c r="AA203" s="56"/>
      <c r="AB203" s="56"/>
      <c r="AC203" s="56"/>
      <c r="AD203" s="23">
        <f>IFERROR((SUMIFS(COMPRAS_HILO!$H$4:$H$203,COMPRAS_HILO!$B$4:$B$203,A203))*F203/SUMIFS($F$4:$F$503,$A$4:$A$503,A203),0)</f>
        <v>0</v>
      </c>
      <c r="AE203" s="23">
        <f t="shared" si="5"/>
        <v>0</v>
      </c>
      <c r="AF203" s="23">
        <f t="shared" si="6"/>
        <v>0</v>
      </c>
      <c r="AG203" s="25">
        <f t="shared" si="7"/>
        <v>0</v>
      </c>
      <c r="AH203" s="25">
        <f t="shared" si="8"/>
        <v>0</v>
      </c>
      <c r="AI203" s="59"/>
    </row>
    <row r="204" ht="15.75" customHeight="1">
      <c r="A204" s="40"/>
      <c r="B204" s="33"/>
      <c r="C204" s="45" t="str">
        <f>IFERROR(VLOOKUP(B204,COLORES!$A$4:$B$52,2,FALSE()),"")</f>
        <v/>
      </c>
      <c r="D204" s="33"/>
      <c r="E204" s="46"/>
      <c r="F204" s="34"/>
      <c r="G204" s="33"/>
      <c r="H204" s="47"/>
      <c r="I204" s="47"/>
      <c r="J204" s="48">
        <f>IFERROR(VLOOKUP(VLOOKUP(A204,PROGRAMAS!$A$4:$G$103,7,FALSE()),PRECIOS_TEJEDURIA!$A$4:$B$22,2,FALSE()),0)</f>
        <v>0</v>
      </c>
      <c r="K204" s="49"/>
      <c r="L204" s="50"/>
      <c r="M204" s="51">
        <f t="shared" si="1"/>
        <v>0</v>
      </c>
      <c r="N204" s="49"/>
      <c r="O204" s="49"/>
      <c r="P204" s="49"/>
      <c r="Q204" s="52"/>
      <c r="R204" s="53"/>
      <c r="S204" s="53"/>
      <c r="T204" s="54"/>
      <c r="U204" s="19">
        <f t="shared" si="2"/>
        <v>0</v>
      </c>
      <c r="V204" s="20">
        <f t="shared" si="3"/>
        <v>0</v>
      </c>
      <c r="W204" s="55">
        <f t="array" ref="W204">IFERROR(INDEX(PRECIOS_TINTORERIA!$B$4:$U$15,MATCH(D204,PRECIOS_TINTORERIA!$A$4:$A$15,0),MATCH(VLOOKUP(A204,PROGRAMAS!$A$4:$G$103,7,FALSE()),PRECIOS_TINTORERIA!$B$3:$U$3,0)),0)</f>
        <v>0</v>
      </c>
      <c r="X204" s="56"/>
      <c r="Y204" s="57"/>
      <c r="Z204" s="58">
        <f t="shared" si="4"/>
        <v>0</v>
      </c>
      <c r="AA204" s="56"/>
      <c r="AB204" s="56"/>
      <c r="AC204" s="56"/>
      <c r="AD204" s="23">
        <f>IFERROR((SUMIFS(COMPRAS_HILO!$H$4:$H$203,COMPRAS_HILO!$B$4:$B$203,A204))*F204/SUMIFS($F$4:$F$503,$A$4:$A$503,A204),0)</f>
        <v>0</v>
      </c>
      <c r="AE204" s="23">
        <f t="shared" si="5"/>
        <v>0</v>
      </c>
      <c r="AF204" s="23">
        <f t="shared" si="6"/>
        <v>0</v>
      </c>
      <c r="AG204" s="25">
        <f t="shared" si="7"/>
        <v>0</v>
      </c>
      <c r="AH204" s="25">
        <f t="shared" si="8"/>
        <v>0</v>
      </c>
      <c r="AI204" s="59"/>
    </row>
    <row r="205" ht="15.75" customHeight="1">
      <c r="A205" s="40"/>
      <c r="B205" s="33"/>
      <c r="C205" s="45" t="str">
        <f>IFERROR(VLOOKUP(B205,COLORES!$A$4:$B$52,2,FALSE()),"")</f>
        <v/>
      </c>
      <c r="D205" s="33"/>
      <c r="E205" s="46"/>
      <c r="F205" s="34"/>
      <c r="G205" s="33"/>
      <c r="H205" s="47"/>
      <c r="I205" s="47"/>
      <c r="J205" s="48">
        <f>IFERROR(VLOOKUP(VLOOKUP(A205,PROGRAMAS!$A$4:$G$103,7,FALSE()),PRECIOS_TEJEDURIA!$A$4:$B$22,2,FALSE()),0)</f>
        <v>0</v>
      </c>
      <c r="K205" s="49"/>
      <c r="L205" s="50"/>
      <c r="M205" s="51">
        <f t="shared" si="1"/>
        <v>0</v>
      </c>
      <c r="N205" s="49"/>
      <c r="O205" s="49"/>
      <c r="P205" s="49"/>
      <c r="Q205" s="52"/>
      <c r="R205" s="53"/>
      <c r="S205" s="53"/>
      <c r="T205" s="54"/>
      <c r="U205" s="19">
        <f t="shared" si="2"/>
        <v>0</v>
      </c>
      <c r="V205" s="20">
        <f t="shared" si="3"/>
        <v>0</v>
      </c>
      <c r="W205" s="55">
        <f t="array" ref="W205">IFERROR(INDEX(PRECIOS_TINTORERIA!$B$4:$U$15,MATCH(D205,PRECIOS_TINTORERIA!$A$4:$A$15,0),MATCH(VLOOKUP(A205,PROGRAMAS!$A$4:$G$103,7,FALSE()),PRECIOS_TINTORERIA!$B$3:$U$3,0)),0)</f>
        <v>0</v>
      </c>
      <c r="X205" s="56"/>
      <c r="Y205" s="57"/>
      <c r="Z205" s="58">
        <f t="shared" si="4"/>
        <v>0</v>
      </c>
      <c r="AA205" s="56"/>
      <c r="AB205" s="56"/>
      <c r="AC205" s="56"/>
      <c r="AD205" s="23">
        <f>IFERROR((SUMIFS(COMPRAS_HILO!$H$4:$H$203,COMPRAS_HILO!$B$4:$B$203,A205))*F205/SUMIFS($F$4:$F$503,$A$4:$A$503,A205),0)</f>
        <v>0</v>
      </c>
      <c r="AE205" s="23">
        <f t="shared" si="5"/>
        <v>0</v>
      </c>
      <c r="AF205" s="23">
        <f t="shared" si="6"/>
        <v>0</v>
      </c>
      <c r="AG205" s="25">
        <f t="shared" si="7"/>
        <v>0</v>
      </c>
      <c r="AH205" s="25">
        <f t="shared" si="8"/>
        <v>0</v>
      </c>
      <c r="AI205" s="59"/>
    </row>
    <row r="206" ht="15.75" customHeight="1">
      <c r="A206" s="40"/>
      <c r="B206" s="33"/>
      <c r="C206" s="45" t="str">
        <f>IFERROR(VLOOKUP(B206,COLORES!$A$4:$B$52,2,FALSE()),"")</f>
        <v/>
      </c>
      <c r="D206" s="33"/>
      <c r="E206" s="46"/>
      <c r="F206" s="34"/>
      <c r="G206" s="33"/>
      <c r="H206" s="47"/>
      <c r="I206" s="47"/>
      <c r="J206" s="48">
        <f>IFERROR(VLOOKUP(VLOOKUP(A206,PROGRAMAS!$A$4:$G$103,7,FALSE()),PRECIOS_TEJEDURIA!$A$4:$B$22,2,FALSE()),0)</f>
        <v>0</v>
      </c>
      <c r="K206" s="49"/>
      <c r="L206" s="50"/>
      <c r="M206" s="51">
        <f t="shared" si="1"/>
        <v>0</v>
      </c>
      <c r="N206" s="49"/>
      <c r="O206" s="49"/>
      <c r="P206" s="49"/>
      <c r="Q206" s="52"/>
      <c r="R206" s="53"/>
      <c r="S206" s="53"/>
      <c r="T206" s="54"/>
      <c r="U206" s="19">
        <f t="shared" si="2"/>
        <v>0</v>
      </c>
      <c r="V206" s="20">
        <f t="shared" si="3"/>
        <v>0</v>
      </c>
      <c r="W206" s="55">
        <f t="array" ref="W206">IFERROR(INDEX(PRECIOS_TINTORERIA!$B$4:$U$15,MATCH(D206,PRECIOS_TINTORERIA!$A$4:$A$15,0),MATCH(VLOOKUP(A206,PROGRAMAS!$A$4:$G$103,7,FALSE()),PRECIOS_TINTORERIA!$B$3:$U$3,0)),0)</f>
        <v>0</v>
      </c>
      <c r="X206" s="56"/>
      <c r="Y206" s="57"/>
      <c r="Z206" s="58">
        <f t="shared" si="4"/>
        <v>0</v>
      </c>
      <c r="AA206" s="56"/>
      <c r="AB206" s="56"/>
      <c r="AC206" s="56"/>
      <c r="AD206" s="23">
        <f>IFERROR((SUMIFS(COMPRAS_HILO!$H$4:$H$203,COMPRAS_HILO!$B$4:$B$203,A206))*F206/SUMIFS($F$4:$F$503,$A$4:$A$503,A206),0)</f>
        <v>0</v>
      </c>
      <c r="AE206" s="23">
        <f t="shared" si="5"/>
        <v>0</v>
      </c>
      <c r="AF206" s="23">
        <f t="shared" si="6"/>
        <v>0</v>
      </c>
      <c r="AG206" s="25">
        <f t="shared" si="7"/>
        <v>0</v>
      </c>
      <c r="AH206" s="25">
        <f t="shared" si="8"/>
        <v>0</v>
      </c>
      <c r="AI206" s="59"/>
    </row>
    <row r="207" ht="15.75" customHeight="1">
      <c r="A207" s="40"/>
      <c r="B207" s="33"/>
      <c r="C207" s="45" t="str">
        <f>IFERROR(VLOOKUP(B207,COLORES!$A$4:$B$52,2,FALSE()),"")</f>
        <v/>
      </c>
      <c r="D207" s="33"/>
      <c r="E207" s="46"/>
      <c r="F207" s="34"/>
      <c r="G207" s="33"/>
      <c r="H207" s="47"/>
      <c r="I207" s="47"/>
      <c r="J207" s="48">
        <f>IFERROR(VLOOKUP(VLOOKUP(A207,PROGRAMAS!$A$4:$G$103,7,FALSE()),PRECIOS_TEJEDURIA!$A$4:$B$22,2,FALSE()),0)</f>
        <v>0</v>
      </c>
      <c r="K207" s="49"/>
      <c r="L207" s="50"/>
      <c r="M207" s="51">
        <f t="shared" si="1"/>
        <v>0</v>
      </c>
      <c r="N207" s="49"/>
      <c r="O207" s="49"/>
      <c r="P207" s="49"/>
      <c r="Q207" s="52"/>
      <c r="R207" s="53"/>
      <c r="S207" s="53"/>
      <c r="T207" s="54"/>
      <c r="U207" s="19">
        <f t="shared" si="2"/>
        <v>0</v>
      </c>
      <c r="V207" s="20">
        <f t="shared" si="3"/>
        <v>0</v>
      </c>
      <c r="W207" s="55">
        <f t="array" ref="W207">IFERROR(INDEX(PRECIOS_TINTORERIA!$B$4:$U$15,MATCH(D207,PRECIOS_TINTORERIA!$A$4:$A$15,0),MATCH(VLOOKUP(A207,PROGRAMAS!$A$4:$G$103,7,FALSE()),PRECIOS_TINTORERIA!$B$3:$U$3,0)),0)</f>
        <v>0</v>
      </c>
      <c r="X207" s="56"/>
      <c r="Y207" s="57"/>
      <c r="Z207" s="58">
        <f t="shared" si="4"/>
        <v>0</v>
      </c>
      <c r="AA207" s="56"/>
      <c r="AB207" s="56"/>
      <c r="AC207" s="56"/>
      <c r="AD207" s="23">
        <f>IFERROR((SUMIFS(COMPRAS_HILO!$H$4:$H$203,COMPRAS_HILO!$B$4:$B$203,A207))*F207/SUMIFS($F$4:$F$503,$A$4:$A$503,A207),0)</f>
        <v>0</v>
      </c>
      <c r="AE207" s="23">
        <f t="shared" si="5"/>
        <v>0</v>
      </c>
      <c r="AF207" s="23">
        <f t="shared" si="6"/>
        <v>0</v>
      </c>
      <c r="AG207" s="25">
        <f t="shared" si="7"/>
        <v>0</v>
      </c>
      <c r="AH207" s="25">
        <f t="shared" si="8"/>
        <v>0</v>
      </c>
      <c r="AI207" s="59"/>
    </row>
    <row r="208" ht="15.75" customHeight="1">
      <c r="A208" s="40"/>
      <c r="B208" s="33"/>
      <c r="C208" s="45" t="str">
        <f>IFERROR(VLOOKUP(B208,COLORES!$A$4:$B$52,2,FALSE()),"")</f>
        <v/>
      </c>
      <c r="D208" s="33"/>
      <c r="E208" s="46"/>
      <c r="F208" s="34"/>
      <c r="G208" s="33"/>
      <c r="H208" s="47"/>
      <c r="I208" s="47"/>
      <c r="J208" s="48">
        <f>IFERROR(VLOOKUP(VLOOKUP(A208,PROGRAMAS!$A$4:$G$103,7,FALSE()),PRECIOS_TEJEDURIA!$A$4:$B$22,2,FALSE()),0)</f>
        <v>0</v>
      </c>
      <c r="K208" s="49"/>
      <c r="L208" s="50"/>
      <c r="M208" s="51">
        <f t="shared" si="1"/>
        <v>0</v>
      </c>
      <c r="N208" s="49"/>
      <c r="O208" s="49"/>
      <c r="P208" s="49"/>
      <c r="Q208" s="52"/>
      <c r="R208" s="53"/>
      <c r="S208" s="53"/>
      <c r="T208" s="54"/>
      <c r="U208" s="19">
        <f t="shared" si="2"/>
        <v>0</v>
      </c>
      <c r="V208" s="20">
        <f t="shared" si="3"/>
        <v>0</v>
      </c>
      <c r="W208" s="55">
        <f t="array" ref="W208">IFERROR(INDEX(PRECIOS_TINTORERIA!$B$4:$U$15,MATCH(D208,PRECIOS_TINTORERIA!$A$4:$A$15,0),MATCH(VLOOKUP(A208,PROGRAMAS!$A$4:$G$103,7,FALSE()),PRECIOS_TINTORERIA!$B$3:$U$3,0)),0)</f>
        <v>0</v>
      </c>
      <c r="X208" s="56"/>
      <c r="Y208" s="57"/>
      <c r="Z208" s="58">
        <f t="shared" si="4"/>
        <v>0</v>
      </c>
      <c r="AA208" s="56"/>
      <c r="AB208" s="56"/>
      <c r="AC208" s="56"/>
      <c r="AD208" s="23">
        <f>IFERROR((SUMIFS(COMPRAS_HILO!$H$4:$H$203,COMPRAS_HILO!$B$4:$B$203,A208))*F208/SUMIFS($F$4:$F$503,$A$4:$A$503,A208),0)</f>
        <v>0</v>
      </c>
      <c r="AE208" s="23">
        <f t="shared" si="5"/>
        <v>0</v>
      </c>
      <c r="AF208" s="23">
        <f t="shared" si="6"/>
        <v>0</v>
      </c>
      <c r="AG208" s="25">
        <f t="shared" si="7"/>
        <v>0</v>
      </c>
      <c r="AH208" s="25">
        <f t="shared" si="8"/>
        <v>0</v>
      </c>
      <c r="AI208" s="59"/>
    </row>
    <row r="209" ht="15.75" customHeight="1">
      <c r="A209" s="40"/>
      <c r="B209" s="33"/>
      <c r="C209" s="45" t="str">
        <f>IFERROR(VLOOKUP(B209,COLORES!$A$4:$B$52,2,FALSE()),"")</f>
        <v/>
      </c>
      <c r="D209" s="33"/>
      <c r="E209" s="46"/>
      <c r="F209" s="34"/>
      <c r="G209" s="33"/>
      <c r="H209" s="47"/>
      <c r="I209" s="47"/>
      <c r="J209" s="48">
        <f>IFERROR(VLOOKUP(VLOOKUP(A209,PROGRAMAS!$A$4:$G$103,7,FALSE()),PRECIOS_TEJEDURIA!$A$4:$B$22,2,FALSE()),0)</f>
        <v>0</v>
      </c>
      <c r="K209" s="49"/>
      <c r="L209" s="50"/>
      <c r="M209" s="51">
        <f t="shared" si="1"/>
        <v>0</v>
      </c>
      <c r="N209" s="49"/>
      <c r="O209" s="49"/>
      <c r="P209" s="49"/>
      <c r="Q209" s="52"/>
      <c r="R209" s="53"/>
      <c r="S209" s="53"/>
      <c r="T209" s="54"/>
      <c r="U209" s="19">
        <f t="shared" si="2"/>
        <v>0</v>
      </c>
      <c r="V209" s="20">
        <f t="shared" si="3"/>
        <v>0</v>
      </c>
      <c r="W209" s="55">
        <f t="array" ref="W209">IFERROR(INDEX(PRECIOS_TINTORERIA!$B$4:$U$15,MATCH(D209,PRECIOS_TINTORERIA!$A$4:$A$15,0),MATCH(VLOOKUP(A209,PROGRAMAS!$A$4:$G$103,7,FALSE()),PRECIOS_TINTORERIA!$B$3:$U$3,0)),0)</f>
        <v>0</v>
      </c>
      <c r="X209" s="56"/>
      <c r="Y209" s="57"/>
      <c r="Z209" s="58">
        <f t="shared" si="4"/>
        <v>0</v>
      </c>
      <c r="AA209" s="56"/>
      <c r="AB209" s="56"/>
      <c r="AC209" s="56"/>
      <c r="AD209" s="23">
        <f>IFERROR((SUMIFS(COMPRAS_HILO!$H$4:$H$203,COMPRAS_HILO!$B$4:$B$203,A209))*F209/SUMIFS($F$4:$F$503,$A$4:$A$503,A209),0)</f>
        <v>0</v>
      </c>
      <c r="AE209" s="23">
        <f t="shared" si="5"/>
        <v>0</v>
      </c>
      <c r="AF209" s="23">
        <f t="shared" si="6"/>
        <v>0</v>
      </c>
      <c r="AG209" s="25">
        <f t="shared" si="7"/>
        <v>0</v>
      </c>
      <c r="AH209" s="25">
        <f t="shared" si="8"/>
        <v>0</v>
      </c>
      <c r="AI209" s="59"/>
    </row>
    <row r="210" ht="15.75" customHeight="1">
      <c r="A210" s="40"/>
      <c r="B210" s="33"/>
      <c r="C210" s="45" t="str">
        <f>IFERROR(VLOOKUP(B210,COLORES!$A$4:$B$52,2,FALSE()),"")</f>
        <v/>
      </c>
      <c r="D210" s="33"/>
      <c r="E210" s="46"/>
      <c r="F210" s="34"/>
      <c r="G210" s="33"/>
      <c r="H210" s="47"/>
      <c r="I210" s="47"/>
      <c r="J210" s="48">
        <f>IFERROR(VLOOKUP(VLOOKUP(A210,PROGRAMAS!$A$4:$G$103,7,FALSE()),PRECIOS_TEJEDURIA!$A$4:$B$22,2,FALSE()),0)</f>
        <v>0</v>
      </c>
      <c r="K210" s="49"/>
      <c r="L210" s="50"/>
      <c r="M210" s="51">
        <f t="shared" si="1"/>
        <v>0</v>
      </c>
      <c r="N210" s="49"/>
      <c r="O210" s="49"/>
      <c r="P210" s="49"/>
      <c r="Q210" s="52"/>
      <c r="R210" s="53"/>
      <c r="S210" s="53"/>
      <c r="T210" s="54"/>
      <c r="U210" s="19">
        <f t="shared" si="2"/>
        <v>0</v>
      </c>
      <c r="V210" s="20">
        <f t="shared" si="3"/>
        <v>0</v>
      </c>
      <c r="W210" s="55">
        <f t="array" ref="W210">IFERROR(INDEX(PRECIOS_TINTORERIA!$B$4:$U$15,MATCH(D210,PRECIOS_TINTORERIA!$A$4:$A$15,0),MATCH(VLOOKUP(A210,PROGRAMAS!$A$4:$G$103,7,FALSE()),PRECIOS_TINTORERIA!$B$3:$U$3,0)),0)</f>
        <v>0</v>
      </c>
      <c r="X210" s="56"/>
      <c r="Y210" s="57"/>
      <c r="Z210" s="58">
        <f t="shared" si="4"/>
        <v>0</v>
      </c>
      <c r="AA210" s="56"/>
      <c r="AB210" s="56"/>
      <c r="AC210" s="56"/>
      <c r="AD210" s="23">
        <f>IFERROR((SUMIFS(COMPRAS_HILO!$H$4:$H$203,COMPRAS_HILO!$B$4:$B$203,A210))*F210/SUMIFS($F$4:$F$503,$A$4:$A$503,A210),0)</f>
        <v>0</v>
      </c>
      <c r="AE210" s="23">
        <f t="shared" si="5"/>
        <v>0</v>
      </c>
      <c r="AF210" s="23">
        <f t="shared" si="6"/>
        <v>0</v>
      </c>
      <c r="AG210" s="25">
        <f t="shared" si="7"/>
        <v>0</v>
      </c>
      <c r="AH210" s="25">
        <f t="shared" si="8"/>
        <v>0</v>
      </c>
      <c r="AI210" s="59"/>
    </row>
    <row r="211" ht="15.75" customHeight="1">
      <c r="A211" s="40"/>
      <c r="B211" s="33"/>
      <c r="C211" s="45" t="str">
        <f>IFERROR(VLOOKUP(B211,COLORES!$A$4:$B$52,2,FALSE()),"")</f>
        <v/>
      </c>
      <c r="D211" s="33"/>
      <c r="E211" s="46"/>
      <c r="F211" s="34"/>
      <c r="G211" s="33"/>
      <c r="H211" s="47"/>
      <c r="I211" s="47"/>
      <c r="J211" s="48">
        <f>IFERROR(VLOOKUP(VLOOKUP(A211,PROGRAMAS!$A$4:$G$103,7,FALSE()),PRECIOS_TEJEDURIA!$A$4:$B$22,2,FALSE()),0)</f>
        <v>0</v>
      </c>
      <c r="K211" s="49"/>
      <c r="L211" s="50"/>
      <c r="M211" s="51">
        <f t="shared" si="1"/>
        <v>0</v>
      </c>
      <c r="N211" s="49"/>
      <c r="O211" s="49"/>
      <c r="P211" s="49"/>
      <c r="Q211" s="52"/>
      <c r="R211" s="53"/>
      <c r="S211" s="53"/>
      <c r="T211" s="54"/>
      <c r="U211" s="19">
        <f t="shared" si="2"/>
        <v>0</v>
      </c>
      <c r="V211" s="20">
        <f t="shared" si="3"/>
        <v>0</v>
      </c>
      <c r="W211" s="55">
        <f t="array" ref="W211">IFERROR(INDEX(PRECIOS_TINTORERIA!$B$4:$U$15,MATCH(D211,PRECIOS_TINTORERIA!$A$4:$A$15,0),MATCH(VLOOKUP(A211,PROGRAMAS!$A$4:$G$103,7,FALSE()),PRECIOS_TINTORERIA!$B$3:$U$3,0)),0)</f>
        <v>0</v>
      </c>
      <c r="X211" s="56"/>
      <c r="Y211" s="57"/>
      <c r="Z211" s="58">
        <f t="shared" si="4"/>
        <v>0</v>
      </c>
      <c r="AA211" s="56"/>
      <c r="AB211" s="56"/>
      <c r="AC211" s="56"/>
      <c r="AD211" s="23">
        <f>IFERROR((SUMIFS(COMPRAS_HILO!$H$4:$H$203,COMPRAS_HILO!$B$4:$B$203,A211))*F211/SUMIFS($F$4:$F$503,$A$4:$A$503,A211),0)</f>
        <v>0</v>
      </c>
      <c r="AE211" s="23">
        <f t="shared" si="5"/>
        <v>0</v>
      </c>
      <c r="AF211" s="23">
        <f t="shared" si="6"/>
        <v>0</v>
      </c>
      <c r="AG211" s="25">
        <f t="shared" si="7"/>
        <v>0</v>
      </c>
      <c r="AH211" s="25">
        <f t="shared" si="8"/>
        <v>0</v>
      </c>
      <c r="AI211" s="59"/>
    </row>
    <row r="212" ht="15.75" customHeight="1">
      <c r="A212" s="40"/>
      <c r="B212" s="33"/>
      <c r="C212" s="45" t="str">
        <f>IFERROR(VLOOKUP(B212,COLORES!$A$4:$B$52,2,FALSE()),"")</f>
        <v/>
      </c>
      <c r="D212" s="33"/>
      <c r="E212" s="46"/>
      <c r="F212" s="34"/>
      <c r="G212" s="33"/>
      <c r="H212" s="47"/>
      <c r="I212" s="47"/>
      <c r="J212" s="48">
        <f>IFERROR(VLOOKUP(VLOOKUP(A212,PROGRAMAS!$A$4:$G$103,7,FALSE()),PRECIOS_TEJEDURIA!$A$4:$B$22,2,FALSE()),0)</f>
        <v>0</v>
      </c>
      <c r="K212" s="49"/>
      <c r="L212" s="50"/>
      <c r="M212" s="51">
        <f t="shared" si="1"/>
        <v>0</v>
      </c>
      <c r="N212" s="49"/>
      <c r="O212" s="49"/>
      <c r="P212" s="49"/>
      <c r="Q212" s="52"/>
      <c r="R212" s="53"/>
      <c r="S212" s="53"/>
      <c r="T212" s="54"/>
      <c r="U212" s="19">
        <f t="shared" si="2"/>
        <v>0</v>
      </c>
      <c r="V212" s="20">
        <f t="shared" si="3"/>
        <v>0</v>
      </c>
      <c r="W212" s="55">
        <f t="array" ref="W212">IFERROR(INDEX(PRECIOS_TINTORERIA!$B$4:$U$15,MATCH(D212,PRECIOS_TINTORERIA!$A$4:$A$15,0),MATCH(VLOOKUP(A212,PROGRAMAS!$A$4:$G$103,7,FALSE()),PRECIOS_TINTORERIA!$B$3:$U$3,0)),0)</f>
        <v>0</v>
      </c>
      <c r="X212" s="56"/>
      <c r="Y212" s="57"/>
      <c r="Z212" s="58">
        <f t="shared" si="4"/>
        <v>0</v>
      </c>
      <c r="AA212" s="56"/>
      <c r="AB212" s="56"/>
      <c r="AC212" s="56"/>
      <c r="AD212" s="23">
        <f>IFERROR((SUMIFS(COMPRAS_HILO!$H$4:$H$203,COMPRAS_HILO!$B$4:$B$203,A212))*F212/SUMIFS($F$4:$F$503,$A$4:$A$503,A212),0)</f>
        <v>0</v>
      </c>
      <c r="AE212" s="23">
        <f t="shared" si="5"/>
        <v>0</v>
      </c>
      <c r="AF212" s="23">
        <f t="shared" si="6"/>
        <v>0</v>
      </c>
      <c r="AG212" s="25">
        <f t="shared" si="7"/>
        <v>0</v>
      </c>
      <c r="AH212" s="25">
        <f t="shared" si="8"/>
        <v>0</v>
      </c>
      <c r="AI212" s="59"/>
    </row>
    <row r="213" ht="15.75" customHeight="1">
      <c r="A213" s="40"/>
      <c r="B213" s="33"/>
      <c r="C213" s="45" t="str">
        <f>IFERROR(VLOOKUP(B213,COLORES!$A$4:$B$52,2,FALSE()),"")</f>
        <v/>
      </c>
      <c r="D213" s="33"/>
      <c r="E213" s="46"/>
      <c r="F213" s="34"/>
      <c r="G213" s="33"/>
      <c r="H213" s="47"/>
      <c r="I213" s="47"/>
      <c r="J213" s="48">
        <f>IFERROR(VLOOKUP(VLOOKUP(A213,PROGRAMAS!$A$4:$G$103,7,FALSE()),PRECIOS_TEJEDURIA!$A$4:$B$22,2,FALSE()),0)</f>
        <v>0</v>
      </c>
      <c r="K213" s="49"/>
      <c r="L213" s="50"/>
      <c r="M213" s="51">
        <f t="shared" si="1"/>
        <v>0</v>
      </c>
      <c r="N213" s="49"/>
      <c r="O213" s="49"/>
      <c r="P213" s="49"/>
      <c r="Q213" s="52"/>
      <c r="R213" s="53"/>
      <c r="S213" s="53"/>
      <c r="T213" s="54"/>
      <c r="U213" s="19">
        <f t="shared" si="2"/>
        <v>0</v>
      </c>
      <c r="V213" s="20">
        <f t="shared" si="3"/>
        <v>0</v>
      </c>
      <c r="W213" s="55">
        <f t="array" ref="W213">IFERROR(INDEX(PRECIOS_TINTORERIA!$B$4:$U$15,MATCH(D213,PRECIOS_TINTORERIA!$A$4:$A$15,0),MATCH(VLOOKUP(A213,PROGRAMAS!$A$4:$G$103,7,FALSE()),PRECIOS_TINTORERIA!$B$3:$U$3,0)),0)</f>
        <v>0</v>
      </c>
      <c r="X213" s="56"/>
      <c r="Y213" s="57"/>
      <c r="Z213" s="58">
        <f t="shared" si="4"/>
        <v>0</v>
      </c>
      <c r="AA213" s="56"/>
      <c r="AB213" s="56"/>
      <c r="AC213" s="56"/>
      <c r="AD213" s="23">
        <f>IFERROR((SUMIFS(COMPRAS_HILO!$H$4:$H$203,COMPRAS_HILO!$B$4:$B$203,A213))*F213/SUMIFS($F$4:$F$503,$A$4:$A$503,A213),0)</f>
        <v>0</v>
      </c>
      <c r="AE213" s="23">
        <f t="shared" si="5"/>
        <v>0</v>
      </c>
      <c r="AF213" s="23">
        <f t="shared" si="6"/>
        <v>0</v>
      </c>
      <c r="AG213" s="25">
        <f t="shared" si="7"/>
        <v>0</v>
      </c>
      <c r="AH213" s="25">
        <f t="shared" si="8"/>
        <v>0</v>
      </c>
      <c r="AI213" s="59"/>
    </row>
    <row r="214" ht="15.75" customHeight="1">
      <c r="A214" s="40"/>
      <c r="B214" s="33"/>
      <c r="C214" s="45" t="str">
        <f>IFERROR(VLOOKUP(B214,COLORES!$A$4:$B$52,2,FALSE()),"")</f>
        <v/>
      </c>
      <c r="D214" s="33"/>
      <c r="E214" s="46"/>
      <c r="F214" s="34"/>
      <c r="G214" s="33"/>
      <c r="H214" s="47"/>
      <c r="I214" s="47"/>
      <c r="J214" s="48">
        <f>IFERROR(VLOOKUP(VLOOKUP(A214,PROGRAMAS!$A$4:$G$103,7,FALSE()),PRECIOS_TEJEDURIA!$A$4:$B$22,2,FALSE()),0)</f>
        <v>0</v>
      </c>
      <c r="K214" s="49"/>
      <c r="L214" s="50"/>
      <c r="M214" s="51">
        <f t="shared" si="1"/>
        <v>0</v>
      </c>
      <c r="N214" s="49"/>
      <c r="O214" s="49"/>
      <c r="P214" s="49"/>
      <c r="Q214" s="52"/>
      <c r="R214" s="53"/>
      <c r="S214" s="53"/>
      <c r="T214" s="54"/>
      <c r="U214" s="19">
        <f t="shared" si="2"/>
        <v>0</v>
      </c>
      <c r="V214" s="20">
        <f t="shared" si="3"/>
        <v>0</v>
      </c>
      <c r="W214" s="55">
        <f t="array" ref="W214">IFERROR(INDEX(PRECIOS_TINTORERIA!$B$4:$U$15,MATCH(D214,PRECIOS_TINTORERIA!$A$4:$A$15,0),MATCH(VLOOKUP(A214,PROGRAMAS!$A$4:$G$103,7,FALSE()),PRECIOS_TINTORERIA!$B$3:$U$3,0)),0)</f>
        <v>0</v>
      </c>
      <c r="X214" s="56"/>
      <c r="Y214" s="57"/>
      <c r="Z214" s="58">
        <f t="shared" si="4"/>
        <v>0</v>
      </c>
      <c r="AA214" s="56"/>
      <c r="AB214" s="56"/>
      <c r="AC214" s="56"/>
      <c r="AD214" s="23">
        <f>IFERROR((SUMIFS(COMPRAS_HILO!$H$4:$H$203,COMPRAS_HILO!$B$4:$B$203,A214))*F214/SUMIFS($F$4:$F$503,$A$4:$A$503,A214),0)</f>
        <v>0</v>
      </c>
      <c r="AE214" s="23">
        <f t="shared" si="5"/>
        <v>0</v>
      </c>
      <c r="AF214" s="23">
        <f t="shared" si="6"/>
        <v>0</v>
      </c>
      <c r="AG214" s="25">
        <f t="shared" si="7"/>
        <v>0</v>
      </c>
      <c r="AH214" s="25">
        <f t="shared" si="8"/>
        <v>0</v>
      </c>
      <c r="AI214" s="59"/>
    </row>
    <row r="215" ht="15.75" customHeight="1">
      <c r="A215" s="40"/>
      <c r="B215" s="33"/>
      <c r="C215" s="45" t="str">
        <f>IFERROR(VLOOKUP(B215,COLORES!$A$4:$B$52,2,FALSE()),"")</f>
        <v/>
      </c>
      <c r="D215" s="33"/>
      <c r="E215" s="46"/>
      <c r="F215" s="34"/>
      <c r="G215" s="33"/>
      <c r="H215" s="47"/>
      <c r="I215" s="47"/>
      <c r="J215" s="48">
        <f>IFERROR(VLOOKUP(VLOOKUP(A215,PROGRAMAS!$A$4:$G$103,7,FALSE()),PRECIOS_TEJEDURIA!$A$4:$B$22,2,FALSE()),0)</f>
        <v>0</v>
      </c>
      <c r="K215" s="49"/>
      <c r="L215" s="50"/>
      <c r="M215" s="51">
        <f t="shared" si="1"/>
        <v>0</v>
      </c>
      <c r="N215" s="49"/>
      <c r="O215" s="49"/>
      <c r="P215" s="49"/>
      <c r="Q215" s="52"/>
      <c r="R215" s="53"/>
      <c r="S215" s="53"/>
      <c r="T215" s="54"/>
      <c r="U215" s="19">
        <f t="shared" si="2"/>
        <v>0</v>
      </c>
      <c r="V215" s="20">
        <f t="shared" si="3"/>
        <v>0</v>
      </c>
      <c r="W215" s="55">
        <f t="array" ref="W215">IFERROR(INDEX(PRECIOS_TINTORERIA!$B$4:$U$15,MATCH(D215,PRECIOS_TINTORERIA!$A$4:$A$15,0),MATCH(VLOOKUP(A215,PROGRAMAS!$A$4:$G$103,7,FALSE()),PRECIOS_TINTORERIA!$B$3:$U$3,0)),0)</f>
        <v>0</v>
      </c>
      <c r="X215" s="56"/>
      <c r="Y215" s="57"/>
      <c r="Z215" s="58">
        <f t="shared" si="4"/>
        <v>0</v>
      </c>
      <c r="AA215" s="56"/>
      <c r="AB215" s="56"/>
      <c r="AC215" s="56"/>
      <c r="AD215" s="23">
        <f>IFERROR((SUMIFS(COMPRAS_HILO!$H$4:$H$203,COMPRAS_HILO!$B$4:$B$203,A215))*F215/SUMIFS($F$4:$F$503,$A$4:$A$503,A215),0)</f>
        <v>0</v>
      </c>
      <c r="AE215" s="23">
        <f t="shared" si="5"/>
        <v>0</v>
      </c>
      <c r="AF215" s="23">
        <f t="shared" si="6"/>
        <v>0</v>
      </c>
      <c r="AG215" s="25">
        <f t="shared" si="7"/>
        <v>0</v>
      </c>
      <c r="AH215" s="25">
        <f t="shared" si="8"/>
        <v>0</v>
      </c>
      <c r="AI215" s="59"/>
    </row>
    <row r="216" ht="15.75" customHeight="1">
      <c r="A216" s="40"/>
      <c r="B216" s="33"/>
      <c r="C216" s="45" t="str">
        <f>IFERROR(VLOOKUP(B216,COLORES!$A$4:$B$52,2,FALSE()),"")</f>
        <v/>
      </c>
      <c r="D216" s="33"/>
      <c r="E216" s="46"/>
      <c r="F216" s="34"/>
      <c r="G216" s="33"/>
      <c r="H216" s="47"/>
      <c r="I216" s="47"/>
      <c r="J216" s="48">
        <f>IFERROR(VLOOKUP(VLOOKUP(A216,PROGRAMAS!$A$4:$G$103,7,FALSE()),PRECIOS_TEJEDURIA!$A$4:$B$22,2,FALSE()),0)</f>
        <v>0</v>
      </c>
      <c r="K216" s="49"/>
      <c r="L216" s="50"/>
      <c r="M216" s="51">
        <f t="shared" si="1"/>
        <v>0</v>
      </c>
      <c r="N216" s="49"/>
      <c r="O216" s="49"/>
      <c r="P216" s="49"/>
      <c r="Q216" s="52"/>
      <c r="R216" s="53"/>
      <c r="S216" s="53"/>
      <c r="T216" s="54"/>
      <c r="U216" s="19">
        <f t="shared" si="2"/>
        <v>0</v>
      </c>
      <c r="V216" s="20">
        <f t="shared" si="3"/>
        <v>0</v>
      </c>
      <c r="W216" s="55">
        <f t="array" ref="W216">IFERROR(INDEX(PRECIOS_TINTORERIA!$B$4:$U$15,MATCH(D216,PRECIOS_TINTORERIA!$A$4:$A$15,0),MATCH(VLOOKUP(A216,PROGRAMAS!$A$4:$G$103,7,FALSE()),PRECIOS_TINTORERIA!$B$3:$U$3,0)),0)</f>
        <v>0</v>
      </c>
      <c r="X216" s="56"/>
      <c r="Y216" s="57"/>
      <c r="Z216" s="58">
        <f t="shared" si="4"/>
        <v>0</v>
      </c>
      <c r="AA216" s="56"/>
      <c r="AB216" s="56"/>
      <c r="AC216" s="56"/>
      <c r="AD216" s="23">
        <f>IFERROR((SUMIFS(COMPRAS_HILO!$H$4:$H$203,COMPRAS_HILO!$B$4:$B$203,A216))*F216/SUMIFS($F$4:$F$503,$A$4:$A$503,A216),0)</f>
        <v>0</v>
      </c>
      <c r="AE216" s="23">
        <f t="shared" si="5"/>
        <v>0</v>
      </c>
      <c r="AF216" s="23">
        <f t="shared" si="6"/>
        <v>0</v>
      </c>
      <c r="AG216" s="25">
        <f t="shared" si="7"/>
        <v>0</v>
      </c>
      <c r="AH216" s="25">
        <f t="shared" si="8"/>
        <v>0</v>
      </c>
      <c r="AI216" s="59"/>
    </row>
    <row r="217" ht="15.75" customHeight="1">
      <c r="A217" s="40"/>
      <c r="B217" s="33"/>
      <c r="C217" s="45" t="str">
        <f>IFERROR(VLOOKUP(B217,COLORES!$A$4:$B$52,2,FALSE()),"")</f>
        <v/>
      </c>
      <c r="D217" s="33"/>
      <c r="E217" s="46"/>
      <c r="F217" s="34"/>
      <c r="G217" s="33"/>
      <c r="H217" s="47"/>
      <c r="I217" s="47"/>
      <c r="J217" s="48">
        <f>IFERROR(VLOOKUP(VLOOKUP(A217,PROGRAMAS!$A$4:$G$103,7,FALSE()),PRECIOS_TEJEDURIA!$A$4:$B$22,2,FALSE()),0)</f>
        <v>0</v>
      </c>
      <c r="K217" s="49"/>
      <c r="L217" s="50"/>
      <c r="M217" s="51">
        <f t="shared" si="1"/>
        <v>0</v>
      </c>
      <c r="N217" s="49"/>
      <c r="O217" s="49"/>
      <c r="P217" s="49"/>
      <c r="Q217" s="52"/>
      <c r="R217" s="53"/>
      <c r="S217" s="53"/>
      <c r="T217" s="54"/>
      <c r="U217" s="19">
        <f t="shared" si="2"/>
        <v>0</v>
      </c>
      <c r="V217" s="20">
        <f t="shared" si="3"/>
        <v>0</v>
      </c>
      <c r="W217" s="55">
        <f t="array" ref="W217">IFERROR(INDEX(PRECIOS_TINTORERIA!$B$4:$U$15,MATCH(D217,PRECIOS_TINTORERIA!$A$4:$A$15,0),MATCH(VLOOKUP(A217,PROGRAMAS!$A$4:$G$103,7,FALSE()),PRECIOS_TINTORERIA!$B$3:$U$3,0)),0)</f>
        <v>0</v>
      </c>
      <c r="X217" s="56"/>
      <c r="Y217" s="57"/>
      <c r="Z217" s="58">
        <f t="shared" si="4"/>
        <v>0</v>
      </c>
      <c r="AA217" s="56"/>
      <c r="AB217" s="56"/>
      <c r="AC217" s="56"/>
      <c r="AD217" s="23">
        <f>IFERROR((SUMIFS(COMPRAS_HILO!$H$4:$H$203,COMPRAS_HILO!$B$4:$B$203,A217))*F217/SUMIFS($F$4:$F$503,$A$4:$A$503,A217),0)</f>
        <v>0</v>
      </c>
      <c r="AE217" s="23">
        <f t="shared" si="5"/>
        <v>0</v>
      </c>
      <c r="AF217" s="23">
        <f t="shared" si="6"/>
        <v>0</v>
      </c>
      <c r="AG217" s="25">
        <f t="shared" si="7"/>
        <v>0</v>
      </c>
      <c r="AH217" s="25">
        <f t="shared" si="8"/>
        <v>0</v>
      </c>
      <c r="AI217" s="59"/>
    </row>
    <row r="218" ht="15.75" customHeight="1">
      <c r="A218" s="40"/>
      <c r="B218" s="33"/>
      <c r="C218" s="45" t="str">
        <f>IFERROR(VLOOKUP(B218,COLORES!$A$4:$B$52,2,FALSE()),"")</f>
        <v/>
      </c>
      <c r="D218" s="33"/>
      <c r="E218" s="46"/>
      <c r="F218" s="34"/>
      <c r="G218" s="33"/>
      <c r="H218" s="47"/>
      <c r="I218" s="47"/>
      <c r="J218" s="48">
        <f>IFERROR(VLOOKUP(VLOOKUP(A218,PROGRAMAS!$A$4:$G$103,7,FALSE()),PRECIOS_TEJEDURIA!$A$4:$B$22,2,FALSE()),0)</f>
        <v>0</v>
      </c>
      <c r="K218" s="49"/>
      <c r="L218" s="50"/>
      <c r="M218" s="51">
        <f t="shared" si="1"/>
        <v>0</v>
      </c>
      <c r="N218" s="49"/>
      <c r="O218" s="49"/>
      <c r="P218" s="49"/>
      <c r="Q218" s="52"/>
      <c r="R218" s="53"/>
      <c r="S218" s="53"/>
      <c r="T218" s="54"/>
      <c r="U218" s="19">
        <f t="shared" si="2"/>
        <v>0</v>
      </c>
      <c r="V218" s="20">
        <f t="shared" si="3"/>
        <v>0</v>
      </c>
      <c r="W218" s="55">
        <f t="array" ref="W218">IFERROR(INDEX(PRECIOS_TINTORERIA!$B$4:$U$15,MATCH(D218,PRECIOS_TINTORERIA!$A$4:$A$15,0),MATCH(VLOOKUP(A218,PROGRAMAS!$A$4:$G$103,7,FALSE()),PRECIOS_TINTORERIA!$B$3:$U$3,0)),0)</f>
        <v>0</v>
      </c>
      <c r="X218" s="56"/>
      <c r="Y218" s="57"/>
      <c r="Z218" s="58">
        <f t="shared" si="4"/>
        <v>0</v>
      </c>
      <c r="AA218" s="56"/>
      <c r="AB218" s="56"/>
      <c r="AC218" s="56"/>
      <c r="AD218" s="23">
        <f>IFERROR((SUMIFS(COMPRAS_HILO!$H$4:$H$203,COMPRAS_HILO!$B$4:$B$203,A218))*F218/SUMIFS($F$4:$F$503,$A$4:$A$503,A218),0)</f>
        <v>0</v>
      </c>
      <c r="AE218" s="23">
        <f t="shared" si="5"/>
        <v>0</v>
      </c>
      <c r="AF218" s="23">
        <f t="shared" si="6"/>
        <v>0</v>
      </c>
      <c r="AG218" s="25">
        <f t="shared" si="7"/>
        <v>0</v>
      </c>
      <c r="AH218" s="25">
        <f t="shared" si="8"/>
        <v>0</v>
      </c>
      <c r="AI218" s="59"/>
    </row>
    <row r="219" ht="15.75" customHeight="1">
      <c r="A219" s="40"/>
      <c r="B219" s="33"/>
      <c r="C219" s="45" t="str">
        <f>IFERROR(VLOOKUP(B219,COLORES!$A$4:$B$52,2,FALSE()),"")</f>
        <v/>
      </c>
      <c r="D219" s="33"/>
      <c r="E219" s="46"/>
      <c r="F219" s="34"/>
      <c r="G219" s="33"/>
      <c r="H219" s="47"/>
      <c r="I219" s="47"/>
      <c r="J219" s="48">
        <f>IFERROR(VLOOKUP(VLOOKUP(A219,PROGRAMAS!$A$4:$G$103,7,FALSE()),PRECIOS_TEJEDURIA!$A$4:$B$22,2,FALSE()),0)</f>
        <v>0</v>
      </c>
      <c r="K219" s="49"/>
      <c r="L219" s="50"/>
      <c r="M219" s="51">
        <f t="shared" si="1"/>
        <v>0</v>
      </c>
      <c r="N219" s="49"/>
      <c r="O219" s="49"/>
      <c r="P219" s="49"/>
      <c r="Q219" s="52"/>
      <c r="R219" s="53"/>
      <c r="S219" s="53"/>
      <c r="T219" s="54"/>
      <c r="U219" s="19">
        <f t="shared" si="2"/>
        <v>0</v>
      </c>
      <c r="V219" s="20">
        <f t="shared" si="3"/>
        <v>0</v>
      </c>
      <c r="W219" s="55">
        <f t="array" ref="W219">IFERROR(INDEX(PRECIOS_TINTORERIA!$B$4:$U$15,MATCH(D219,PRECIOS_TINTORERIA!$A$4:$A$15,0),MATCH(VLOOKUP(A219,PROGRAMAS!$A$4:$G$103,7,FALSE()),PRECIOS_TINTORERIA!$B$3:$U$3,0)),0)</f>
        <v>0</v>
      </c>
      <c r="X219" s="56"/>
      <c r="Y219" s="57"/>
      <c r="Z219" s="58">
        <f t="shared" si="4"/>
        <v>0</v>
      </c>
      <c r="AA219" s="56"/>
      <c r="AB219" s="56"/>
      <c r="AC219" s="56"/>
      <c r="AD219" s="23">
        <f>IFERROR((SUMIFS(COMPRAS_HILO!$H$4:$H$203,COMPRAS_HILO!$B$4:$B$203,A219))*F219/SUMIFS($F$4:$F$503,$A$4:$A$503,A219),0)</f>
        <v>0</v>
      </c>
      <c r="AE219" s="23">
        <f t="shared" si="5"/>
        <v>0</v>
      </c>
      <c r="AF219" s="23">
        <f t="shared" si="6"/>
        <v>0</v>
      </c>
      <c r="AG219" s="25">
        <f t="shared" si="7"/>
        <v>0</v>
      </c>
      <c r="AH219" s="25">
        <f t="shared" si="8"/>
        <v>0</v>
      </c>
      <c r="AI219" s="59"/>
    </row>
    <row r="220" ht="15.75" customHeight="1">
      <c r="A220" s="40"/>
      <c r="B220" s="33"/>
      <c r="C220" s="45" t="str">
        <f>IFERROR(VLOOKUP(B220,COLORES!$A$4:$B$52,2,FALSE()),"")</f>
        <v/>
      </c>
      <c r="D220" s="33"/>
      <c r="E220" s="46"/>
      <c r="F220" s="34"/>
      <c r="G220" s="33"/>
      <c r="H220" s="47"/>
      <c r="I220" s="47"/>
      <c r="J220" s="48">
        <f>IFERROR(VLOOKUP(VLOOKUP(A220,PROGRAMAS!$A$4:$G$103,7,FALSE()),PRECIOS_TEJEDURIA!$A$4:$B$22,2,FALSE()),0)</f>
        <v>0</v>
      </c>
      <c r="K220" s="49"/>
      <c r="L220" s="50"/>
      <c r="M220" s="51">
        <f t="shared" si="1"/>
        <v>0</v>
      </c>
      <c r="N220" s="49"/>
      <c r="O220" s="49"/>
      <c r="P220" s="49"/>
      <c r="Q220" s="52"/>
      <c r="R220" s="53"/>
      <c r="S220" s="53"/>
      <c r="T220" s="54"/>
      <c r="U220" s="19">
        <f t="shared" si="2"/>
        <v>0</v>
      </c>
      <c r="V220" s="20">
        <f t="shared" si="3"/>
        <v>0</v>
      </c>
      <c r="W220" s="55">
        <f t="array" ref="W220">IFERROR(INDEX(PRECIOS_TINTORERIA!$B$4:$U$15,MATCH(D220,PRECIOS_TINTORERIA!$A$4:$A$15,0),MATCH(VLOOKUP(A220,PROGRAMAS!$A$4:$G$103,7,FALSE()),PRECIOS_TINTORERIA!$B$3:$U$3,0)),0)</f>
        <v>0</v>
      </c>
      <c r="X220" s="56"/>
      <c r="Y220" s="57"/>
      <c r="Z220" s="58">
        <f t="shared" si="4"/>
        <v>0</v>
      </c>
      <c r="AA220" s="56"/>
      <c r="AB220" s="56"/>
      <c r="AC220" s="56"/>
      <c r="AD220" s="23">
        <f>IFERROR((SUMIFS(COMPRAS_HILO!$H$4:$H$203,COMPRAS_HILO!$B$4:$B$203,A220))*F220/SUMIFS($F$4:$F$503,$A$4:$A$503,A220),0)</f>
        <v>0</v>
      </c>
      <c r="AE220" s="23">
        <f t="shared" si="5"/>
        <v>0</v>
      </c>
      <c r="AF220" s="23">
        <f t="shared" si="6"/>
        <v>0</v>
      </c>
      <c r="AG220" s="25">
        <f t="shared" si="7"/>
        <v>0</v>
      </c>
      <c r="AH220" s="25">
        <f t="shared" si="8"/>
        <v>0</v>
      </c>
      <c r="AI220" s="59"/>
    </row>
    <row r="221" ht="15.75" customHeight="1">
      <c r="A221" s="40"/>
      <c r="B221" s="33"/>
      <c r="C221" s="45" t="str">
        <f>IFERROR(VLOOKUP(B221,COLORES!$A$4:$B$52,2,FALSE()),"")</f>
        <v/>
      </c>
      <c r="D221" s="33"/>
      <c r="E221" s="46"/>
      <c r="F221" s="34"/>
      <c r="G221" s="33"/>
      <c r="H221" s="47"/>
      <c r="I221" s="47"/>
      <c r="J221" s="48">
        <f>IFERROR(VLOOKUP(VLOOKUP(A221,PROGRAMAS!$A$4:$G$103,7,FALSE()),PRECIOS_TEJEDURIA!$A$4:$B$22,2,FALSE()),0)</f>
        <v>0</v>
      </c>
      <c r="K221" s="49"/>
      <c r="L221" s="50"/>
      <c r="M221" s="51">
        <f t="shared" si="1"/>
        <v>0</v>
      </c>
      <c r="N221" s="49"/>
      <c r="O221" s="49"/>
      <c r="P221" s="49"/>
      <c r="Q221" s="52"/>
      <c r="R221" s="53"/>
      <c r="S221" s="53"/>
      <c r="T221" s="54"/>
      <c r="U221" s="19">
        <f t="shared" si="2"/>
        <v>0</v>
      </c>
      <c r="V221" s="20">
        <f t="shared" si="3"/>
        <v>0</v>
      </c>
      <c r="W221" s="55">
        <f t="array" ref="W221">IFERROR(INDEX(PRECIOS_TINTORERIA!$B$4:$U$15,MATCH(D221,PRECIOS_TINTORERIA!$A$4:$A$15,0),MATCH(VLOOKUP(A221,PROGRAMAS!$A$4:$G$103,7,FALSE()),PRECIOS_TINTORERIA!$B$3:$U$3,0)),0)</f>
        <v>0</v>
      </c>
      <c r="X221" s="56"/>
      <c r="Y221" s="57"/>
      <c r="Z221" s="58">
        <f t="shared" si="4"/>
        <v>0</v>
      </c>
      <c r="AA221" s="56"/>
      <c r="AB221" s="56"/>
      <c r="AC221" s="56"/>
      <c r="AD221" s="23">
        <f>IFERROR((SUMIFS(COMPRAS_HILO!$H$4:$H$203,COMPRAS_HILO!$B$4:$B$203,A221))*F221/SUMIFS($F$4:$F$503,$A$4:$A$503,A221),0)</f>
        <v>0</v>
      </c>
      <c r="AE221" s="23">
        <f t="shared" si="5"/>
        <v>0</v>
      </c>
      <c r="AF221" s="23">
        <f t="shared" si="6"/>
        <v>0</v>
      </c>
      <c r="AG221" s="25">
        <f t="shared" si="7"/>
        <v>0</v>
      </c>
      <c r="AH221" s="25">
        <f t="shared" si="8"/>
        <v>0</v>
      </c>
      <c r="AI221" s="59"/>
    </row>
    <row r="222" ht="15.75" customHeight="1">
      <c r="A222" s="40"/>
      <c r="B222" s="33"/>
      <c r="C222" s="45" t="str">
        <f>IFERROR(VLOOKUP(B222,COLORES!$A$4:$B$52,2,FALSE()),"")</f>
        <v/>
      </c>
      <c r="D222" s="33"/>
      <c r="E222" s="46"/>
      <c r="F222" s="34"/>
      <c r="G222" s="33"/>
      <c r="H222" s="47"/>
      <c r="I222" s="47"/>
      <c r="J222" s="48">
        <f>IFERROR(VLOOKUP(VLOOKUP(A222,PROGRAMAS!$A$4:$G$103,7,FALSE()),PRECIOS_TEJEDURIA!$A$4:$B$22,2,FALSE()),0)</f>
        <v>0</v>
      </c>
      <c r="K222" s="49"/>
      <c r="L222" s="50"/>
      <c r="M222" s="51">
        <f t="shared" si="1"/>
        <v>0</v>
      </c>
      <c r="N222" s="49"/>
      <c r="O222" s="49"/>
      <c r="P222" s="49"/>
      <c r="Q222" s="52"/>
      <c r="R222" s="53"/>
      <c r="S222" s="53"/>
      <c r="T222" s="54"/>
      <c r="U222" s="19">
        <f t="shared" si="2"/>
        <v>0</v>
      </c>
      <c r="V222" s="20">
        <f t="shared" si="3"/>
        <v>0</v>
      </c>
      <c r="W222" s="55">
        <f t="array" ref="W222">IFERROR(INDEX(PRECIOS_TINTORERIA!$B$4:$U$15,MATCH(D222,PRECIOS_TINTORERIA!$A$4:$A$15,0),MATCH(VLOOKUP(A222,PROGRAMAS!$A$4:$G$103,7,FALSE()),PRECIOS_TINTORERIA!$B$3:$U$3,0)),0)</f>
        <v>0</v>
      </c>
      <c r="X222" s="56"/>
      <c r="Y222" s="57"/>
      <c r="Z222" s="58">
        <f t="shared" si="4"/>
        <v>0</v>
      </c>
      <c r="AA222" s="56"/>
      <c r="AB222" s="56"/>
      <c r="AC222" s="56"/>
      <c r="AD222" s="23">
        <f>IFERROR((SUMIFS(COMPRAS_HILO!$H$4:$H$203,COMPRAS_HILO!$B$4:$B$203,A222))*F222/SUMIFS($F$4:$F$503,$A$4:$A$503,A222),0)</f>
        <v>0</v>
      </c>
      <c r="AE222" s="23">
        <f t="shared" si="5"/>
        <v>0</v>
      </c>
      <c r="AF222" s="23">
        <f t="shared" si="6"/>
        <v>0</v>
      </c>
      <c r="AG222" s="25">
        <f t="shared" si="7"/>
        <v>0</v>
      </c>
      <c r="AH222" s="25">
        <f t="shared" si="8"/>
        <v>0</v>
      </c>
      <c r="AI222" s="59"/>
    </row>
    <row r="223" ht="15.75" customHeight="1">
      <c r="A223" s="40"/>
      <c r="B223" s="33"/>
      <c r="C223" s="45" t="str">
        <f>IFERROR(VLOOKUP(B223,COLORES!$A$4:$B$52,2,FALSE()),"")</f>
        <v/>
      </c>
      <c r="D223" s="33"/>
      <c r="E223" s="46"/>
      <c r="F223" s="34"/>
      <c r="G223" s="33"/>
      <c r="H223" s="47"/>
      <c r="I223" s="47"/>
      <c r="J223" s="48">
        <f>IFERROR(VLOOKUP(VLOOKUP(A223,PROGRAMAS!$A$4:$G$103,7,FALSE()),PRECIOS_TEJEDURIA!$A$4:$B$22,2,FALSE()),0)</f>
        <v>0</v>
      </c>
      <c r="K223" s="49"/>
      <c r="L223" s="50"/>
      <c r="M223" s="51">
        <f t="shared" si="1"/>
        <v>0</v>
      </c>
      <c r="N223" s="49"/>
      <c r="O223" s="49"/>
      <c r="P223" s="49"/>
      <c r="Q223" s="52"/>
      <c r="R223" s="53"/>
      <c r="S223" s="53"/>
      <c r="T223" s="54"/>
      <c r="U223" s="19">
        <f t="shared" si="2"/>
        <v>0</v>
      </c>
      <c r="V223" s="20">
        <f t="shared" si="3"/>
        <v>0</v>
      </c>
      <c r="W223" s="55">
        <f t="array" ref="W223">IFERROR(INDEX(PRECIOS_TINTORERIA!$B$4:$U$15,MATCH(D223,PRECIOS_TINTORERIA!$A$4:$A$15,0),MATCH(VLOOKUP(A223,PROGRAMAS!$A$4:$G$103,7,FALSE()),PRECIOS_TINTORERIA!$B$3:$U$3,0)),0)</f>
        <v>0</v>
      </c>
      <c r="X223" s="56"/>
      <c r="Y223" s="57"/>
      <c r="Z223" s="58">
        <f t="shared" si="4"/>
        <v>0</v>
      </c>
      <c r="AA223" s="56"/>
      <c r="AB223" s="56"/>
      <c r="AC223" s="56"/>
      <c r="AD223" s="23">
        <f>IFERROR((SUMIFS(COMPRAS_HILO!$H$4:$H$203,COMPRAS_HILO!$B$4:$B$203,A223))*F223/SUMIFS($F$4:$F$503,$A$4:$A$503,A223),0)</f>
        <v>0</v>
      </c>
      <c r="AE223" s="23">
        <f t="shared" si="5"/>
        <v>0</v>
      </c>
      <c r="AF223" s="23">
        <f t="shared" si="6"/>
        <v>0</v>
      </c>
      <c r="AG223" s="25">
        <f t="shared" si="7"/>
        <v>0</v>
      </c>
      <c r="AH223" s="25">
        <f t="shared" si="8"/>
        <v>0</v>
      </c>
      <c r="AI223" s="59"/>
    </row>
    <row r="224" ht="15.75" customHeight="1">
      <c r="A224" s="40"/>
      <c r="B224" s="33"/>
      <c r="C224" s="45" t="str">
        <f>IFERROR(VLOOKUP(B224,COLORES!$A$4:$B$52,2,FALSE()),"")</f>
        <v/>
      </c>
      <c r="D224" s="33"/>
      <c r="E224" s="46"/>
      <c r="F224" s="34"/>
      <c r="G224" s="33"/>
      <c r="H224" s="47"/>
      <c r="I224" s="47"/>
      <c r="J224" s="48">
        <f>IFERROR(VLOOKUP(VLOOKUP(A224,PROGRAMAS!$A$4:$G$103,7,FALSE()),PRECIOS_TEJEDURIA!$A$4:$B$22,2,FALSE()),0)</f>
        <v>0</v>
      </c>
      <c r="K224" s="49"/>
      <c r="L224" s="50"/>
      <c r="M224" s="51">
        <f t="shared" si="1"/>
        <v>0</v>
      </c>
      <c r="N224" s="49"/>
      <c r="O224" s="49"/>
      <c r="P224" s="49"/>
      <c r="Q224" s="52"/>
      <c r="R224" s="53"/>
      <c r="S224" s="53"/>
      <c r="T224" s="54"/>
      <c r="U224" s="19">
        <f t="shared" si="2"/>
        <v>0</v>
      </c>
      <c r="V224" s="20">
        <f t="shared" si="3"/>
        <v>0</v>
      </c>
      <c r="W224" s="55">
        <f t="array" ref="W224">IFERROR(INDEX(PRECIOS_TINTORERIA!$B$4:$U$15,MATCH(D224,PRECIOS_TINTORERIA!$A$4:$A$15,0),MATCH(VLOOKUP(A224,PROGRAMAS!$A$4:$G$103,7,FALSE()),PRECIOS_TINTORERIA!$B$3:$U$3,0)),0)</f>
        <v>0</v>
      </c>
      <c r="X224" s="56"/>
      <c r="Y224" s="57"/>
      <c r="Z224" s="58">
        <f t="shared" si="4"/>
        <v>0</v>
      </c>
      <c r="AA224" s="56"/>
      <c r="AB224" s="56"/>
      <c r="AC224" s="56"/>
      <c r="AD224" s="23">
        <f>IFERROR((SUMIFS(COMPRAS_HILO!$H$4:$H$203,COMPRAS_HILO!$B$4:$B$203,A224))*F224/SUMIFS($F$4:$F$503,$A$4:$A$503,A224),0)</f>
        <v>0</v>
      </c>
      <c r="AE224" s="23">
        <f t="shared" si="5"/>
        <v>0</v>
      </c>
      <c r="AF224" s="23">
        <f t="shared" si="6"/>
        <v>0</v>
      </c>
      <c r="AG224" s="25">
        <f t="shared" si="7"/>
        <v>0</v>
      </c>
      <c r="AH224" s="25">
        <f t="shared" si="8"/>
        <v>0</v>
      </c>
      <c r="AI224" s="59"/>
    </row>
    <row r="225" ht="15.75" customHeight="1">
      <c r="A225" s="40"/>
      <c r="B225" s="33"/>
      <c r="C225" s="45" t="str">
        <f>IFERROR(VLOOKUP(B225,COLORES!$A$4:$B$52,2,FALSE()),"")</f>
        <v/>
      </c>
      <c r="D225" s="33"/>
      <c r="E225" s="46"/>
      <c r="F225" s="34"/>
      <c r="G225" s="33"/>
      <c r="H225" s="47"/>
      <c r="I225" s="47"/>
      <c r="J225" s="48">
        <f>IFERROR(VLOOKUP(VLOOKUP(A225,PROGRAMAS!$A$4:$G$103,7,FALSE()),PRECIOS_TEJEDURIA!$A$4:$B$22,2,FALSE()),0)</f>
        <v>0</v>
      </c>
      <c r="K225" s="49"/>
      <c r="L225" s="50"/>
      <c r="M225" s="51">
        <f t="shared" si="1"/>
        <v>0</v>
      </c>
      <c r="N225" s="49"/>
      <c r="O225" s="49"/>
      <c r="P225" s="49"/>
      <c r="Q225" s="52"/>
      <c r="R225" s="53"/>
      <c r="S225" s="53"/>
      <c r="T225" s="54"/>
      <c r="U225" s="19">
        <f t="shared" si="2"/>
        <v>0</v>
      </c>
      <c r="V225" s="20">
        <f t="shared" si="3"/>
        <v>0</v>
      </c>
      <c r="W225" s="55">
        <f t="array" ref="W225">IFERROR(INDEX(PRECIOS_TINTORERIA!$B$4:$U$15,MATCH(D225,PRECIOS_TINTORERIA!$A$4:$A$15,0),MATCH(VLOOKUP(A225,PROGRAMAS!$A$4:$G$103,7,FALSE()),PRECIOS_TINTORERIA!$B$3:$U$3,0)),0)</f>
        <v>0</v>
      </c>
      <c r="X225" s="56"/>
      <c r="Y225" s="57"/>
      <c r="Z225" s="58">
        <f t="shared" si="4"/>
        <v>0</v>
      </c>
      <c r="AA225" s="56"/>
      <c r="AB225" s="56"/>
      <c r="AC225" s="56"/>
      <c r="AD225" s="23">
        <f>IFERROR((SUMIFS(COMPRAS_HILO!$H$4:$H$203,COMPRAS_HILO!$B$4:$B$203,A225))*F225/SUMIFS($F$4:$F$503,$A$4:$A$503,A225),0)</f>
        <v>0</v>
      </c>
      <c r="AE225" s="23">
        <f t="shared" si="5"/>
        <v>0</v>
      </c>
      <c r="AF225" s="23">
        <f t="shared" si="6"/>
        <v>0</v>
      </c>
      <c r="AG225" s="25">
        <f t="shared" si="7"/>
        <v>0</v>
      </c>
      <c r="AH225" s="25">
        <f t="shared" si="8"/>
        <v>0</v>
      </c>
      <c r="AI225" s="59"/>
    </row>
    <row r="226" ht="15.75" customHeight="1">
      <c r="A226" s="40"/>
      <c r="B226" s="33"/>
      <c r="C226" s="45" t="str">
        <f>IFERROR(VLOOKUP(B226,COLORES!$A$4:$B$52,2,FALSE()),"")</f>
        <v/>
      </c>
      <c r="D226" s="33"/>
      <c r="E226" s="46"/>
      <c r="F226" s="34"/>
      <c r="G226" s="33"/>
      <c r="H226" s="47"/>
      <c r="I226" s="47"/>
      <c r="J226" s="48">
        <f>IFERROR(VLOOKUP(VLOOKUP(A226,PROGRAMAS!$A$4:$G$103,7,FALSE()),PRECIOS_TEJEDURIA!$A$4:$B$22,2,FALSE()),0)</f>
        <v>0</v>
      </c>
      <c r="K226" s="49"/>
      <c r="L226" s="50"/>
      <c r="M226" s="51">
        <f t="shared" si="1"/>
        <v>0</v>
      </c>
      <c r="N226" s="49"/>
      <c r="O226" s="49"/>
      <c r="P226" s="49"/>
      <c r="Q226" s="52"/>
      <c r="R226" s="53"/>
      <c r="S226" s="53"/>
      <c r="T226" s="54"/>
      <c r="U226" s="19">
        <f t="shared" si="2"/>
        <v>0</v>
      </c>
      <c r="V226" s="20">
        <f t="shared" si="3"/>
        <v>0</v>
      </c>
      <c r="W226" s="55">
        <f t="array" ref="W226">IFERROR(INDEX(PRECIOS_TINTORERIA!$B$4:$U$15,MATCH(D226,PRECIOS_TINTORERIA!$A$4:$A$15,0),MATCH(VLOOKUP(A226,PROGRAMAS!$A$4:$G$103,7,FALSE()),PRECIOS_TINTORERIA!$B$3:$U$3,0)),0)</f>
        <v>0</v>
      </c>
      <c r="X226" s="56"/>
      <c r="Y226" s="57"/>
      <c r="Z226" s="58">
        <f t="shared" si="4"/>
        <v>0</v>
      </c>
      <c r="AA226" s="56"/>
      <c r="AB226" s="56"/>
      <c r="AC226" s="56"/>
      <c r="AD226" s="23">
        <f>IFERROR((SUMIFS(COMPRAS_HILO!$H$4:$H$203,COMPRAS_HILO!$B$4:$B$203,A226))*F226/SUMIFS($F$4:$F$503,$A$4:$A$503,A226),0)</f>
        <v>0</v>
      </c>
      <c r="AE226" s="23">
        <f t="shared" si="5"/>
        <v>0</v>
      </c>
      <c r="AF226" s="23">
        <f t="shared" si="6"/>
        <v>0</v>
      </c>
      <c r="AG226" s="25">
        <f t="shared" si="7"/>
        <v>0</v>
      </c>
      <c r="AH226" s="25">
        <f t="shared" si="8"/>
        <v>0</v>
      </c>
      <c r="AI226" s="59"/>
    </row>
    <row r="227" ht="15.75" customHeight="1">
      <c r="A227" s="40"/>
      <c r="B227" s="33"/>
      <c r="C227" s="45" t="str">
        <f>IFERROR(VLOOKUP(B227,COLORES!$A$4:$B$52,2,FALSE()),"")</f>
        <v/>
      </c>
      <c r="D227" s="33"/>
      <c r="E227" s="46"/>
      <c r="F227" s="34"/>
      <c r="G227" s="33"/>
      <c r="H227" s="47"/>
      <c r="I227" s="47"/>
      <c r="J227" s="48">
        <f>IFERROR(VLOOKUP(VLOOKUP(A227,PROGRAMAS!$A$4:$G$103,7,FALSE()),PRECIOS_TEJEDURIA!$A$4:$B$22,2,FALSE()),0)</f>
        <v>0</v>
      </c>
      <c r="K227" s="49"/>
      <c r="L227" s="50"/>
      <c r="M227" s="51">
        <f t="shared" si="1"/>
        <v>0</v>
      </c>
      <c r="N227" s="49"/>
      <c r="O227" s="49"/>
      <c r="P227" s="49"/>
      <c r="Q227" s="52"/>
      <c r="R227" s="53"/>
      <c r="S227" s="53"/>
      <c r="T227" s="54"/>
      <c r="U227" s="19">
        <f t="shared" si="2"/>
        <v>0</v>
      </c>
      <c r="V227" s="20">
        <f t="shared" si="3"/>
        <v>0</v>
      </c>
      <c r="W227" s="55">
        <f t="array" ref="W227">IFERROR(INDEX(PRECIOS_TINTORERIA!$B$4:$U$15,MATCH(D227,PRECIOS_TINTORERIA!$A$4:$A$15,0),MATCH(VLOOKUP(A227,PROGRAMAS!$A$4:$G$103,7,FALSE()),PRECIOS_TINTORERIA!$B$3:$U$3,0)),0)</f>
        <v>0</v>
      </c>
      <c r="X227" s="56"/>
      <c r="Y227" s="57"/>
      <c r="Z227" s="58">
        <f t="shared" si="4"/>
        <v>0</v>
      </c>
      <c r="AA227" s="56"/>
      <c r="AB227" s="56"/>
      <c r="AC227" s="56"/>
      <c r="AD227" s="23">
        <f>IFERROR((SUMIFS(COMPRAS_HILO!$H$4:$H$203,COMPRAS_HILO!$B$4:$B$203,A227))*F227/SUMIFS($F$4:$F$503,$A$4:$A$503,A227),0)</f>
        <v>0</v>
      </c>
      <c r="AE227" s="23">
        <f t="shared" si="5"/>
        <v>0</v>
      </c>
      <c r="AF227" s="23">
        <f t="shared" si="6"/>
        <v>0</v>
      </c>
      <c r="AG227" s="25">
        <f t="shared" si="7"/>
        <v>0</v>
      </c>
      <c r="AH227" s="25">
        <f t="shared" si="8"/>
        <v>0</v>
      </c>
      <c r="AI227" s="59"/>
    </row>
    <row r="228" ht="15.75" customHeight="1">
      <c r="A228" s="40"/>
      <c r="B228" s="33"/>
      <c r="C228" s="45" t="str">
        <f>IFERROR(VLOOKUP(B228,COLORES!$A$4:$B$52,2,FALSE()),"")</f>
        <v/>
      </c>
      <c r="D228" s="33"/>
      <c r="E228" s="46"/>
      <c r="F228" s="34"/>
      <c r="G228" s="33"/>
      <c r="H228" s="47"/>
      <c r="I228" s="47"/>
      <c r="J228" s="48">
        <f>IFERROR(VLOOKUP(VLOOKUP(A228,PROGRAMAS!$A$4:$G$103,7,FALSE()),PRECIOS_TEJEDURIA!$A$4:$B$22,2,FALSE()),0)</f>
        <v>0</v>
      </c>
      <c r="K228" s="49"/>
      <c r="L228" s="50"/>
      <c r="M228" s="51">
        <f t="shared" si="1"/>
        <v>0</v>
      </c>
      <c r="N228" s="49"/>
      <c r="O228" s="49"/>
      <c r="P228" s="49"/>
      <c r="Q228" s="52"/>
      <c r="R228" s="53"/>
      <c r="S228" s="53"/>
      <c r="T228" s="54"/>
      <c r="U228" s="19">
        <f t="shared" si="2"/>
        <v>0</v>
      </c>
      <c r="V228" s="20">
        <f t="shared" si="3"/>
        <v>0</v>
      </c>
      <c r="W228" s="55">
        <f t="array" ref="W228">IFERROR(INDEX(PRECIOS_TINTORERIA!$B$4:$U$15,MATCH(D228,PRECIOS_TINTORERIA!$A$4:$A$15,0),MATCH(VLOOKUP(A228,PROGRAMAS!$A$4:$G$103,7,FALSE()),PRECIOS_TINTORERIA!$B$3:$U$3,0)),0)</f>
        <v>0</v>
      </c>
      <c r="X228" s="56"/>
      <c r="Y228" s="57"/>
      <c r="Z228" s="58">
        <f t="shared" si="4"/>
        <v>0</v>
      </c>
      <c r="AA228" s="56"/>
      <c r="AB228" s="56"/>
      <c r="AC228" s="56"/>
      <c r="AD228" s="23">
        <f>IFERROR((SUMIFS(COMPRAS_HILO!$H$4:$H$203,COMPRAS_HILO!$B$4:$B$203,A228))*F228/SUMIFS($F$4:$F$503,$A$4:$A$503,A228),0)</f>
        <v>0</v>
      </c>
      <c r="AE228" s="23">
        <f t="shared" si="5"/>
        <v>0</v>
      </c>
      <c r="AF228" s="23">
        <f t="shared" si="6"/>
        <v>0</v>
      </c>
      <c r="AG228" s="25">
        <f t="shared" si="7"/>
        <v>0</v>
      </c>
      <c r="AH228" s="25">
        <f t="shared" si="8"/>
        <v>0</v>
      </c>
      <c r="AI228" s="59"/>
    </row>
    <row r="229" ht="15.75" customHeight="1">
      <c r="A229" s="40"/>
      <c r="B229" s="33"/>
      <c r="C229" s="45" t="str">
        <f>IFERROR(VLOOKUP(B229,COLORES!$A$4:$B$52,2,FALSE()),"")</f>
        <v/>
      </c>
      <c r="D229" s="33"/>
      <c r="E229" s="46"/>
      <c r="F229" s="34"/>
      <c r="G229" s="33"/>
      <c r="H229" s="47"/>
      <c r="I229" s="47"/>
      <c r="J229" s="48">
        <f>IFERROR(VLOOKUP(VLOOKUP(A229,PROGRAMAS!$A$4:$G$103,7,FALSE()),PRECIOS_TEJEDURIA!$A$4:$B$22,2,FALSE()),0)</f>
        <v>0</v>
      </c>
      <c r="K229" s="49"/>
      <c r="L229" s="50"/>
      <c r="M229" s="51">
        <f t="shared" si="1"/>
        <v>0</v>
      </c>
      <c r="N229" s="49"/>
      <c r="O229" s="49"/>
      <c r="P229" s="49"/>
      <c r="Q229" s="52"/>
      <c r="R229" s="53"/>
      <c r="S229" s="53"/>
      <c r="T229" s="54"/>
      <c r="U229" s="19">
        <f t="shared" si="2"/>
        <v>0</v>
      </c>
      <c r="V229" s="20">
        <f t="shared" si="3"/>
        <v>0</v>
      </c>
      <c r="W229" s="55">
        <f t="array" ref="W229">IFERROR(INDEX(PRECIOS_TINTORERIA!$B$4:$U$15,MATCH(D229,PRECIOS_TINTORERIA!$A$4:$A$15,0),MATCH(VLOOKUP(A229,PROGRAMAS!$A$4:$G$103,7,FALSE()),PRECIOS_TINTORERIA!$B$3:$U$3,0)),0)</f>
        <v>0</v>
      </c>
      <c r="X229" s="56"/>
      <c r="Y229" s="57"/>
      <c r="Z229" s="58">
        <f t="shared" si="4"/>
        <v>0</v>
      </c>
      <c r="AA229" s="56"/>
      <c r="AB229" s="56"/>
      <c r="AC229" s="56"/>
      <c r="AD229" s="23">
        <f>IFERROR((SUMIFS(COMPRAS_HILO!$H$4:$H$203,COMPRAS_HILO!$B$4:$B$203,A229))*F229/SUMIFS($F$4:$F$503,$A$4:$A$503,A229),0)</f>
        <v>0</v>
      </c>
      <c r="AE229" s="23">
        <f t="shared" si="5"/>
        <v>0</v>
      </c>
      <c r="AF229" s="23">
        <f t="shared" si="6"/>
        <v>0</v>
      </c>
      <c r="AG229" s="25">
        <f t="shared" si="7"/>
        <v>0</v>
      </c>
      <c r="AH229" s="25">
        <f t="shared" si="8"/>
        <v>0</v>
      </c>
      <c r="AI229" s="59"/>
    </row>
    <row r="230" ht="15.75" customHeight="1">
      <c r="A230" s="40"/>
      <c r="B230" s="33"/>
      <c r="C230" s="45" t="str">
        <f>IFERROR(VLOOKUP(B230,COLORES!$A$4:$B$52,2,FALSE()),"")</f>
        <v/>
      </c>
      <c r="D230" s="33"/>
      <c r="E230" s="46"/>
      <c r="F230" s="34"/>
      <c r="G230" s="33"/>
      <c r="H230" s="47"/>
      <c r="I230" s="47"/>
      <c r="J230" s="48">
        <f>IFERROR(VLOOKUP(VLOOKUP(A230,PROGRAMAS!$A$4:$G$103,7,FALSE()),PRECIOS_TEJEDURIA!$A$4:$B$22,2,FALSE()),0)</f>
        <v>0</v>
      </c>
      <c r="K230" s="49"/>
      <c r="L230" s="50"/>
      <c r="M230" s="51">
        <f t="shared" si="1"/>
        <v>0</v>
      </c>
      <c r="N230" s="49"/>
      <c r="O230" s="49"/>
      <c r="P230" s="49"/>
      <c r="Q230" s="52"/>
      <c r="R230" s="53"/>
      <c r="S230" s="53"/>
      <c r="T230" s="54"/>
      <c r="U230" s="19">
        <f t="shared" si="2"/>
        <v>0</v>
      </c>
      <c r="V230" s="20">
        <f t="shared" si="3"/>
        <v>0</v>
      </c>
      <c r="W230" s="55">
        <f t="array" ref="W230">IFERROR(INDEX(PRECIOS_TINTORERIA!$B$4:$U$15,MATCH(D230,PRECIOS_TINTORERIA!$A$4:$A$15,0),MATCH(VLOOKUP(A230,PROGRAMAS!$A$4:$G$103,7,FALSE()),PRECIOS_TINTORERIA!$B$3:$U$3,0)),0)</f>
        <v>0</v>
      </c>
      <c r="X230" s="56"/>
      <c r="Y230" s="57"/>
      <c r="Z230" s="58">
        <f t="shared" si="4"/>
        <v>0</v>
      </c>
      <c r="AA230" s="56"/>
      <c r="AB230" s="56"/>
      <c r="AC230" s="56"/>
      <c r="AD230" s="23">
        <f>IFERROR((SUMIFS(COMPRAS_HILO!$H$4:$H$203,COMPRAS_HILO!$B$4:$B$203,A230))*F230/SUMIFS($F$4:$F$503,$A$4:$A$503,A230),0)</f>
        <v>0</v>
      </c>
      <c r="AE230" s="23">
        <f t="shared" si="5"/>
        <v>0</v>
      </c>
      <c r="AF230" s="23">
        <f t="shared" si="6"/>
        <v>0</v>
      </c>
      <c r="AG230" s="25">
        <f t="shared" si="7"/>
        <v>0</v>
      </c>
      <c r="AH230" s="25">
        <f t="shared" si="8"/>
        <v>0</v>
      </c>
      <c r="AI230" s="59"/>
    </row>
    <row r="231" ht="15.75" customHeight="1">
      <c r="A231" s="40"/>
      <c r="B231" s="33"/>
      <c r="C231" s="45" t="str">
        <f>IFERROR(VLOOKUP(B231,COLORES!$A$4:$B$52,2,FALSE()),"")</f>
        <v/>
      </c>
      <c r="D231" s="33"/>
      <c r="E231" s="46"/>
      <c r="F231" s="34"/>
      <c r="G231" s="33"/>
      <c r="H231" s="47"/>
      <c r="I231" s="47"/>
      <c r="J231" s="48">
        <f>IFERROR(VLOOKUP(VLOOKUP(A231,PROGRAMAS!$A$4:$G$103,7,FALSE()),PRECIOS_TEJEDURIA!$A$4:$B$22,2,FALSE()),0)</f>
        <v>0</v>
      </c>
      <c r="K231" s="49"/>
      <c r="L231" s="50"/>
      <c r="M231" s="51">
        <f t="shared" si="1"/>
        <v>0</v>
      </c>
      <c r="N231" s="49"/>
      <c r="O231" s="49"/>
      <c r="P231" s="49"/>
      <c r="Q231" s="52"/>
      <c r="R231" s="53"/>
      <c r="S231" s="53"/>
      <c r="T231" s="54"/>
      <c r="U231" s="19">
        <f t="shared" si="2"/>
        <v>0</v>
      </c>
      <c r="V231" s="20">
        <f t="shared" si="3"/>
        <v>0</v>
      </c>
      <c r="W231" s="55">
        <f t="array" ref="W231">IFERROR(INDEX(PRECIOS_TINTORERIA!$B$4:$U$15,MATCH(D231,PRECIOS_TINTORERIA!$A$4:$A$15,0),MATCH(VLOOKUP(A231,PROGRAMAS!$A$4:$G$103,7,FALSE()),PRECIOS_TINTORERIA!$B$3:$U$3,0)),0)</f>
        <v>0</v>
      </c>
      <c r="X231" s="56"/>
      <c r="Y231" s="57"/>
      <c r="Z231" s="58">
        <f t="shared" si="4"/>
        <v>0</v>
      </c>
      <c r="AA231" s="56"/>
      <c r="AB231" s="56"/>
      <c r="AC231" s="56"/>
      <c r="AD231" s="23">
        <f>IFERROR((SUMIFS(COMPRAS_HILO!$H$4:$H$203,COMPRAS_HILO!$B$4:$B$203,A231))*F231/SUMIFS($F$4:$F$503,$A$4:$A$503,A231),0)</f>
        <v>0</v>
      </c>
      <c r="AE231" s="23">
        <f t="shared" si="5"/>
        <v>0</v>
      </c>
      <c r="AF231" s="23">
        <f t="shared" si="6"/>
        <v>0</v>
      </c>
      <c r="AG231" s="25">
        <f t="shared" si="7"/>
        <v>0</v>
      </c>
      <c r="AH231" s="25">
        <f t="shared" si="8"/>
        <v>0</v>
      </c>
      <c r="AI231" s="59"/>
    </row>
    <row r="232" ht="15.75" customHeight="1">
      <c r="A232" s="40"/>
      <c r="B232" s="33"/>
      <c r="C232" s="45" t="str">
        <f>IFERROR(VLOOKUP(B232,COLORES!$A$4:$B$52,2,FALSE()),"")</f>
        <v/>
      </c>
      <c r="D232" s="33"/>
      <c r="E232" s="46"/>
      <c r="F232" s="34"/>
      <c r="G232" s="33"/>
      <c r="H232" s="47"/>
      <c r="I232" s="47"/>
      <c r="J232" s="48">
        <f>IFERROR(VLOOKUP(VLOOKUP(A232,PROGRAMAS!$A$4:$G$103,7,FALSE()),PRECIOS_TEJEDURIA!$A$4:$B$22,2,FALSE()),0)</f>
        <v>0</v>
      </c>
      <c r="K232" s="49"/>
      <c r="L232" s="50"/>
      <c r="M232" s="51">
        <f t="shared" si="1"/>
        <v>0</v>
      </c>
      <c r="N232" s="49"/>
      <c r="O232" s="49"/>
      <c r="P232" s="49"/>
      <c r="Q232" s="52"/>
      <c r="R232" s="53"/>
      <c r="S232" s="53"/>
      <c r="T232" s="54"/>
      <c r="U232" s="19">
        <f t="shared" si="2"/>
        <v>0</v>
      </c>
      <c r="V232" s="20">
        <f t="shared" si="3"/>
        <v>0</v>
      </c>
      <c r="W232" s="55">
        <f t="array" ref="W232">IFERROR(INDEX(PRECIOS_TINTORERIA!$B$4:$U$15,MATCH(D232,PRECIOS_TINTORERIA!$A$4:$A$15,0),MATCH(VLOOKUP(A232,PROGRAMAS!$A$4:$G$103,7,FALSE()),PRECIOS_TINTORERIA!$B$3:$U$3,0)),0)</f>
        <v>0</v>
      </c>
      <c r="X232" s="56"/>
      <c r="Y232" s="57"/>
      <c r="Z232" s="58">
        <f t="shared" si="4"/>
        <v>0</v>
      </c>
      <c r="AA232" s="56"/>
      <c r="AB232" s="56"/>
      <c r="AC232" s="56"/>
      <c r="AD232" s="23">
        <f>IFERROR((SUMIFS(COMPRAS_HILO!$H$4:$H$203,COMPRAS_HILO!$B$4:$B$203,A232))*F232/SUMIFS($F$4:$F$503,$A$4:$A$503,A232),0)</f>
        <v>0</v>
      </c>
      <c r="AE232" s="23">
        <f t="shared" si="5"/>
        <v>0</v>
      </c>
      <c r="AF232" s="23">
        <f t="shared" si="6"/>
        <v>0</v>
      </c>
      <c r="AG232" s="25">
        <f t="shared" si="7"/>
        <v>0</v>
      </c>
      <c r="AH232" s="25">
        <f t="shared" si="8"/>
        <v>0</v>
      </c>
      <c r="AI232" s="59"/>
    </row>
    <row r="233" ht="15.75" customHeight="1">
      <c r="A233" s="40"/>
      <c r="B233" s="33"/>
      <c r="C233" s="45" t="str">
        <f>IFERROR(VLOOKUP(B233,COLORES!$A$4:$B$52,2,FALSE()),"")</f>
        <v/>
      </c>
      <c r="D233" s="33"/>
      <c r="E233" s="46"/>
      <c r="F233" s="34"/>
      <c r="G233" s="33"/>
      <c r="H233" s="47"/>
      <c r="I233" s="47"/>
      <c r="J233" s="48">
        <f>IFERROR(VLOOKUP(VLOOKUP(A233,PROGRAMAS!$A$4:$G$103,7,FALSE()),PRECIOS_TEJEDURIA!$A$4:$B$22,2,FALSE()),0)</f>
        <v>0</v>
      </c>
      <c r="K233" s="49"/>
      <c r="L233" s="50"/>
      <c r="M233" s="51">
        <f t="shared" si="1"/>
        <v>0</v>
      </c>
      <c r="N233" s="49"/>
      <c r="O233" s="49"/>
      <c r="P233" s="49"/>
      <c r="Q233" s="52"/>
      <c r="R233" s="53"/>
      <c r="S233" s="53"/>
      <c r="T233" s="54"/>
      <c r="U233" s="19">
        <f t="shared" si="2"/>
        <v>0</v>
      </c>
      <c r="V233" s="20">
        <f t="shared" si="3"/>
        <v>0</v>
      </c>
      <c r="W233" s="55">
        <f t="array" ref="W233">IFERROR(INDEX(PRECIOS_TINTORERIA!$B$4:$U$15,MATCH(D233,PRECIOS_TINTORERIA!$A$4:$A$15,0),MATCH(VLOOKUP(A233,PROGRAMAS!$A$4:$G$103,7,FALSE()),PRECIOS_TINTORERIA!$B$3:$U$3,0)),0)</f>
        <v>0</v>
      </c>
      <c r="X233" s="56"/>
      <c r="Y233" s="57"/>
      <c r="Z233" s="58">
        <f t="shared" si="4"/>
        <v>0</v>
      </c>
      <c r="AA233" s="56"/>
      <c r="AB233" s="56"/>
      <c r="AC233" s="56"/>
      <c r="AD233" s="23">
        <f>IFERROR((SUMIFS(COMPRAS_HILO!$H$4:$H$203,COMPRAS_HILO!$B$4:$B$203,A233))*F233/SUMIFS($F$4:$F$503,$A$4:$A$503,A233),0)</f>
        <v>0</v>
      </c>
      <c r="AE233" s="23">
        <f t="shared" si="5"/>
        <v>0</v>
      </c>
      <c r="AF233" s="23">
        <f t="shared" si="6"/>
        <v>0</v>
      </c>
      <c r="AG233" s="25">
        <f t="shared" si="7"/>
        <v>0</v>
      </c>
      <c r="AH233" s="25">
        <f t="shared" si="8"/>
        <v>0</v>
      </c>
      <c r="AI233" s="59"/>
    </row>
    <row r="234" ht="15.75" customHeight="1">
      <c r="A234" s="40"/>
      <c r="B234" s="33"/>
      <c r="C234" s="45" t="str">
        <f>IFERROR(VLOOKUP(B234,COLORES!$A$4:$B$52,2,FALSE()),"")</f>
        <v/>
      </c>
      <c r="D234" s="33"/>
      <c r="E234" s="46"/>
      <c r="F234" s="34"/>
      <c r="G234" s="33"/>
      <c r="H234" s="47"/>
      <c r="I234" s="47"/>
      <c r="J234" s="48">
        <f>IFERROR(VLOOKUP(VLOOKUP(A234,PROGRAMAS!$A$4:$G$103,7,FALSE()),PRECIOS_TEJEDURIA!$A$4:$B$22,2,FALSE()),0)</f>
        <v>0</v>
      </c>
      <c r="K234" s="49"/>
      <c r="L234" s="50"/>
      <c r="M234" s="51">
        <f t="shared" si="1"/>
        <v>0</v>
      </c>
      <c r="N234" s="49"/>
      <c r="O234" s="49"/>
      <c r="P234" s="49"/>
      <c r="Q234" s="52"/>
      <c r="R234" s="53"/>
      <c r="S234" s="53"/>
      <c r="T234" s="54"/>
      <c r="U234" s="19">
        <f t="shared" si="2"/>
        <v>0</v>
      </c>
      <c r="V234" s="20">
        <f t="shared" si="3"/>
        <v>0</v>
      </c>
      <c r="W234" s="55">
        <f t="array" ref="W234">IFERROR(INDEX(PRECIOS_TINTORERIA!$B$4:$U$15,MATCH(D234,PRECIOS_TINTORERIA!$A$4:$A$15,0),MATCH(VLOOKUP(A234,PROGRAMAS!$A$4:$G$103,7,FALSE()),PRECIOS_TINTORERIA!$B$3:$U$3,0)),0)</f>
        <v>0</v>
      </c>
      <c r="X234" s="56"/>
      <c r="Y234" s="57"/>
      <c r="Z234" s="58">
        <f t="shared" si="4"/>
        <v>0</v>
      </c>
      <c r="AA234" s="56"/>
      <c r="AB234" s="56"/>
      <c r="AC234" s="56"/>
      <c r="AD234" s="23">
        <f>IFERROR((SUMIFS(COMPRAS_HILO!$H$4:$H$203,COMPRAS_HILO!$B$4:$B$203,A234))*F234/SUMIFS($F$4:$F$503,$A$4:$A$503,A234),0)</f>
        <v>0</v>
      </c>
      <c r="AE234" s="23">
        <f t="shared" si="5"/>
        <v>0</v>
      </c>
      <c r="AF234" s="23">
        <f t="shared" si="6"/>
        <v>0</v>
      </c>
      <c r="AG234" s="25">
        <f t="shared" si="7"/>
        <v>0</v>
      </c>
      <c r="AH234" s="25">
        <f t="shared" si="8"/>
        <v>0</v>
      </c>
      <c r="AI234" s="59"/>
    </row>
    <row r="235" ht="15.75" customHeight="1">
      <c r="A235" s="40"/>
      <c r="B235" s="33"/>
      <c r="C235" s="45" t="str">
        <f>IFERROR(VLOOKUP(B235,COLORES!$A$4:$B$52,2,FALSE()),"")</f>
        <v/>
      </c>
      <c r="D235" s="33"/>
      <c r="E235" s="46"/>
      <c r="F235" s="34"/>
      <c r="G235" s="33"/>
      <c r="H235" s="47"/>
      <c r="I235" s="47"/>
      <c r="J235" s="48">
        <f>IFERROR(VLOOKUP(VLOOKUP(A235,PROGRAMAS!$A$4:$G$103,7,FALSE()),PRECIOS_TEJEDURIA!$A$4:$B$22,2,FALSE()),0)</f>
        <v>0</v>
      </c>
      <c r="K235" s="49"/>
      <c r="L235" s="50"/>
      <c r="M235" s="51">
        <f t="shared" si="1"/>
        <v>0</v>
      </c>
      <c r="N235" s="49"/>
      <c r="O235" s="49"/>
      <c r="P235" s="49"/>
      <c r="Q235" s="52"/>
      <c r="R235" s="53"/>
      <c r="S235" s="53"/>
      <c r="T235" s="54"/>
      <c r="U235" s="19">
        <f t="shared" si="2"/>
        <v>0</v>
      </c>
      <c r="V235" s="20">
        <f t="shared" si="3"/>
        <v>0</v>
      </c>
      <c r="W235" s="55">
        <f t="array" ref="W235">IFERROR(INDEX(PRECIOS_TINTORERIA!$B$4:$U$15,MATCH(D235,PRECIOS_TINTORERIA!$A$4:$A$15,0),MATCH(VLOOKUP(A235,PROGRAMAS!$A$4:$G$103,7,FALSE()),PRECIOS_TINTORERIA!$B$3:$U$3,0)),0)</f>
        <v>0</v>
      </c>
      <c r="X235" s="56"/>
      <c r="Y235" s="57"/>
      <c r="Z235" s="58">
        <f t="shared" si="4"/>
        <v>0</v>
      </c>
      <c r="AA235" s="56"/>
      <c r="AB235" s="56"/>
      <c r="AC235" s="56"/>
      <c r="AD235" s="23">
        <f>IFERROR((SUMIFS(COMPRAS_HILO!$H$4:$H$203,COMPRAS_HILO!$B$4:$B$203,A235))*F235/SUMIFS($F$4:$F$503,$A$4:$A$503,A235),0)</f>
        <v>0</v>
      </c>
      <c r="AE235" s="23">
        <f t="shared" si="5"/>
        <v>0</v>
      </c>
      <c r="AF235" s="23">
        <f t="shared" si="6"/>
        <v>0</v>
      </c>
      <c r="AG235" s="25">
        <f t="shared" si="7"/>
        <v>0</v>
      </c>
      <c r="AH235" s="25">
        <f t="shared" si="8"/>
        <v>0</v>
      </c>
      <c r="AI235" s="59"/>
    </row>
    <row r="236" ht="15.75" customHeight="1">
      <c r="A236" s="40"/>
      <c r="B236" s="33"/>
      <c r="C236" s="45" t="str">
        <f>IFERROR(VLOOKUP(B236,COLORES!$A$4:$B$52,2,FALSE()),"")</f>
        <v/>
      </c>
      <c r="D236" s="33"/>
      <c r="E236" s="46"/>
      <c r="F236" s="34"/>
      <c r="G236" s="33"/>
      <c r="H236" s="47"/>
      <c r="I236" s="47"/>
      <c r="J236" s="48">
        <f>IFERROR(VLOOKUP(VLOOKUP(A236,PROGRAMAS!$A$4:$G$103,7,FALSE()),PRECIOS_TEJEDURIA!$A$4:$B$22,2,FALSE()),0)</f>
        <v>0</v>
      </c>
      <c r="K236" s="49"/>
      <c r="L236" s="50"/>
      <c r="M236" s="51">
        <f t="shared" si="1"/>
        <v>0</v>
      </c>
      <c r="N236" s="49"/>
      <c r="O236" s="49"/>
      <c r="P236" s="49"/>
      <c r="Q236" s="52"/>
      <c r="R236" s="53"/>
      <c r="S236" s="53"/>
      <c r="T236" s="54"/>
      <c r="U236" s="19">
        <f t="shared" si="2"/>
        <v>0</v>
      </c>
      <c r="V236" s="20">
        <f t="shared" si="3"/>
        <v>0</v>
      </c>
      <c r="W236" s="55">
        <f t="array" ref="W236">IFERROR(INDEX(PRECIOS_TINTORERIA!$B$4:$U$15,MATCH(D236,PRECIOS_TINTORERIA!$A$4:$A$15,0),MATCH(VLOOKUP(A236,PROGRAMAS!$A$4:$G$103,7,FALSE()),PRECIOS_TINTORERIA!$B$3:$U$3,0)),0)</f>
        <v>0</v>
      </c>
      <c r="X236" s="56"/>
      <c r="Y236" s="57"/>
      <c r="Z236" s="58">
        <f t="shared" si="4"/>
        <v>0</v>
      </c>
      <c r="AA236" s="56"/>
      <c r="AB236" s="56"/>
      <c r="AC236" s="56"/>
      <c r="AD236" s="23">
        <f>IFERROR((SUMIFS(COMPRAS_HILO!$H$4:$H$203,COMPRAS_HILO!$B$4:$B$203,A236))*F236/SUMIFS($F$4:$F$503,$A$4:$A$503,A236),0)</f>
        <v>0</v>
      </c>
      <c r="AE236" s="23">
        <f t="shared" si="5"/>
        <v>0</v>
      </c>
      <c r="AF236" s="23">
        <f t="shared" si="6"/>
        <v>0</v>
      </c>
      <c r="AG236" s="25">
        <f t="shared" si="7"/>
        <v>0</v>
      </c>
      <c r="AH236" s="25">
        <f t="shared" si="8"/>
        <v>0</v>
      </c>
      <c r="AI236" s="59"/>
    </row>
    <row r="237" ht="15.75" customHeight="1">
      <c r="A237" s="40"/>
      <c r="B237" s="33"/>
      <c r="C237" s="45" t="str">
        <f>IFERROR(VLOOKUP(B237,COLORES!$A$4:$B$52,2,FALSE()),"")</f>
        <v/>
      </c>
      <c r="D237" s="33"/>
      <c r="E237" s="46"/>
      <c r="F237" s="34"/>
      <c r="G237" s="33"/>
      <c r="H237" s="47"/>
      <c r="I237" s="47"/>
      <c r="J237" s="48">
        <f>IFERROR(VLOOKUP(VLOOKUP(A237,PROGRAMAS!$A$4:$G$103,7,FALSE()),PRECIOS_TEJEDURIA!$A$4:$B$22,2,FALSE()),0)</f>
        <v>0</v>
      </c>
      <c r="K237" s="49"/>
      <c r="L237" s="50"/>
      <c r="M237" s="51">
        <f t="shared" si="1"/>
        <v>0</v>
      </c>
      <c r="N237" s="49"/>
      <c r="O237" s="49"/>
      <c r="P237" s="49"/>
      <c r="Q237" s="52"/>
      <c r="R237" s="53"/>
      <c r="S237" s="53"/>
      <c r="T237" s="54"/>
      <c r="U237" s="19">
        <f t="shared" si="2"/>
        <v>0</v>
      </c>
      <c r="V237" s="20">
        <f t="shared" si="3"/>
        <v>0</v>
      </c>
      <c r="W237" s="55">
        <f t="array" ref="W237">IFERROR(INDEX(PRECIOS_TINTORERIA!$B$4:$U$15,MATCH(D237,PRECIOS_TINTORERIA!$A$4:$A$15,0),MATCH(VLOOKUP(A237,PROGRAMAS!$A$4:$G$103,7,FALSE()),PRECIOS_TINTORERIA!$B$3:$U$3,0)),0)</f>
        <v>0</v>
      </c>
      <c r="X237" s="56"/>
      <c r="Y237" s="57"/>
      <c r="Z237" s="58">
        <f t="shared" si="4"/>
        <v>0</v>
      </c>
      <c r="AA237" s="56"/>
      <c r="AB237" s="56"/>
      <c r="AC237" s="56"/>
      <c r="AD237" s="23">
        <f>IFERROR((SUMIFS(COMPRAS_HILO!$H$4:$H$203,COMPRAS_HILO!$B$4:$B$203,A237))*F237/SUMIFS($F$4:$F$503,$A$4:$A$503,A237),0)</f>
        <v>0</v>
      </c>
      <c r="AE237" s="23">
        <f t="shared" si="5"/>
        <v>0</v>
      </c>
      <c r="AF237" s="23">
        <f t="shared" si="6"/>
        <v>0</v>
      </c>
      <c r="AG237" s="25">
        <f t="shared" si="7"/>
        <v>0</v>
      </c>
      <c r="AH237" s="25">
        <f t="shared" si="8"/>
        <v>0</v>
      </c>
      <c r="AI237" s="59"/>
    </row>
    <row r="238" ht="15.75" customHeight="1">
      <c r="A238" s="40"/>
      <c r="B238" s="33"/>
      <c r="C238" s="45" t="str">
        <f>IFERROR(VLOOKUP(B238,COLORES!$A$4:$B$52,2,FALSE()),"")</f>
        <v/>
      </c>
      <c r="D238" s="33"/>
      <c r="E238" s="46"/>
      <c r="F238" s="34"/>
      <c r="G238" s="33"/>
      <c r="H238" s="47"/>
      <c r="I238" s="47"/>
      <c r="J238" s="48">
        <f>IFERROR(VLOOKUP(VLOOKUP(A238,PROGRAMAS!$A$4:$G$103,7,FALSE()),PRECIOS_TEJEDURIA!$A$4:$B$22,2,FALSE()),0)</f>
        <v>0</v>
      </c>
      <c r="K238" s="49"/>
      <c r="L238" s="50"/>
      <c r="M238" s="51">
        <f t="shared" si="1"/>
        <v>0</v>
      </c>
      <c r="N238" s="49"/>
      <c r="O238" s="49"/>
      <c r="P238" s="49"/>
      <c r="Q238" s="52"/>
      <c r="R238" s="53"/>
      <c r="S238" s="53"/>
      <c r="T238" s="54"/>
      <c r="U238" s="19">
        <f t="shared" si="2"/>
        <v>0</v>
      </c>
      <c r="V238" s="20">
        <f t="shared" si="3"/>
        <v>0</v>
      </c>
      <c r="W238" s="55">
        <f t="array" ref="W238">IFERROR(INDEX(PRECIOS_TINTORERIA!$B$4:$U$15,MATCH(D238,PRECIOS_TINTORERIA!$A$4:$A$15,0),MATCH(VLOOKUP(A238,PROGRAMAS!$A$4:$G$103,7,FALSE()),PRECIOS_TINTORERIA!$B$3:$U$3,0)),0)</f>
        <v>0</v>
      </c>
      <c r="X238" s="56"/>
      <c r="Y238" s="57"/>
      <c r="Z238" s="58">
        <f t="shared" si="4"/>
        <v>0</v>
      </c>
      <c r="AA238" s="56"/>
      <c r="AB238" s="56"/>
      <c r="AC238" s="56"/>
      <c r="AD238" s="23">
        <f>IFERROR((SUMIFS(COMPRAS_HILO!$H$4:$H$203,COMPRAS_HILO!$B$4:$B$203,A238))*F238/SUMIFS($F$4:$F$503,$A$4:$A$503,A238),0)</f>
        <v>0</v>
      </c>
      <c r="AE238" s="23">
        <f t="shared" si="5"/>
        <v>0</v>
      </c>
      <c r="AF238" s="23">
        <f t="shared" si="6"/>
        <v>0</v>
      </c>
      <c r="AG238" s="25">
        <f t="shared" si="7"/>
        <v>0</v>
      </c>
      <c r="AH238" s="25">
        <f t="shared" si="8"/>
        <v>0</v>
      </c>
      <c r="AI238" s="59"/>
    </row>
    <row r="239" ht="15.75" customHeight="1">
      <c r="A239" s="40"/>
      <c r="B239" s="33"/>
      <c r="C239" s="45" t="str">
        <f>IFERROR(VLOOKUP(B239,COLORES!$A$4:$B$52,2,FALSE()),"")</f>
        <v/>
      </c>
      <c r="D239" s="33"/>
      <c r="E239" s="46"/>
      <c r="F239" s="34"/>
      <c r="G239" s="33"/>
      <c r="H239" s="47"/>
      <c r="I239" s="47"/>
      <c r="J239" s="48">
        <f>IFERROR(VLOOKUP(VLOOKUP(A239,PROGRAMAS!$A$4:$G$103,7,FALSE()),PRECIOS_TEJEDURIA!$A$4:$B$22,2,FALSE()),0)</f>
        <v>0</v>
      </c>
      <c r="K239" s="49"/>
      <c r="L239" s="50"/>
      <c r="M239" s="51">
        <f t="shared" si="1"/>
        <v>0</v>
      </c>
      <c r="N239" s="49"/>
      <c r="O239" s="49"/>
      <c r="P239" s="49"/>
      <c r="Q239" s="52"/>
      <c r="R239" s="53"/>
      <c r="S239" s="53"/>
      <c r="T239" s="54"/>
      <c r="U239" s="19">
        <f t="shared" si="2"/>
        <v>0</v>
      </c>
      <c r="V239" s="20">
        <f t="shared" si="3"/>
        <v>0</v>
      </c>
      <c r="W239" s="55">
        <f t="array" ref="W239">IFERROR(INDEX(PRECIOS_TINTORERIA!$B$4:$U$15,MATCH(D239,PRECIOS_TINTORERIA!$A$4:$A$15,0),MATCH(VLOOKUP(A239,PROGRAMAS!$A$4:$G$103,7,FALSE()),PRECIOS_TINTORERIA!$B$3:$U$3,0)),0)</f>
        <v>0</v>
      </c>
      <c r="X239" s="56"/>
      <c r="Y239" s="57"/>
      <c r="Z239" s="58">
        <f t="shared" si="4"/>
        <v>0</v>
      </c>
      <c r="AA239" s="56"/>
      <c r="AB239" s="56"/>
      <c r="AC239" s="56"/>
      <c r="AD239" s="23">
        <f>IFERROR((SUMIFS(COMPRAS_HILO!$H$4:$H$203,COMPRAS_HILO!$B$4:$B$203,A239))*F239/SUMIFS($F$4:$F$503,$A$4:$A$503,A239),0)</f>
        <v>0</v>
      </c>
      <c r="AE239" s="23">
        <f t="shared" si="5"/>
        <v>0</v>
      </c>
      <c r="AF239" s="23">
        <f t="shared" si="6"/>
        <v>0</v>
      </c>
      <c r="AG239" s="25">
        <f t="shared" si="7"/>
        <v>0</v>
      </c>
      <c r="AH239" s="25">
        <f t="shared" si="8"/>
        <v>0</v>
      </c>
      <c r="AI239" s="59"/>
    </row>
    <row r="240" ht="15.75" customHeight="1">
      <c r="A240" s="40"/>
      <c r="B240" s="33"/>
      <c r="C240" s="45" t="str">
        <f>IFERROR(VLOOKUP(B240,COLORES!$A$4:$B$52,2,FALSE()),"")</f>
        <v/>
      </c>
      <c r="D240" s="33"/>
      <c r="E240" s="46"/>
      <c r="F240" s="34"/>
      <c r="G240" s="33"/>
      <c r="H240" s="47"/>
      <c r="I240" s="47"/>
      <c r="J240" s="48">
        <f>IFERROR(VLOOKUP(VLOOKUP(A240,PROGRAMAS!$A$4:$G$103,7,FALSE()),PRECIOS_TEJEDURIA!$A$4:$B$22,2,FALSE()),0)</f>
        <v>0</v>
      </c>
      <c r="K240" s="49"/>
      <c r="L240" s="50"/>
      <c r="M240" s="51">
        <f t="shared" si="1"/>
        <v>0</v>
      </c>
      <c r="N240" s="49"/>
      <c r="O240" s="49"/>
      <c r="P240" s="49"/>
      <c r="Q240" s="52"/>
      <c r="R240" s="53"/>
      <c r="S240" s="53"/>
      <c r="T240" s="54"/>
      <c r="U240" s="19">
        <f t="shared" si="2"/>
        <v>0</v>
      </c>
      <c r="V240" s="20">
        <f t="shared" si="3"/>
        <v>0</v>
      </c>
      <c r="W240" s="55">
        <f t="array" ref="W240">IFERROR(INDEX(PRECIOS_TINTORERIA!$B$4:$U$15,MATCH(D240,PRECIOS_TINTORERIA!$A$4:$A$15,0),MATCH(VLOOKUP(A240,PROGRAMAS!$A$4:$G$103,7,FALSE()),PRECIOS_TINTORERIA!$B$3:$U$3,0)),0)</f>
        <v>0</v>
      </c>
      <c r="X240" s="56"/>
      <c r="Y240" s="57"/>
      <c r="Z240" s="58">
        <f t="shared" si="4"/>
        <v>0</v>
      </c>
      <c r="AA240" s="56"/>
      <c r="AB240" s="56"/>
      <c r="AC240" s="56"/>
      <c r="AD240" s="23">
        <f>IFERROR((SUMIFS(COMPRAS_HILO!$H$4:$H$203,COMPRAS_HILO!$B$4:$B$203,A240))*F240/SUMIFS($F$4:$F$503,$A$4:$A$503,A240),0)</f>
        <v>0</v>
      </c>
      <c r="AE240" s="23">
        <f t="shared" si="5"/>
        <v>0</v>
      </c>
      <c r="AF240" s="23">
        <f t="shared" si="6"/>
        <v>0</v>
      </c>
      <c r="AG240" s="25">
        <f t="shared" si="7"/>
        <v>0</v>
      </c>
      <c r="AH240" s="25">
        <f t="shared" si="8"/>
        <v>0</v>
      </c>
      <c r="AI240" s="59"/>
    </row>
    <row r="241" ht="15.75" customHeight="1">
      <c r="A241" s="40"/>
      <c r="B241" s="33"/>
      <c r="C241" s="45" t="str">
        <f>IFERROR(VLOOKUP(B241,COLORES!$A$4:$B$52,2,FALSE()),"")</f>
        <v/>
      </c>
      <c r="D241" s="33"/>
      <c r="E241" s="46"/>
      <c r="F241" s="34"/>
      <c r="G241" s="33"/>
      <c r="H241" s="47"/>
      <c r="I241" s="47"/>
      <c r="J241" s="48">
        <f>IFERROR(VLOOKUP(VLOOKUP(A241,PROGRAMAS!$A$4:$G$103,7,FALSE()),PRECIOS_TEJEDURIA!$A$4:$B$22,2,FALSE()),0)</f>
        <v>0</v>
      </c>
      <c r="K241" s="49"/>
      <c r="L241" s="50"/>
      <c r="M241" s="51">
        <f t="shared" si="1"/>
        <v>0</v>
      </c>
      <c r="N241" s="49"/>
      <c r="O241" s="49"/>
      <c r="P241" s="49"/>
      <c r="Q241" s="52"/>
      <c r="R241" s="53"/>
      <c r="S241" s="53"/>
      <c r="T241" s="54"/>
      <c r="U241" s="19">
        <f t="shared" si="2"/>
        <v>0</v>
      </c>
      <c r="V241" s="20">
        <f t="shared" si="3"/>
        <v>0</v>
      </c>
      <c r="W241" s="55">
        <f t="array" ref="W241">IFERROR(INDEX(PRECIOS_TINTORERIA!$B$4:$U$15,MATCH(D241,PRECIOS_TINTORERIA!$A$4:$A$15,0),MATCH(VLOOKUP(A241,PROGRAMAS!$A$4:$G$103,7,FALSE()),PRECIOS_TINTORERIA!$B$3:$U$3,0)),0)</f>
        <v>0</v>
      </c>
      <c r="X241" s="56"/>
      <c r="Y241" s="57"/>
      <c r="Z241" s="58">
        <f t="shared" si="4"/>
        <v>0</v>
      </c>
      <c r="AA241" s="56"/>
      <c r="AB241" s="56"/>
      <c r="AC241" s="56"/>
      <c r="AD241" s="23">
        <f>IFERROR((SUMIFS(COMPRAS_HILO!$H$4:$H$203,COMPRAS_HILO!$B$4:$B$203,A241))*F241/SUMIFS($F$4:$F$503,$A$4:$A$503,A241),0)</f>
        <v>0</v>
      </c>
      <c r="AE241" s="23">
        <f t="shared" si="5"/>
        <v>0</v>
      </c>
      <c r="AF241" s="23">
        <f t="shared" si="6"/>
        <v>0</v>
      </c>
      <c r="AG241" s="25">
        <f t="shared" si="7"/>
        <v>0</v>
      </c>
      <c r="AH241" s="25">
        <f t="shared" si="8"/>
        <v>0</v>
      </c>
      <c r="AI241" s="59"/>
    </row>
    <row r="242" ht="15.75" customHeight="1">
      <c r="A242" s="40"/>
      <c r="B242" s="33"/>
      <c r="C242" s="45" t="str">
        <f>IFERROR(VLOOKUP(B242,COLORES!$A$4:$B$52,2,FALSE()),"")</f>
        <v/>
      </c>
      <c r="D242" s="33"/>
      <c r="E242" s="46"/>
      <c r="F242" s="34"/>
      <c r="G242" s="33"/>
      <c r="H242" s="47"/>
      <c r="I242" s="47"/>
      <c r="J242" s="48">
        <f>IFERROR(VLOOKUP(VLOOKUP(A242,PROGRAMAS!$A$4:$G$103,7,FALSE()),PRECIOS_TEJEDURIA!$A$4:$B$22,2,FALSE()),0)</f>
        <v>0</v>
      </c>
      <c r="K242" s="49"/>
      <c r="L242" s="50"/>
      <c r="M242" s="51">
        <f t="shared" si="1"/>
        <v>0</v>
      </c>
      <c r="N242" s="49"/>
      <c r="O242" s="49"/>
      <c r="P242" s="49"/>
      <c r="Q242" s="52"/>
      <c r="R242" s="53"/>
      <c r="S242" s="53"/>
      <c r="T242" s="54"/>
      <c r="U242" s="19">
        <f t="shared" si="2"/>
        <v>0</v>
      </c>
      <c r="V242" s="20">
        <f t="shared" si="3"/>
        <v>0</v>
      </c>
      <c r="W242" s="55">
        <f t="array" ref="W242">IFERROR(INDEX(PRECIOS_TINTORERIA!$B$4:$U$15,MATCH(D242,PRECIOS_TINTORERIA!$A$4:$A$15,0),MATCH(VLOOKUP(A242,PROGRAMAS!$A$4:$G$103,7,FALSE()),PRECIOS_TINTORERIA!$B$3:$U$3,0)),0)</f>
        <v>0</v>
      </c>
      <c r="X242" s="56"/>
      <c r="Y242" s="57"/>
      <c r="Z242" s="58">
        <f t="shared" si="4"/>
        <v>0</v>
      </c>
      <c r="AA242" s="56"/>
      <c r="AB242" s="56"/>
      <c r="AC242" s="56"/>
      <c r="AD242" s="23">
        <f>IFERROR((SUMIFS(COMPRAS_HILO!$H$4:$H$203,COMPRAS_HILO!$B$4:$B$203,A242))*F242/SUMIFS($F$4:$F$503,$A$4:$A$503,A242),0)</f>
        <v>0</v>
      </c>
      <c r="AE242" s="23">
        <f t="shared" si="5"/>
        <v>0</v>
      </c>
      <c r="AF242" s="23">
        <f t="shared" si="6"/>
        <v>0</v>
      </c>
      <c r="AG242" s="25">
        <f t="shared" si="7"/>
        <v>0</v>
      </c>
      <c r="AH242" s="25">
        <f t="shared" si="8"/>
        <v>0</v>
      </c>
      <c r="AI242" s="59"/>
    </row>
    <row r="243" ht="15.75" customHeight="1">
      <c r="A243" s="40"/>
      <c r="B243" s="33"/>
      <c r="C243" s="45" t="str">
        <f>IFERROR(VLOOKUP(B243,COLORES!$A$4:$B$52,2,FALSE()),"")</f>
        <v/>
      </c>
      <c r="D243" s="33"/>
      <c r="E243" s="46"/>
      <c r="F243" s="34"/>
      <c r="G243" s="33"/>
      <c r="H243" s="47"/>
      <c r="I243" s="47"/>
      <c r="J243" s="48">
        <f>IFERROR(VLOOKUP(VLOOKUP(A243,PROGRAMAS!$A$4:$G$103,7,FALSE()),PRECIOS_TEJEDURIA!$A$4:$B$22,2,FALSE()),0)</f>
        <v>0</v>
      </c>
      <c r="K243" s="49"/>
      <c r="L243" s="50"/>
      <c r="M243" s="51">
        <f t="shared" si="1"/>
        <v>0</v>
      </c>
      <c r="N243" s="49"/>
      <c r="O243" s="49"/>
      <c r="P243" s="49"/>
      <c r="Q243" s="52"/>
      <c r="R243" s="53"/>
      <c r="S243" s="53"/>
      <c r="T243" s="54"/>
      <c r="U243" s="19">
        <f t="shared" si="2"/>
        <v>0</v>
      </c>
      <c r="V243" s="20">
        <f t="shared" si="3"/>
        <v>0</v>
      </c>
      <c r="W243" s="55">
        <f t="array" ref="W243">IFERROR(INDEX(PRECIOS_TINTORERIA!$B$4:$U$15,MATCH(D243,PRECIOS_TINTORERIA!$A$4:$A$15,0),MATCH(VLOOKUP(A243,PROGRAMAS!$A$4:$G$103,7,FALSE()),PRECIOS_TINTORERIA!$B$3:$U$3,0)),0)</f>
        <v>0</v>
      </c>
      <c r="X243" s="56"/>
      <c r="Y243" s="57"/>
      <c r="Z243" s="58">
        <f t="shared" si="4"/>
        <v>0</v>
      </c>
      <c r="AA243" s="56"/>
      <c r="AB243" s="56"/>
      <c r="AC243" s="56"/>
      <c r="AD243" s="23">
        <f>IFERROR((SUMIFS(COMPRAS_HILO!$H$4:$H$203,COMPRAS_HILO!$B$4:$B$203,A243))*F243/SUMIFS($F$4:$F$503,$A$4:$A$503,A243),0)</f>
        <v>0</v>
      </c>
      <c r="AE243" s="23">
        <f t="shared" si="5"/>
        <v>0</v>
      </c>
      <c r="AF243" s="23">
        <f t="shared" si="6"/>
        <v>0</v>
      </c>
      <c r="AG243" s="25">
        <f t="shared" si="7"/>
        <v>0</v>
      </c>
      <c r="AH243" s="25">
        <f t="shared" si="8"/>
        <v>0</v>
      </c>
      <c r="AI243" s="59"/>
    </row>
    <row r="244" ht="15.75" customHeight="1">
      <c r="A244" s="40"/>
      <c r="B244" s="33"/>
      <c r="C244" s="45" t="str">
        <f>IFERROR(VLOOKUP(B244,COLORES!$A$4:$B$52,2,FALSE()),"")</f>
        <v/>
      </c>
      <c r="D244" s="33"/>
      <c r="E244" s="46"/>
      <c r="F244" s="34"/>
      <c r="G244" s="33"/>
      <c r="H244" s="47"/>
      <c r="I244" s="47"/>
      <c r="J244" s="48">
        <f>IFERROR(VLOOKUP(VLOOKUP(A244,PROGRAMAS!$A$4:$G$103,7,FALSE()),PRECIOS_TEJEDURIA!$A$4:$B$22,2,FALSE()),0)</f>
        <v>0</v>
      </c>
      <c r="K244" s="49"/>
      <c r="L244" s="50"/>
      <c r="M244" s="51">
        <f t="shared" si="1"/>
        <v>0</v>
      </c>
      <c r="N244" s="49"/>
      <c r="O244" s="49"/>
      <c r="P244" s="49"/>
      <c r="Q244" s="52"/>
      <c r="R244" s="53"/>
      <c r="S244" s="53"/>
      <c r="T244" s="54"/>
      <c r="U244" s="19">
        <f t="shared" si="2"/>
        <v>0</v>
      </c>
      <c r="V244" s="20">
        <f t="shared" si="3"/>
        <v>0</v>
      </c>
      <c r="W244" s="55">
        <f t="array" ref="W244">IFERROR(INDEX(PRECIOS_TINTORERIA!$B$4:$U$15,MATCH(D244,PRECIOS_TINTORERIA!$A$4:$A$15,0),MATCH(VLOOKUP(A244,PROGRAMAS!$A$4:$G$103,7,FALSE()),PRECIOS_TINTORERIA!$B$3:$U$3,0)),0)</f>
        <v>0</v>
      </c>
      <c r="X244" s="56"/>
      <c r="Y244" s="57"/>
      <c r="Z244" s="58">
        <f t="shared" si="4"/>
        <v>0</v>
      </c>
      <c r="AA244" s="56"/>
      <c r="AB244" s="56"/>
      <c r="AC244" s="56"/>
      <c r="AD244" s="23">
        <f>IFERROR((SUMIFS(COMPRAS_HILO!$H$4:$H$203,COMPRAS_HILO!$B$4:$B$203,A244))*F244/SUMIFS($F$4:$F$503,$A$4:$A$503,A244),0)</f>
        <v>0</v>
      </c>
      <c r="AE244" s="23">
        <f t="shared" si="5"/>
        <v>0</v>
      </c>
      <c r="AF244" s="23">
        <f t="shared" si="6"/>
        <v>0</v>
      </c>
      <c r="AG244" s="25">
        <f t="shared" si="7"/>
        <v>0</v>
      </c>
      <c r="AH244" s="25">
        <f t="shared" si="8"/>
        <v>0</v>
      </c>
      <c r="AI244" s="59"/>
    </row>
    <row r="245" ht="15.75" customHeight="1">
      <c r="A245" s="40"/>
      <c r="B245" s="33"/>
      <c r="C245" s="45" t="str">
        <f>IFERROR(VLOOKUP(B245,COLORES!$A$4:$B$52,2,FALSE()),"")</f>
        <v/>
      </c>
      <c r="D245" s="33"/>
      <c r="E245" s="46"/>
      <c r="F245" s="34"/>
      <c r="G245" s="33"/>
      <c r="H245" s="47"/>
      <c r="I245" s="47"/>
      <c r="J245" s="48">
        <f>IFERROR(VLOOKUP(VLOOKUP(A245,PROGRAMAS!$A$4:$G$103,7,FALSE()),PRECIOS_TEJEDURIA!$A$4:$B$22,2,FALSE()),0)</f>
        <v>0</v>
      </c>
      <c r="K245" s="49"/>
      <c r="L245" s="50"/>
      <c r="M245" s="51">
        <f t="shared" si="1"/>
        <v>0</v>
      </c>
      <c r="N245" s="49"/>
      <c r="O245" s="49"/>
      <c r="P245" s="49"/>
      <c r="Q245" s="52"/>
      <c r="R245" s="53"/>
      <c r="S245" s="53"/>
      <c r="T245" s="54"/>
      <c r="U245" s="19">
        <f t="shared" si="2"/>
        <v>0</v>
      </c>
      <c r="V245" s="20">
        <f t="shared" si="3"/>
        <v>0</v>
      </c>
      <c r="W245" s="55">
        <f t="array" ref="W245">IFERROR(INDEX(PRECIOS_TINTORERIA!$B$4:$U$15,MATCH(D245,PRECIOS_TINTORERIA!$A$4:$A$15,0),MATCH(VLOOKUP(A245,PROGRAMAS!$A$4:$G$103,7,FALSE()),PRECIOS_TINTORERIA!$B$3:$U$3,0)),0)</f>
        <v>0</v>
      </c>
      <c r="X245" s="56"/>
      <c r="Y245" s="57"/>
      <c r="Z245" s="58">
        <f t="shared" si="4"/>
        <v>0</v>
      </c>
      <c r="AA245" s="56"/>
      <c r="AB245" s="56"/>
      <c r="AC245" s="56"/>
      <c r="AD245" s="23">
        <f>IFERROR((SUMIFS(COMPRAS_HILO!$H$4:$H$203,COMPRAS_HILO!$B$4:$B$203,A245))*F245/SUMIFS($F$4:$F$503,$A$4:$A$503,A245),0)</f>
        <v>0</v>
      </c>
      <c r="AE245" s="23">
        <f t="shared" si="5"/>
        <v>0</v>
      </c>
      <c r="AF245" s="23">
        <f t="shared" si="6"/>
        <v>0</v>
      </c>
      <c r="AG245" s="25">
        <f t="shared" si="7"/>
        <v>0</v>
      </c>
      <c r="AH245" s="25">
        <f t="shared" si="8"/>
        <v>0</v>
      </c>
      <c r="AI245" s="59"/>
    </row>
    <row r="246" ht="15.75" customHeight="1">
      <c r="A246" s="40"/>
      <c r="B246" s="33"/>
      <c r="C246" s="45" t="str">
        <f>IFERROR(VLOOKUP(B246,COLORES!$A$4:$B$52,2,FALSE()),"")</f>
        <v/>
      </c>
      <c r="D246" s="33"/>
      <c r="E246" s="46"/>
      <c r="F246" s="34"/>
      <c r="G246" s="33"/>
      <c r="H246" s="47"/>
      <c r="I246" s="47"/>
      <c r="J246" s="48">
        <f>IFERROR(VLOOKUP(VLOOKUP(A246,PROGRAMAS!$A$4:$G$103,7,FALSE()),PRECIOS_TEJEDURIA!$A$4:$B$22,2,FALSE()),0)</f>
        <v>0</v>
      </c>
      <c r="K246" s="49"/>
      <c r="L246" s="50"/>
      <c r="M246" s="51">
        <f t="shared" si="1"/>
        <v>0</v>
      </c>
      <c r="N246" s="49"/>
      <c r="O246" s="49"/>
      <c r="P246" s="49"/>
      <c r="Q246" s="52"/>
      <c r="R246" s="53"/>
      <c r="S246" s="53"/>
      <c r="T246" s="54"/>
      <c r="U246" s="19">
        <f t="shared" si="2"/>
        <v>0</v>
      </c>
      <c r="V246" s="20">
        <f t="shared" si="3"/>
        <v>0</v>
      </c>
      <c r="W246" s="55">
        <f t="array" ref="W246">IFERROR(INDEX(PRECIOS_TINTORERIA!$B$4:$U$15,MATCH(D246,PRECIOS_TINTORERIA!$A$4:$A$15,0),MATCH(VLOOKUP(A246,PROGRAMAS!$A$4:$G$103,7,FALSE()),PRECIOS_TINTORERIA!$B$3:$U$3,0)),0)</f>
        <v>0</v>
      </c>
      <c r="X246" s="56"/>
      <c r="Y246" s="57"/>
      <c r="Z246" s="58">
        <f t="shared" si="4"/>
        <v>0</v>
      </c>
      <c r="AA246" s="56"/>
      <c r="AB246" s="56"/>
      <c r="AC246" s="56"/>
      <c r="AD246" s="23">
        <f>IFERROR((SUMIFS(COMPRAS_HILO!$H$4:$H$203,COMPRAS_HILO!$B$4:$B$203,A246))*F246/SUMIFS($F$4:$F$503,$A$4:$A$503,A246),0)</f>
        <v>0</v>
      </c>
      <c r="AE246" s="23">
        <f t="shared" si="5"/>
        <v>0</v>
      </c>
      <c r="AF246" s="23">
        <f t="shared" si="6"/>
        <v>0</v>
      </c>
      <c r="AG246" s="25">
        <f t="shared" si="7"/>
        <v>0</v>
      </c>
      <c r="AH246" s="25">
        <f t="shared" si="8"/>
        <v>0</v>
      </c>
      <c r="AI246" s="59"/>
    </row>
    <row r="247" ht="15.75" customHeight="1">
      <c r="A247" s="40"/>
      <c r="B247" s="33"/>
      <c r="C247" s="45" t="str">
        <f>IFERROR(VLOOKUP(B247,COLORES!$A$4:$B$52,2,FALSE()),"")</f>
        <v/>
      </c>
      <c r="D247" s="33"/>
      <c r="E247" s="46"/>
      <c r="F247" s="34"/>
      <c r="G247" s="33"/>
      <c r="H247" s="47"/>
      <c r="I247" s="47"/>
      <c r="J247" s="48">
        <f>IFERROR(VLOOKUP(VLOOKUP(A247,PROGRAMAS!$A$4:$G$103,7,FALSE()),PRECIOS_TEJEDURIA!$A$4:$B$22,2,FALSE()),0)</f>
        <v>0</v>
      </c>
      <c r="K247" s="49"/>
      <c r="L247" s="50"/>
      <c r="M247" s="51">
        <f t="shared" si="1"/>
        <v>0</v>
      </c>
      <c r="N247" s="49"/>
      <c r="O247" s="49"/>
      <c r="P247" s="49"/>
      <c r="Q247" s="52"/>
      <c r="R247" s="53"/>
      <c r="S247" s="53"/>
      <c r="T247" s="54"/>
      <c r="U247" s="19">
        <f t="shared" si="2"/>
        <v>0</v>
      </c>
      <c r="V247" s="20">
        <f t="shared" si="3"/>
        <v>0</v>
      </c>
      <c r="W247" s="55">
        <f t="array" ref="W247">IFERROR(INDEX(PRECIOS_TINTORERIA!$B$4:$U$15,MATCH(D247,PRECIOS_TINTORERIA!$A$4:$A$15,0),MATCH(VLOOKUP(A247,PROGRAMAS!$A$4:$G$103,7,FALSE()),PRECIOS_TINTORERIA!$B$3:$U$3,0)),0)</f>
        <v>0</v>
      </c>
      <c r="X247" s="56"/>
      <c r="Y247" s="57"/>
      <c r="Z247" s="58">
        <f t="shared" si="4"/>
        <v>0</v>
      </c>
      <c r="AA247" s="56"/>
      <c r="AB247" s="56"/>
      <c r="AC247" s="56"/>
      <c r="AD247" s="23">
        <f>IFERROR((SUMIFS(COMPRAS_HILO!$H$4:$H$203,COMPRAS_HILO!$B$4:$B$203,A247))*F247/SUMIFS($F$4:$F$503,$A$4:$A$503,A247),0)</f>
        <v>0</v>
      </c>
      <c r="AE247" s="23">
        <f t="shared" si="5"/>
        <v>0</v>
      </c>
      <c r="AF247" s="23">
        <f t="shared" si="6"/>
        <v>0</v>
      </c>
      <c r="AG247" s="25">
        <f t="shared" si="7"/>
        <v>0</v>
      </c>
      <c r="AH247" s="25">
        <f t="shared" si="8"/>
        <v>0</v>
      </c>
      <c r="AI247" s="59"/>
    </row>
    <row r="248" ht="15.75" customHeight="1">
      <c r="A248" s="40"/>
      <c r="B248" s="33"/>
      <c r="C248" s="45" t="str">
        <f>IFERROR(VLOOKUP(B248,COLORES!$A$4:$B$52,2,FALSE()),"")</f>
        <v/>
      </c>
      <c r="D248" s="33"/>
      <c r="E248" s="46"/>
      <c r="F248" s="34"/>
      <c r="G248" s="33"/>
      <c r="H248" s="47"/>
      <c r="I248" s="47"/>
      <c r="J248" s="48">
        <f>IFERROR(VLOOKUP(VLOOKUP(A248,PROGRAMAS!$A$4:$G$103,7,FALSE()),PRECIOS_TEJEDURIA!$A$4:$B$22,2,FALSE()),0)</f>
        <v>0</v>
      </c>
      <c r="K248" s="49"/>
      <c r="L248" s="50"/>
      <c r="M248" s="51">
        <f t="shared" si="1"/>
        <v>0</v>
      </c>
      <c r="N248" s="49"/>
      <c r="O248" s="49"/>
      <c r="P248" s="49"/>
      <c r="Q248" s="52"/>
      <c r="R248" s="53"/>
      <c r="S248" s="53"/>
      <c r="T248" s="54"/>
      <c r="U248" s="19">
        <f t="shared" si="2"/>
        <v>0</v>
      </c>
      <c r="V248" s="20">
        <f t="shared" si="3"/>
        <v>0</v>
      </c>
      <c r="W248" s="55">
        <f t="array" ref="W248">IFERROR(INDEX(PRECIOS_TINTORERIA!$B$4:$U$15,MATCH(D248,PRECIOS_TINTORERIA!$A$4:$A$15,0),MATCH(VLOOKUP(A248,PROGRAMAS!$A$4:$G$103,7,FALSE()),PRECIOS_TINTORERIA!$B$3:$U$3,0)),0)</f>
        <v>0</v>
      </c>
      <c r="X248" s="56"/>
      <c r="Y248" s="57"/>
      <c r="Z248" s="58">
        <f t="shared" si="4"/>
        <v>0</v>
      </c>
      <c r="AA248" s="56"/>
      <c r="AB248" s="56"/>
      <c r="AC248" s="56"/>
      <c r="AD248" s="23">
        <f>IFERROR((SUMIFS(COMPRAS_HILO!$H$4:$H$203,COMPRAS_HILO!$B$4:$B$203,A248))*F248/SUMIFS($F$4:$F$503,$A$4:$A$503,A248),0)</f>
        <v>0</v>
      </c>
      <c r="AE248" s="23">
        <f t="shared" si="5"/>
        <v>0</v>
      </c>
      <c r="AF248" s="23">
        <f t="shared" si="6"/>
        <v>0</v>
      </c>
      <c r="AG248" s="25">
        <f t="shared" si="7"/>
        <v>0</v>
      </c>
      <c r="AH248" s="25">
        <f t="shared" si="8"/>
        <v>0</v>
      </c>
      <c r="AI248" s="59"/>
    </row>
    <row r="249" ht="15.75" customHeight="1">
      <c r="A249" s="40"/>
      <c r="B249" s="33"/>
      <c r="C249" s="45" t="str">
        <f>IFERROR(VLOOKUP(B249,COLORES!$A$4:$B$52,2,FALSE()),"")</f>
        <v/>
      </c>
      <c r="D249" s="33"/>
      <c r="E249" s="46"/>
      <c r="F249" s="34"/>
      <c r="G249" s="33"/>
      <c r="H249" s="47"/>
      <c r="I249" s="47"/>
      <c r="J249" s="48">
        <f>IFERROR(VLOOKUP(VLOOKUP(A249,PROGRAMAS!$A$4:$G$103,7,FALSE()),PRECIOS_TEJEDURIA!$A$4:$B$22,2,FALSE()),0)</f>
        <v>0</v>
      </c>
      <c r="K249" s="49"/>
      <c r="L249" s="50"/>
      <c r="M249" s="51">
        <f t="shared" si="1"/>
        <v>0</v>
      </c>
      <c r="N249" s="49"/>
      <c r="O249" s="49"/>
      <c r="P249" s="49"/>
      <c r="Q249" s="52"/>
      <c r="R249" s="53"/>
      <c r="S249" s="53"/>
      <c r="T249" s="54"/>
      <c r="U249" s="19">
        <f t="shared" si="2"/>
        <v>0</v>
      </c>
      <c r="V249" s="20">
        <f t="shared" si="3"/>
        <v>0</v>
      </c>
      <c r="W249" s="55">
        <f t="array" ref="W249">IFERROR(INDEX(PRECIOS_TINTORERIA!$B$4:$U$15,MATCH(D249,PRECIOS_TINTORERIA!$A$4:$A$15,0),MATCH(VLOOKUP(A249,PROGRAMAS!$A$4:$G$103,7,FALSE()),PRECIOS_TINTORERIA!$B$3:$U$3,0)),0)</f>
        <v>0</v>
      </c>
      <c r="X249" s="56"/>
      <c r="Y249" s="57"/>
      <c r="Z249" s="58">
        <f t="shared" si="4"/>
        <v>0</v>
      </c>
      <c r="AA249" s="56"/>
      <c r="AB249" s="56"/>
      <c r="AC249" s="56"/>
      <c r="AD249" s="23">
        <f>IFERROR((SUMIFS(COMPRAS_HILO!$H$4:$H$203,COMPRAS_HILO!$B$4:$B$203,A249))*F249/SUMIFS($F$4:$F$503,$A$4:$A$503,A249),0)</f>
        <v>0</v>
      </c>
      <c r="AE249" s="23">
        <f t="shared" si="5"/>
        <v>0</v>
      </c>
      <c r="AF249" s="23">
        <f t="shared" si="6"/>
        <v>0</v>
      </c>
      <c r="AG249" s="25">
        <f t="shared" si="7"/>
        <v>0</v>
      </c>
      <c r="AH249" s="25">
        <f t="shared" si="8"/>
        <v>0</v>
      </c>
      <c r="AI249" s="59"/>
    </row>
    <row r="250" ht="15.75" customHeight="1">
      <c r="A250" s="40"/>
      <c r="B250" s="33"/>
      <c r="C250" s="45" t="str">
        <f>IFERROR(VLOOKUP(B250,COLORES!$A$4:$B$52,2,FALSE()),"")</f>
        <v/>
      </c>
      <c r="D250" s="33"/>
      <c r="E250" s="46"/>
      <c r="F250" s="34"/>
      <c r="G250" s="33"/>
      <c r="H250" s="47"/>
      <c r="I250" s="47"/>
      <c r="J250" s="48">
        <f>IFERROR(VLOOKUP(VLOOKUP(A250,PROGRAMAS!$A$4:$G$103,7,FALSE()),PRECIOS_TEJEDURIA!$A$4:$B$22,2,FALSE()),0)</f>
        <v>0</v>
      </c>
      <c r="K250" s="49"/>
      <c r="L250" s="50"/>
      <c r="M250" s="51">
        <f t="shared" si="1"/>
        <v>0</v>
      </c>
      <c r="N250" s="49"/>
      <c r="O250" s="49"/>
      <c r="P250" s="49"/>
      <c r="Q250" s="52"/>
      <c r="R250" s="53"/>
      <c r="S250" s="53"/>
      <c r="T250" s="54"/>
      <c r="U250" s="19">
        <f t="shared" si="2"/>
        <v>0</v>
      </c>
      <c r="V250" s="20">
        <f t="shared" si="3"/>
        <v>0</v>
      </c>
      <c r="W250" s="55">
        <f t="array" ref="W250">IFERROR(INDEX(PRECIOS_TINTORERIA!$B$4:$U$15,MATCH(D250,PRECIOS_TINTORERIA!$A$4:$A$15,0),MATCH(VLOOKUP(A250,PROGRAMAS!$A$4:$G$103,7,FALSE()),PRECIOS_TINTORERIA!$B$3:$U$3,0)),0)</f>
        <v>0</v>
      </c>
      <c r="X250" s="56"/>
      <c r="Y250" s="57"/>
      <c r="Z250" s="58">
        <f t="shared" si="4"/>
        <v>0</v>
      </c>
      <c r="AA250" s="56"/>
      <c r="AB250" s="56"/>
      <c r="AC250" s="56"/>
      <c r="AD250" s="23">
        <f>IFERROR((SUMIFS(COMPRAS_HILO!$H$4:$H$203,COMPRAS_HILO!$B$4:$B$203,A250))*F250/SUMIFS($F$4:$F$503,$A$4:$A$503,A250),0)</f>
        <v>0</v>
      </c>
      <c r="AE250" s="23">
        <f t="shared" si="5"/>
        <v>0</v>
      </c>
      <c r="AF250" s="23">
        <f t="shared" si="6"/>
        <v>0</v>
      </c>
      <c r="AG250" s="25">
        <f t="shared" si="7"/>
        <v>0</v>
      </c>
      <c r="AH250" s="25">
        <f t="shared" si="8"/>
        <v>0</v>
      </c>
      <c r="AI250" s="59"/>
    </row>
    <row r="251" ht="15.75" customHeight="1">
      <c r="A251" s="40"/>
      <c r="B251" s="33"/>
      <c r="C251" s="45" t="str">
        <f>IFERROR(VLOOKUP(B251,COLORES!$A$4:$B$52,2,FALSE()),"")</f>
        <v/>
      </c>
      <c r="D251" s="33"/>
      <c r="E251" s="46"/>
      <c r="F251" s="34"/>
      <c r="G251" s="33"/>
      <c r="H251" s="47"/>
      <c r="I251" s="47"/>
      <c r="J251" s="48">
        <f>IFERROR(VLOOKUP(VLOOKUP(A251,PROGRAMAS!$A$4:$G$103,7,FALSE()),PRECIOS_TEJEDURIA!$A$4:$B$22,2,FALSE()),0)</f>
        <v>0</v>
      </c>
      <c r="K251" s="49"/>
      <c r="L251" s="50"/>
      <c r="M251" s="51">
        <f t="shared" si="1"/>
        <v>0</v>
      </c>
      <c r="N251" s="49"/>
      <c r="O251" s="49"/>
      <c r="P251" s="49"/>
      <c r="Q251" s="52"/>
      <c r="R251" s="53"/>
      <c r="S251" s="53"/>
      <c r="T251" s="54"/>
      <c r="U251" s="19">
        <f t="shared" si="2"/>
        <v>0</v>
      </c>
      <c r="V251" s="20">
        <f t="shared" si="3"/>
        <v>0</v>
      </c>
      <c r="W251" s="55">
        <f t="array" ref="W251">IFERROR(INDEX(PRECIOS_TINTORERIA!$B$4:$U$15,MATCH(D251,PRECIOS_TINTORERIA!$A$4:$A$15,0),MATCH(VLOOKUP(A251,PROGRAMAS!$A$4:$G$103,7,FALSE()),PRECIOS_TINTORERIA!$B$3:$U$3,0)),0)</f>
        <v>0</v>
      </c>
      <c r="X251" s="56"/>
      <c r="Y251" s="57"/>
      <c r="Z251" s="58">
        <f t="shared" si="4"/>
        <v>0</v>
      </c>
      <c r="AA251" s="56"/>
      <c r="AB251" s="56"/>
      <c r="AC251" s="56"/>
      <c r="AD251" s="23">
        <f>IFERROR((SUMIFS(COMPRAS_HILO!$H$4:$H$203,COMPRAS_HILO!$B$4:$B$203,A251))*F251/SUMIFS($F$4:$F$503,$A$4:$A$503,A251),0)</f>
        <v>0</v>
      </c>
      <c r="AE251" s="23">
        <f t="shared" si="5"/>
        <v>0</v>
      </c>
      <c r="AF251" s="23">
        <f t="shared" si="6"/>
        <v>0</v>
      </c>
      <c r="AG251" s="25">
        <f t="shared" si="7"/>
        <v>0</v>
      </c>
      <c r="AH251" s="25">
        <f t="shared" si="8"/>
        <v>0</v>
      </c>
      <c r="AI251" s="59"/>
    </row>
    <row r="252" ht="15.75" customHeight="1">
      <c r="A252" s="40"/>
      <c r="B252" s="33"/>
      <c r="C252" s="45" t="str">
        <f>IFERROR(VLOOKUP(B252,COLORES!$A$4:$B$52,2,FALSE()),"")</f>
        <v/>
      </c>
      <c r="D252" s="33"/>
      <c r="E252" s="46"/>
      <c r="F252" s="34"/>
      <c r="G252" s="33"/>
      <c r="H252" s="47"/>
      <c r="I252" s="47"/>
      <c r="J252" s="48">
        <f>IFERROR(VLOOKUP(VLOOKUP(A252,PROGRAMAS!$A$4:$G$103,7,FALSE()),PRECIOS_TEJEDURIA!$A$4:$B$22,2,FALSE()),0)</f>
        <v>0</v>
      </c>
      <c r="K252" s="49"/>
      <c r="L252" s="50"/>
      <c r="M252" s="51">
        <f t="shared" si="1"/>
        <v>0</v>
      </c>
      <c r="N252" s="49"/>
      <c r="O252" s="49"/>
      <c r="P252" s="49"/>
      <c r="Q252" s="52"/>
      <c r="R252" s="53"/>
      <c r="S252" s="53"/>
      <c r="T252" s="54"/>
      <c r="U252" s="19">
        <f t="shared" si="2"/>
        <v>0</v>
      </c>
      <c r="V252" s="20">
        <f t="shared" si="3"/>
        <v>0</v>
      </c>
      <c r="W252" s="55">
        <f t="array" ref="W252">IFERROR(INDEX(PRECIOS_TINTORERIA!$B$4:$U$15,MATCH(D252,PRECIOS_TINTORERIA!$A$4:$A$15,0),MATCH(VLOOKUP(A252,PROGRAMAS!$A$4:$G$103,7,FALSE()),PRECIOS_TINTORERIA!$B$3:$U$3,0)),0)</f>
        <v>0</v>
      </c>
      <c r="X252" s="56"/>
      <c r="Y252" s="57"/>
      <c r="Z252" s="58">
        <f t="shared" si="4"/>
        <v>0</v>
      </c>
      <c r="AA252" s="56"/>
      <c r="AB252" s="56"/>
      <c r="AC252" s="56"/>
      <c r="AD252" s="23">
        <f>IFERROR((SUMIFS(COMPRAS_HILO!$H$4:$H$203,COMPRAS_HILO!$B$4:$B$203,A252))*F252/SUMIFS($F$4:$F$503,$A$4:$A$503,A252),0)</f>
        <v>0</v>
      </c>
      <c r="AE252" s="23">
        <f t="shared" si="5"/>
        <v>0</v>
      </c>
      <c r="AF252" s="23">
        <f t="shared" si="6"/>
        <v>0</v>
      </c>
      <c r="AG252" s="25">
        <f t="shared" si="7"/>
        <v>0</v>
      </c>
      <c r="AH252" s="25">
        <f t="shared" si="8"/>
        <v>0</v>
      </c>
      <c r="AI252" s="59"/>
    </row>
    <row r="253" ht="15.75" customHeight="1">
      <c r="A253" s="40"/>
      <c r="B253" s="33"/>
      <c r="C253" s="45" t="str">
        <f>IFERROR(VLOOKUP(B253,COLORES!$A$4:$B$52,2,FALSE()),"")</f>
        <v/>
      </c>
      <c r="D253" s="33"/>
      <c r="E253" s="46"/>
      <c r="F253" s="34"/>
      <c r="G253" s="33"/>
      <c r="H253" s="47"/>
      <c r="I253" s="47"/>
      <c r="J253" s="48">
        <f>IFERROR(VLOOKUP(VLOOKUP(A253,PROGRAMAS!$A$4:$G$103,7,FALSE()),PRECIOS_TEJEDURIA!$A$4:$B$22,2,FALSE()),0)</f>
        <v>0</v>
      </c>
      <c r="K253" s="49"/>
      <c r="L253" s="50"/>
      <c r="M253" s="51">
        <f t="shared" si="1"/>
        <v>0</v>
      </c>
      <c r="N253" s="49"/>
      <c r="O253" s="49"/>
      <c r="P253" s="49"/>
      <c r="Q253" s="52"/>
      <c r="R253" s="53"/>
      <c r="S253" s="53"/>
      <c r="T253" s="54"/>
      <c r="U253" s="19">
        <f t="shared" si="2"/>
        <v>0</v>
      </c>
      <c r="V253" s="20">
        <f t="shared" si="3"/>
        <v>0</v>
      </c>
      <c r="W253" s="55">
        <f t="array" ref="W253">IFERROR(INDEX(PRECIOS_TINTORERIA!$B$4:$U$15,MATCH(D253,PRECIOS_TINTORERIA!$A$4:$A$15,0),MATCH(VLOOKUP(A253,PROGRAMAS!$A$4:$G$103,7,FALSE()),PRECIOS_TINTORERIA!$B$3:$U$3,0)),0)</f>
        <v>0</v>
      </c>
      <c r="X253" s="56"/>
      <c r="Y253" s="57"/>
      <c r="Z253" s="58">
        <f t="shared" si="4"/>
        <v>0</v>
      </c>
      <c r="AA253" s="56"/>
      <c r="AB253" s="56"/>
      <c r="AC253" s="56"/>
      <c r="AD253" s="23">
        <f>IFERROR((SUMIFS(COMPRAS_HILO!$H$4:$H$203,COMPRAS_HILO!$B$4:$B$203,A253))*F253/SUMIFS($F$4:$F$503,$A$4:$A$503,A253),0)</f>
        <v>0</v>
      </c>
      <c r="AE253" s="23">
        <f t="shared" si="5"/>
        <v>0</v>
      </c>
      <c r="AF253" s="23">
        <f t="shared" si="6"/>
        <v>0</v>
      </c>
      <c r="AG253" s="25">
        <f t="shared" si="7"/>
        <v>0</v>
      </c>
      <c r="AH253" s="25">
        <f t="shared" si="8"/>
        <v>0</v>
      </c>
      <c r="AI253" s="59"/>
    </row>
    <row r="254" ht="15.75" customHeight="1">
      <c r="A254" s="40"/>
      <c r="B254" s="33"/>
      <c r="C254" s="45" t="str">
        <f>IFERROR(VLOOKUP(B254,COLORES!$A$4:$B$52,2,FALSE()),"")</f>
        <v/>
      </c>
      <c r="D254" s="33"/>
      <c r="E254" s="46"/>
      <c r="F254" s="34"/>
      <c r="G254" s="33"/>
      <c r="H254" s="47"/>
      <c r="I254" s="47"/>
      <c r="J254" s="48">
        <f>IFERROR(VLOOKUP(VLOOKUP(A254,PROGRAMAS!$A$4:$G$103,7,FALSE()),PRECIOS_TEJEDURIA!$A$4:$B$22,2,FALSE()),0)</f>
        <v>0</v>
      </c>
      <c r="K254" s="49"/>
      <c r="L254" s="50"/>
      <c r="M254" s="51">
        <f t="shared" si="1"/>
        <v>0</v>
      </c>
      <c r="N254" s="49"/>
      <c r="O254" s="49"/>
      <c r="P254" s="49"/>
      <c r="Q254" s="52"/>
      <c r="R254" s="53"/>
      <c r="S254" s="53"/>
      <c r="T254" s="54"/>
      <c r="U254" s="19">
        <f t="shared" si="2"/>
        <v>0</v>
      </c>
      <c r="V254" s="20">
        <f t="shared" si="3"/>
        <v>0</v>
      </c>
      <c r="W254" s="55">
        <f t="array" ref="W254">IFERROR(INDEX(PRECIOS_TINTORERIA!$B$4:$U$15,MATCH(D254,PRECIOS_TINTORERIA!$A$4:$A$15,0),MATCH(VLOOKUP(A254,PROGRAMAS!$A$4:$G$103,7,FALSE()),PRECIOS_TINTORERIA!$B$3:$U$3,0)),0)</f>
        <v>0</v>
      </c>
      <c r="X254" s="56"/>
      <c r="Y254" s="57"/>
      <c r="Z254" s="58">
        <f t="shared" si="4"/>
        <v>0</v>
      </c>
      <c r="AA254" s="56"/>
      <c r="AB254" s="56"/>
      <c r="AC254" s="56"/>
      <c r="AD254" s="23">
        <f>IFERROR((SUMIFS(COMPRAS_HILO!$H$4:$H$203,COMPRAS_HILO!$B$4:$B$203,A254))*F254/SUMIFS($F$4:$F$503,$A$4:$A$503,A254),0)</f>
        <v>0</v>
      </c>
      <c r="AE254" s="23">
        <f t="shared" si="5"/>
        <v>0</v>
      </c>
      <c r="AF254" s="23">
        <f t="shared" si="6"/>
        <v>0</v>
      </c>
      <c r="AG254" s="25">
        <f t="shared" si="7"/>
        <v>0</v>
      </c>
      <c r="AH254" s="25">
        <f t="shared" si="8"/>
        <v>0</v>
      </c>
      <c r="AI254" s="59"/>
    </row>
    <row r="255" ht="15.75" customHeight="1">
      <c r="A255" s="40"/>
      <c r="B255" s="33"/>
      <c r="C255" s="45" t="str">
        <f>IFERROR(VLOOKUP(B255,COLORES!$A$4:$B$52,2,FALSE()),"")</f>
        <v/>
      </c>
      <c r="D255" s="33"/>
      <c r="E255" s="46"/>
      <c r="F255" s="34"/>
      <c r="G255" s="33"/>
      <c r="H255" s="47"/>
      <c r="I255" s="47"/>
      <c r="J255" s="48">
        <f>IFERROR(VLOOKUP(VLOOKUP(A255,PROGRAMAS!$A$4:$G$103,7,FALSE()),PRECIOS_TEJEDURIA!$A$4:$B$22,2,FALSE()),0)</f>
        <v>0</v>
      </c>
      <c r="K255" s="49"/>
      <c r="L255" s="50"/>
      <c r="M255" s="51">
        <f t="shared" si="1"/>
        <v>0</v>
      </c>
      <c r="N255" s="49"/>
      <c r="O255" s="49"/>
      <c r="P255" s="49"/>
      <c r="Q255" s="52"/>
      <c r="R255" s="53"/>
      <c r="S255" s="53"/>
      <c r="T255" s="54"/>
      <c r="U255" s="19">
        <f t="shared" si="2"/>
        <v>0</v>
      </c>
      <c r="V255" s="20">
        <f t="shared" si="3"/>
        <v>0</v>
      </c>
      <c r="W255" s="55">
        <f t="array" ref="W255">IFERROR(INDEX(PRECIOS_TINTORERIA!$B$4:$U$15,MATCH(D255,PRECIOS_TINTORERIA!$A$4:$A$15,0),MATCH(VLOOKUP(A255,PROGRAMAS!$A$4:$G$103,7,FALSE()),PRECIOS_TINTORERIA!$B$3:$U$3,0)),0)</f>
        <v>0</v>
      </c>
      <c r="X255" s="56"/>
      <c r="Y255" s="57"/>
      <c r="Z255" s="58">
        <f t="shared" si="4"/>
        <v>0</v>
      </c>
      <c r="AA255" s="56"/>
      <c r="AB255" s="56"/>
      <c r="AC255" s="56"/>
      <c r="AD255" s="23">
        <f>IFERROR((SUMIFS(COMPRAS_HILO!$H$4:$H$203,COMPRAS_HILO!$B$4:$B$203,A255))*F255/SUMIFS($F$4:$F$503,$A$4:$A$503,A255),0)</f>
        <v>0</v>
      </c>
      <c r="AE255" s="23">
        <f t="shared" si="5"/>
        <v>0</v>
      </c>
      <c r="AF255" s="23">
        <f t="shared" si="6"/>
        <v>0</v>
      </c>
      <c r="AG255" s="25">
        <f t="shared" si="7"/>
        <v>0</v>
      </c>
      <c r="AH255" s="25">
        <f t="shared" si="8"/>
        <v>0</v>
      </c>
      <c r="AI255" s="59"/>
    </row>
    <row r="256" ht="15.75" customHeight="1">
      <c r="A256" s="40"/>
      <c r="B256" s="33"/>
      <c r="C256" s="45" t="str">
        <f>IFERROR(VLOOKUP(B256,COLORES!$A$4:$B$52,2,FALSE()),"")</f>
        <v/>
      </c>
      <c r="D256" s="33"/>
      <c r="E256" s="46"/>
      <c r="F256" s="34"/>
      <c r="G256" s="33"/>
      <c r="H256" s="47"/>
      <c r="I256" s="47"/>
      <c r="J256" s="48">
        <f>IFERROR(VLOOKUP(VLOOKUP(A256,PROGRAMAS!$A$4:$G$103,7,FALSE()),PRECIOS_TEJEDURIA!$A$4:$B$22,2,FALSE()),0)</f>
        <v>0</v>
      </c>
      <c r="K256" s="49"/>
      <c r="L256" s="50"/>
      <c r="M256" s="51">
        <f t="shared" si="1"/>
        <v>0</v>
      </c>
      <c r="N256" s="49"/>
      <c r="O256" s="49"/>
      <c r="P256" s="49"/>
      <c r="Q256" s="52"/>
      <c r="R256" s="53"/>
      <c r="S256" s="53"/>
      <c r="T256" s="54"/>
      <c r="U256" s="19">
        <f t="shared" si="2"/>
        <v>0</v>
      </c>
      <c r="V256" s="20">
        <f t="shared" si="3"/>
        <v>0</v>
      </c>
      <c r="W256" s="55">
        <f t="array" ref="W256">IFERROR(INDEX(PRECIOS_TINTORERIA!$B$4:$U$15,MATCH(D256,PRECIOS_TINTORERIA!$A$4:$A$15,0),MATCH(VLOOKUP(A256,PROGRAMAS!$A$4:$G$103,7,FALSE()),PRECIOS_TINTORERIA!$B$3:$U$3,0)),0)</f>
        <v>0</v>
      </c>
      <c r="X256" s="56"/>
      <c r="Y256" s="57"/>
      <c r="Z256" s="58">
        <f t="shared" si="4"/>
        <v>0</v>
      </c>
      <c r="AA256" s="56"/>
      <c r="AB256" s="56"/>
      <c r="AC256" s="56"/>
      <c r="AD256" s="23">
        <f>IFERROR((SUMIFS(COMPRAS_HILO!$H$4:$H$203,COMPRAS_HILO!$B$4:$B$203,A256))*F256/SUMIFS($F$4:$F$503,$A$4:$A$503,A256),0)</f>
        <v>0</v>
      </c>
      <c r="AE256" s="23">
        <f t="shared" si="5"/>
        <v>0</v>
      </c>
      <c r="AF256" s="23">
        <f t="shared" si="6"/>
        <v>0</v>
      </c>
      <c r="AG256" s="25">
        <f t="shared" si="7"/>
        <v>0</v>
      </c>
      <c r="AH256" s="25">
        <f t="shared" si="8"/>
        <v>0</v>
      </c>
      <c r="AI256" s="59"/>
    </row>
    <row r="257" ht="15.75" customHeight="1">
      <c r="A257" s="40"/>
      <c r="B257" s="33"/>
      <c r="C257" s="45" t="str">
        <f>IFERROR(VLOOKUP(B257,COLORES!$A$4:$B$52,2,FALSE()),"")</f>
        <v/>
      </c>
      <c r="D257" s="33"/>
      <c r="E257" s="46"/>
      <c r="F257" s="34"/>
      <c r="G257" s="33"/>
      <c r="H257" s="47"/>
      <c r="I257" s="47"/>
      <c r="J257" s="48">
        <f>IFERROR(VLOOKUP(VLOOKUP(A257,PROGRAMAS!$A$4:$G$103,7,FALSE()),PRECIOS_TEJEDURIA!$A$4:$B$22,2,FALSE()),0)</f>
        <v>0</v>
      </c>
      <c r="K257" s="49"/>
      <c r="L257" s="50"/>
      <c r="M257" s="51">
        <f t="shared" si="1"/>
        <v>0</v>
      </c>
      <c r="N257" s="49"/>
      <c r="O257" s="49"/>
      <c r="P257" s="49"/>
      <c r="Q257" s="52"/>
      <c r="R257" s="53"/>
      <c r="S257" s="53"/>
      <c r="T257" s="54"/>
      <c r="U257" s="19">
        <f t="shared" si="2"/>
        <v>0</v>
      </c>
      <c r="V257" s="20">
        <f t="shared" si="3"/>
        <v>0</v>
      </c>
      <c r="W257" s="55">
        <f t="array" ref="W257">IFERROR(INDEX(PRECIOS_TINTORERIA!$B$4:$U$15,MATCH(D257,PRECIOS_TINTORERIA!$A$4:$A$15,0),MATCH(VLOOKUP(A257,PROGRAMAS!$A$4:$G$103,7,FALSE()),PRECIOS_TINTORERIA!$B$3:$U$3,0)),0)</f>
        <v>0</v>
      </c>
      <c r="X257" s="56"/>
      <c r="Y257" s="57"/>
      <c r="Z257" s="58">
        <f t="shared" si="4"/>
        <v>0</v>
      </c>
      <c r="AA257" s="56"/>
      <c r="AB257" s="56"/>
      <c r="AC257" s="56"/>
      <c r="AD257" s="23">
        <f>IFERROR((SUMIFS(COMPRAS_HILO!$H$4:$H$203,COMPRAS_HILO!$B$4:$B$203,A257))*F257/SUMIFS($F$4:$F$503,$A$4:$A$503,A257),0)</f>
        <v>0</v>
      </c>
      <c r="AE257" s="23">
        <f t="shared" si="5"/>
        <v>0</v>
      </c>
      <c r="AF257" s="23">
        <f t="shared" si="6"/>
        <v>0</v>
      </c>
      <c r="AG257" s="25">
        <f t="shared" si="7"/>
        <v>0</v>
      </c>
      <c r="AH257" s="25">
        <f t="shared" si="8"/>
        <v>0</v>
      </c>
      <c r="AI257" s="59"/>
    </row>
    <row r="258" ht="15.75" customHeight="1">
      <c r="A258" s="40"/>
      <c r="B258" s="33"/>
      <c r="C258" s="45" t="str">
        <f>IFERROR(VLOOKUP(B258,COLORES!$A$4:$B$52,2,FALSE()),"")</f>
        <v/>
      </c>
      <c r="D258" s="33"/>
      <c r="E258" s="46"/>
      <c r="F258" s="34"/>
      <c r="G258" s="33"/>
      <c r="H258" s="47"/>
      <c r="I258" s="47"/>
      <c r="J258" s="48">
        <f>IFERROR(VLOOKUP(VLOOKUP(A258,PROGRAMAS!$A$4:$G$103,7,FALSE()),PRECIOS_TEJEDURIA!$A$4:$B$22,2,FALSE()),0)</f>
        <v>0</v>
      </c>
      <c r="K258" s="49"/>
      <c r="L258" s="50"/>
      <c r="M258" s="51">
        <f t="shared" si="1"/>
        <v>0</v>
      </c>
      <c r="N258" s="49"/>
      <c r="O258" s="49"/>
      <c r="P258" s="49"/>
      <c r="Q258" s="52"/>
      <c r="R258" s="53"/>
      <c r="S258" s="53"/>
      <c r="T258" s="54"/>
      <c r="U258" s="19">
        <f t="shared" si="2"/>
        <v>0</v>
      </c>
      <c r="V258" s="20">
        <f t="shared" si="3"/>
        <v>0</v>
      </c>
      <c r="W258" s="55">
        <f t="array" ref="W258">IFERROR(INDEX(PRECIOS_TINTORERIA!$B$4:$U$15,MATCH(D258,PRECIOS_TINTORERIA!$A$4:$A$15,0),MATCH(VLOOKUP(A258,PROGRAMAS!$A$4:$G$103,7,FALSE()),PRECIOS_TINTORERIA!$B$3:$U$3,0)),0)</f>
        <v>0</v>
      </c>
      <c r="X258" s="56"/>
      <c r="Y258" s="57"/>
      <c r="Z258" s="58">
        <f t="shared" si="4"/>
        <v>0</v>
      </c>
      <c r="AA258" s="56"/>
      <c r="AB258" s="56"/>
      <c r="AC258" s="56"/>
      <c r="AD258" s="23">
        <f>IFERROR((SUMIFS(COMPRAS_HILO!$H$4:$H$203,COMPRAS_HILO!$B$4:$B$203,A258))*F258/SUMIFS($F$4:$F$503,$A$4:$A$503,A258),0)</f>
        <v>0</v>
      </c>
      <c r="AE258" s="23">
        <f t="shared" si="5"/>
        <v>0</v>
      </c>
      <c r="AF258" s="23">
        <f t="shared" si="6"/>
        <v>0</v>
      </c>
      <c r="AG258" s="25">
        <f t="shared" si="7"/>
        <v>0</v>
      </c>
      <c r="AH258" s="25">
        <f t="shared" si="8"/>
        <v>0</v>
      </c>
      <c r="AI258" s="59"/>
    </row>
    <row r="259" ht="15.75" customHeight="1">
      <c r="A259" s="40"/>
      <c r="B259" s="33"/>
      <c r="C259" s="45" t="str">
        <f>IFERROR(VLOOKUP(B259,COLORES!$A$4:$B$52,2,FALSE()),"")</f>
        <v/>
      </c>
      <c r="D259" s="33"/>
      <c r="E259" s="46"/>
      <c r="F259" s="34"/>
      <c r="G259" s="33"/>
      <c r="H259" s="47"/>
      <c r="I259" s="47"/>
      <c r="J259" s="48">
        <f>IFERROR(VLOOKUP(VLOOKUP(A259,PROGRAMAS!$A$4:$G$103,7,FALSE()),PRECIOS_TEJEDURIA!$A$4:$B$22,2,FALSE()),0)</f>
        <v>0</v>
      </c>
      <c r="K259" s="49"/>
      <c r="L259" s="50"/>
      <c r="M259" s="51">
        <f t="shared" si="1"/>
        <v>0</v>
      </c>
      <c r="N259" s="49"/>
      <c r="O259" s="49"/>
      <c r="P259" s="49"/>
      <c r="Q259" s="52"/>
      <c r="R259" s="53"/>
      <c r="S259" s="53"/>
      <c r="T259" s="54"/>
      <c r="U259" s="19">
        <f t="shared" si="2"/>
        <v>0</v>
      </c>
      <c r="V259" s="20">
        <f t="shared" si="3"/>
        <v>0</v>
      </c>
      <c r="W259" s="55">
        <f t="array" ref="W259">IFERROR(INDEX(PRECIOS_TINTORERIA!$B$4:$U$15,MATCH(D259,PRECIOS_TINTORERIA!$A$4:$A$15,0),MATCH(VLOOKUP(A259,PROGRAMAS!$A$4:$G$103,7,FALSE()),PRECIOS_TINTORERIA!$B$3:$U$3,0)),0)</f>
        <v>0</v>
      </c>
      <c r="X259" s="56"/>
      <c r="Y259" s="57"/>
      <c r="Z259" s="58">
        <f t="shared" si="4"/>
        <v>0</v>
      </c>
      <c r="AA259" s="56"/>
      <c r="AB259" s="56"/>
      <c r="AC259" s="56"/>
      <c r="AD259" s="23">
        <f>IFERROR((SUMIFS(COMPRAS_HILO!$H$4:$H$203,COMPRAS_HILO!$B$4:$B$203,A259))*F259/SUMIFS($F$4:$F$503,$A$4:$A$503,A259),0)</f>
        <v>0</v>
      </c>
      <c r="AE259" s="23">
        <f t="shared" si="5"/>
        <v>0</v>
      </c>
      <c r="AF259" s="23">
        <f t="shared" si="6"/>
        <v>0</v>
      </c>
      <c r="AG259" s="25">
        <f t="shared" si="7"/>
        <v>0</v>
      </c>
      <c r="AH259" s="25">
        <f t="shared" si="8"/>
        <v>0</v>
      </c>
      <c r="AI259" s="59"/>
    </row>
    <row r="260" ht="15.75" customHeight="1">
      <c r="A260" s="40"/>
      <c r="B260" s="33"/>
      <c r="C260" s="45" t="str">
        <f>IFERROR(VLOOKUP(B260,COLORES!$A$4:$B$52,2,FALSE()),"")</f>
        <v/>
      </c>
      <c r="D260" s="33"/>
      <c r="E260" s="46"/>
      <c r="F260" s="34"/>
      <c r="G260" s="33"/>
      <c r="H260" s="47"/>
      <c r="I260" s="47"/>
      <c r="J260" s="48">
        <f>IFERROR(VLOOKUP(VLOOKUP(A260,PROGRAMAS!$A$4:$G$103,7,FALSE()),PRECIOS_TEJEDURIA!$A$4:$B$22,2,FALSE()),0)</f>
        <v>0</v>
      </c>
      <c r="K260" s="49"/>
      <c r="L260" s="50"/>
      <c r="M260" s="51">
        <f t="shared" si="1"/>
        <v>0</v>
      </c>
      <c r="N260" s="49"/>
      <c r="O260" s="49"/>
      <c r="P260" s="49"/>
      <c r="Q260" s="52"/>
      <c r="R260" s="53"/>
      <c r="S260" s="53"/>
      <c r="T260" s="54"/>
      <c r="U260" s="19">
        <f t="shared" si="2"/>
        <v>0</v>
      </c>
      <c r="V260" s="20">
        <f t="shared" si="3"/>
        <v>0</v>
      </c>
      <c r="W260" s="55">
        <f t="array" ref="W260">IFERROR(INDEX(PRECIOS_TINTORERIA!$B$4:$U$15,MATCH(D260,PRECIOS_TINTORERIA!$A$4:$A$15,0),MATCH(VLOOKUP(A260,PROGRAMAS!$A$4:$G$103,7,FALSE()),PRECIOS_TINTORERIA!$B$3:$U$3,0)),0)</f>
        <v>0</v>
      </c>
      <c r="X260" s="56"/>
      <c r="Y260" s="57"/>
      <c r="Z260" s="58">
        <f t="shared" si="4"/>
        <v>0</v>
      </c>
      <c r="AA260" s="56"/>
      <c r="AB260" s="56"/>
      <c r="AC260" s="56"/>
      <c r="AD260" s="23">
        <f>IFERROR((SUMIFS(COMPRAS_HILO!$H$4:$H$203,COMPRAS_HILO!$B$4:$B$203,A260))*F260/SUMIFS($F$4:$F$503,$A$4:$A$503,A260),0)</f>
        <v>0</v>
      </c>
      <c r="AE260" s="23">
        <f t="shared" si="5"/>
        <v>0</v>
      </c>
      <c r="AF260" s="23">
        <f t="shared" si="6"/>
        <v>0</v>
      </c>
      <c r="AG260" s="25">
        <f t="shared" si="7"/>
        <v>0</v>
      </c>
      <c r="AH260" s="25">
        <f t="shared" si="8"/>
        <v>0</v>
      </c>
      <c r="AI260" s="59"/>
    </row>
    <row r="261" ht="15.75" customHeight="1">
      <c r="A261" s="40"/>
      <c r="B261" s="33"/>
      <c r="C261" s="45" t="str">
        <f>IFERROR(VLOOKUP(B261,COLORES!$A$4:$B$52,2,FALSE()),"")</f>
        <v/>
      </c>
      <c r="D261" s="33"/>
      <c r="E261" s="46"/>
      <c r="F261" s="34"/>
      <c r="G261" s="33"/>
      <c r="H261" s="47"/>
      <c r="I261" s="47"/>
      <c r="J261" s="48">
        <f>IFERROR(VLOOKUP(VLOOKUP(A261,PROGRAMAS!$A$4:$G$103,7,FALSE()),PRECIOS_TEJEDURIA!$A$4:$B$22,2,FALSE()),0)</f>
        <v>0</v>
      </c>
      <c r="K261" s="49"/>
      <c r="L261" s="50"/>
      <c r="M261" s="51">
        <f t="shared" si="1"/>
        <v>0</v>
      </c>
      <c r="N261" s="49"/>
      <c r="O261" s="49"/>
      <c r="P261" s="49"/>
      <c r="Q261" s="52"/>
      <c r="R261" s="53"/>
      <c r="S261" s="53"/>
      <c r="T261" s="54"/>
      <c r="U261" s="19">
        <f t="shared" si="2"/>
        <v>0</v>
      </c>
      <c r="V261" s="20">
        <f t="shared" si="3"/>
        <v>0</v>
      </c>
      <c r="W261" s="55">
        <f t="array" ref="W261">IFERROR(INDEX(PRECIOS_TINTORERIA!$B$4:$U$15,MATCH(D261,PRECIOS_TINTORERIA!$A$4:$A$15,0),MATCH(VLOOKUP(A261,PROGRAMAS!$A$4:$G$103,7,FALSE()),PRECIOS_TINTORERIA!$B$3:$U$3,0)),0)</f>
        <v>0</v>
      </c>
      <c r="X261" s="56"/>
      <c r="Y261" s="57"/>
      <c r="Z261" s="58">
        <f t="shared" si="4"/>
        <v>0</v>
      </c>
      <c r="AA261" s="56"/>
      <c r="AB261" s="56"/>
      <c r="AC261" s="56"/>
      <c r="AD261" s="23">
        <f>IFERROR((SUMIFS(COMPRAS_HILO!$H$4:$H$203,COMPRAS_HILO!$B$4:$B$203,A261))*F261/SUMIFS($F$4:$F$503,$A$4:$A$503,A261),0)</f>
        <v>0</v>
      </c>
      <c r="AE261" s="23">
        <f t="shared" si="5"/>
        <v>0</v>
      </c>
      <c r="AF261" s="23">
        <f t="shared" si="6"/>
        <v>0</v>
      </c>
      <c r="AG261" s="25">
        <f t="shared" si="7"/>
        <v>0</v>
      </c>
      <c r="AH261" s="25">
        <f t="shared" si="8"/>
        <v>0</v>
      </c>
      <c r="AI261" s="59"/>
    </row>
    <row r="262" ht="15.75" customHeight="1">
      <c r="A262" s="40"/>
      <c r="B262" s="33"/>
      <c r="C262" s="45" t="str">
        <f>IFERROR(VLOOKUP(B262,COLORES!$A$4:$B$52,2,FALSE()),"")</f>
        <v/>
      </c>
      <c r="D262" s="33"/>
      <c r="E262" s="46"/>
      <c r="F262" s="34"/>
      <c r="G262" s="33"/>
      <c r="H262" s="47"/>
      <c r="I262" s="47"/>
      <c r="J262" s="48">
        <f>IFERROR(VLOOKUP(VLOOKUP(A262,PROGRAMAS!$A$4:$G$103,7,FALSE()),PRECIOS_TEJEDURIA!$A$4:$B$22,2,FALSE()),0)</f>
        <v>0</v>
      </c>
      <c r="K262" s="49"/>
      <c r="L262" s="50"/>
      <c r="M262" s="51">
        <f t="shared" si="1"/>
        <v>0</v>
      </c>
      <c r="N262" s="49"/>
      <c r="O262" s="49"/>
      <c r="P262" s="49"/>
      <c r="Q262" s="52"/>
      <c r="R262" s="53"/>
      <c r="S262" s="53"/>
      <c r="T262" s="54"/>
      <c r="U262" s="19">
        <f t="shared" si="2"/>
        <v>0</v>
      </c>
      <c r="V262" s="20">
        <f t="shared" si="3"/>
        <v>0</v>
      </c>
      <c r="W262" s="55">
        <f t="array" ref="W262">IFERROR(INDEX(PRECIOS_TINTORERIA!$B$4:$U$15,MATCH(D262,PRECIOS_TINTORERIA!$A$4:$A$15,0),MATCH(VLOOKUP(A262,PROGRAMAS!$A$4:$G$103,7,FALSE()),PRECIOS_TINTORERIA!$B$3:$U$3,0)),0)</f>
        <v>0</v>
      </c>
      <c r="X262" s="56"/>
      <c r="Y262" s="57"/>
      <c r="Z262" s="58">
        <f t="shared" si="4"/>
        <v>0</v>
      </c>
      <c r="AA262" s="56"/>
      <c r="AB262" s="56"/>
      <c r="AC262" s="56"/>
      <c r="AD262" s="23">
        <f>IFERROR((SUMIFS(COMPRAS_HILO!$H$4:$H$203,COMPRAS_HILO!$B$4:$B$203,A262))*F262/SUMIFS($F$4:$F$503,$A$4:$A$503,A262),0)</f>
        <v>0</v>
      </c>
      <c r="AE262" s="23">
        <f t="shared" si="5"/>
        <v>0</v>
      </c>
      <c r="AF262" s="23">
        <f t="shared" si="6"/>
        <v>0</v>
      </c>
      <c r="AG262" s="25">
        <f t="shared" si="7"/>
        <v>0</v>
      </c>
      <c r="AH262" s="25">
        <f t="shared" si="8"/>
        <v>0</v>
      </c>
      <c r="AI262" s="59"/>
    </row>
    <row r="263" ht="15.75" customHeight="1">
      <c r="A263" s="40"/>
      <c r="B263" s="33"/>
      <c r="C263" s="45" t="str">
        <f>IFERROR(VLOOKUP(B263,COLORES!$A$4:$B$52,2,FALSE()),"")</f>
        <v/>
      </c>
      <c r="D263" s="33"/>
      <c r="E263" s="46"/>
      <c r="F263" s="34"/>
      <c r="G263" s="33"/>
      <c r="H263" s="47"/>
      <c r="I263" s="47"/>
      <c r="J263" s="48">
        <f>IFERROR(VLOOKUP(VLOOKUP(A263,PROGRAMAS!$A$4:$G$103,7,FALSE()),PRECIOS_TEJEDURIA!$A$4:$B$22,2,FALSE()),0)</f>
        <v>0</v>
      </c>
      <c r="K263" s="49"/>
      <c r="L263" s="50"/>
      <c r="M263" s="51">
        <f t="shared" si="1"/>
        <v>0</v>
      </c>
      <c r="N263" s="49"/>
      <c r="O263" s="49"/>
      <c r="P263" s="49"/>
      <c r="Q263" s="52"/>
      <c r="R263" s="53"/>
      <c r="S263" s="53"/>
      <c r="T263" s="54"/>
      <c r="U263" s="19">
        <f t="shared" si="2"/>
        <v>0</v>
      </c>
      <c r="V263" s="20">
        <f t="shared" si="3"/>
        <v>0</v>
      </c>
      <c r="W263" s="55">
        <f t="array" ref="W263">IFERROR(INDEX(PRECIOS_TINTORERIA!$B$4:$U$15,MATCH(D263,PRECIOS_TINTORERIA!$A$4:$A$15,0),MATCH(VLOOKUP(A263,PROGRAMAS!$A$4:$G$103,7,FALSE()),PRECIOS_TINTORERIA!$B$3:$U$3,0)),0)</f>
        <v>0</v>
      </c>
      <c r="X263" s="56"/>
      <c r="Y263" s="57"/>
      <c r="Z263" s="58">
        <f t="shared" si="4"/>
        <v>0</v>
      </c>
      <c r="AA263" s="56"/>
      <c r="AB263" s="56"/>
      <c r="AC263" s="56"/>
      <c r="AD263" s="23">
        <f>IFERROR((SUMIFS(COMPRAS_HILO!$H$4:$H$203,COMPRAS_HILO!$B$4:$B$203,A263))*F263/SUMIFS($F$4:$F$503,$A$4:$A$503,A263),0)</f>
        <v>0</v>
      </c>
      <c r="AE263" s="23">
        <f t="shared" si="5"/>
        <v>0</v>
      </c>
      <c r="AF263" s="23">
        <f t="shared" si="6"/>
        <v>0</v>
      </c>
      <c r="AG263" s="25">
        <f t="shared" si="7"/>
        <v>0</v>
      </c>
      <c r="AH263" s="25">
        <f t="shared" si="8"/>
        <v>0</v>
      </c>
      <c r="AI263" s="59"/>
    </row>
    <row r="264" ht="15.75" customHeight="1">
      <c r="A264" s="40"/>
      <c r="B264" s="33"/>
      <c r="C264" s="45" t="str">
        <f>IFERROR(VLOOKUP(B264,COLORES!$A$4:$B$52,2,FALSE()),"")</f>
        <v/>
      </c>
      <c r="D264" s="33"/>
      <c r="E264" s="46"/>
      <c r="F264" s="34"/>
      <c r="G264" s="33"/>
      <c r="H264" s="47"/>
      <c r="I264" s="47"/>
      <c r="J264" s="48">
        <f>IFERROR(VLOOKUP(VLOOKUP(A264,PROGRAMAS!$A$4:$G$103,7,FALSE()),PRECIOS_TEJEDURIA!$A$4:$B$22,2,FALSE()),0)</f>
        <v>0</v>
      </c>
      <c r="K264" s="49"/>
      <c r="L264" s="50"/>
      <c r="M264" s="51">
        <f t="shared" si="1"/>
        <v>0</v>
      </c>
      <c r="N264" s="49"/>
      <c r="O264" s="49"/>
      <c r="P264" s="49"/>
      <c r="Q264" s="52"/>
      <c r="R264" s="53"/>
      <c r="S264" s="53"/>
      <c r="T264" s="54"/>
      <c r="U264" s="19">
        <f t="shared" si="2"/>
        <v>0</v>
      </c>
      <c r="V264" s="20">
        <f t="shared" si="3"/>
        <v>0</v>
      </c>
      <c r="W264" s="55">
        <f t="array" ref="W264">IFERROR(INDEX(PRECIOS_TINTORERIA!$B$4:$U$15,MATCH(D264,PRECIOS_TINTORERIA!$A$4:$A$15,0),MATCH(VLOOKUP(A264,PROGRAMAS!$A$4:$G$103,7,FALSE()),PRECIOS_TINTORERIA!$B$3:$U$3,0)),0)</f>
        <v>0</v>
      </c>
      <c r="X264" s="56"/>
      <c r="Y264" s="57"/>
      <c r="Z264" s="58">
        <f t="shared" si="4"/>
        <v>0</v>
      </c>
      <c r="AA264" s="56"/>
      <c r="AB264" s="56"/>
      <c r="AC264" s="56"/>
      <c r="AD264" s="23">
        <f>IFERROR((SUMIFS(COMPRAS_HILO!$H$4:$H$203,COMPRAS_HILO!$B$4:$B$203,A264))*F264/SUMIFS($F$4:$F$503,$A$4:$A$503,A264),0)</f>
        <v>0</v>
      </c>
      <c r="AE264" s="23">
        <f t="shared" si="5"/>
        <v>0</v>
      </c>
      <c r="AF264" s="23">
        <f t="shared" si="6"/>
        <v>0</v>
      </c>
      <c r="AG264" s="25">
        <f t="shared" si="7"/>
        <v>0</v>
      </c>
      <c r="AH264" s="25">
        <f t="shared" si="8"/>
        <v>0</v>
      </c>
      <c r="AI264" s="59"/>
    </row>
    <row r="265" ht="15.75" customHeight="1">
      <c r="A265" s="40"/>
      <c r="B265" s="33"/>
      <c r="C265" s="45" t="str">
        <f>IFERROR(VLOOKUP(B265,COLORES!$A$4:$B$52,2,FALSE()),"")</f>
        <v/>
      </c>
      <c r="D265" s="33"/>
      <c r="E265" s="46"/>
      <c r="F265" s="34"/>
      <c r="G265" s="33"/>
      <c r="H265" s="47"/>
      <c r="I265" s="47"/>
      <c r="J265" s="48">
        <f>IFERROR(VLOOKUP(VLOOKUP(A265,PROGRAMAS!$A$4:$G$103,7,FALSE()),PRECIOS_TEJEDURIA!$A$4:$B$22,2,FALSE()),0)</f>
        <v>0</v>
      </c>
      <c r="K265" s="49"/>
      <c r="L265" s="50"/>
      <c r="M265" s="51">
        <f t="shared" si="1"/>
        <v>0</v>
      </c>
      <c r="N265" s="49"/>
      <c r="O265" s="49"/>
      <c r="P265" s="49"/>
      <c r="Q265" s="52"/>
      <c r="R265" s="53"/>
      <c r="S265" s="53"/>
      <c r="T265" s="54"/>
      <c r="U265" s="19">
        <f t="shared" si="2"/>
        <v>0</v>
      </c>
      <c r="V265" s="20">
        <f t="shared" si="3"/>
        <v>0</v>
      </c>
      <c r="W265" s="55">
        <f t="array" ref="W265">IFERROR(INDEX(PRECIOS_TINTORERIA!$B$4:$U$15,MATCH(D265,PRECIOS_TINTORERIA!$A$4:$A$15,0),MATCH(VLOOKUP(A265,PROGRAMAS!$A$4:$G$103,7,FALSE()),PRECIOS_TINTORERIA!$B$3:$U$3,0)),0)</f>
        <v>0</v>
      </c>
      <c r="X265" s="56"/>
      <c r="Y265" s="57"/>
      <c r="Z265" s="58">
        <f t="shared" si="4"/>
        <v>0</v>
      </c>
      <c r="AA265" s="56"/>
      <c r="AB265" s="56"/>
      <c r="AC265" s="56"/>
      <c r="AD265" s="23">
        <f>IFERROR((SUMIFS(COMPRAS_HILO!$H$4:$H$203,COMPRAS_HILO!$B$4:$B$203,A265))*F265/SUMIFS($F$4:$F$503,$A$4:$A$503,A265),0)</f>
        <v>0</v>
      </c>
      <c r="AE265" s="23">
        <f t="shared" si="5"/>
        <v>0</v>
      </c>
      <c r="AF265" s="23">
        <f t="shared" si="6"/>
        <v>0</v>
      </c>
      <c r="AG265" s="25">
        <f t="shared" si="7"/>
        <v>0</v>
      </c>
      <c r="AH265" s="25">
        <f t="shared" si="8"/>
        <v>0</v>
      </c>
      <c r="AI265" s="59"/>
    </row>
    <row r="266" ht="15.75" customHeight="1">
      <c r="A266" s="40"/>
      <c r="B266" s="33"/>
      <c r="C266" s="45" t="str">
        <f>IFERROR(VLOOKUP(B266,COLORES!$A$4:$B$52,2,FALSE()),"")</f>
        <v/>
      </c>
      <c r="D266" s="33"/>
      <c r="E266" s="46"/>
      <c r="F266" s="34"/>
      <c r="G266" s="33"/>
      <c r="H266" s="47"/>
      <c r="I266" s="47"/>
      <c r="J266" s="48">
        <f>IFERROR(VLOOKUP(VLOOKUP(A266,PROGRAMAS!$A$4:$G$103,7,FALSE()),PRECIOS_TEJEDURIA!$A$4:$B$22,2,FALSE()),0)</f>
        <v>0</v>
      </c>
      <c r="K266" s="49"/>
      <c r="L266" s="50"/>
      <c r="M266" s="51">
        <f t="shared" si="1"/>
        <v>0</v>
      </c>
      <c r="N266" s="49"/>
      <c r="O266" s="49"/>
      <c r="P266" s="49"/>
      <c r="Q266" s="52"/>
      <c r="R266" s="53"/>
      <c r="S266" s="53"/>
      <c r="T266" s="54"/>
      <c r="U266" s="19">
        <f t="shared" si="2"/>
        <v>0</v>
      </c>
      <c r="V266" s="20">
        <f t="shared" si="3"/>
        <v>0</v>
      </c>
      <c r="W266" s="55">
        <f t="array" ref="W266">IFERROR(INDEX(PRECIOS_TINTORERIA!$B$4:$U$15,MATCH(D266,PRECIOS_TINTORERIA!$A$4:$A$15,0),MATCH(VLOOKUP(A266,PROGRAMAS!$A$4:$G$103,7,FALSE()),PRECIOS_TINTORERIA!$B$3:$U$3,0)),0)</f>
        <v>0</v>
      </c>
      <c r="X266" s="56"/>
      <c r="Y266" s="57"/>
      <c r="Z266" s="58">
        <f t="shared" si="4"/>
        <v>0</v>
      </c>
      <c r="AA266" s="56"/>
      <c r="AB266" s="56"/>
      <c r="AC266" s="56"/>
      <c r="AD266" s="23">
        <f>IFERROR((SUMIFS(COMPRAS_HILO!$H$4:$H$203,COMPRAS_HILO!$B$4:$B$203,A266))*F266/SUMIFS($F$4:$F$503,$A$4:$A$503,A266),0)</f>
        <v>0</v>
      </c>
      <c r="AE266" s="23">
        <f t="shared" si="5"/>
        <v>0</v>
      </c>
      <c r="AF266" s="23">
        <f t="shared" si="6"/>
        <v>0</v>
      </c>
      <c r="AG266" s="25">
        <f t="shared" si="7"/>
        <v>0</v>
      </c>
      <c r="AH266" s="25">
        <f t="shared" si="8"/>
        <v>0</v>
      </c>
      <c r="AI266" s="59"/>
    </row>
    <row r="267" ht="15.75" customHeight="1">
      <c r="A267" s="40"/>
      <c r="B267" s="33"/>
      <c r="C267" s="45" t="str">
        <f>IFERROR(VLOOKUP(B267,COLORES!$A$4:$B$52,2,FALSE()),"")</f>
        <v/>
      </c>
      <c r="D267" s="33"/>
      <c r="E267" s="46"/>
      <c r="F267" s="34"/>
      <c r="G267" s="33"/>
      <c r="H267" s="47"/>
      <c r="I267" s="47"/>
      <c r="J267" s="48">
        <f>IFERROR(VLOOKUP(VLOOKUP(A267,PROGRAMAS!$A$4:$G$103,7,FALSE()),PRECIOS_TEJEDURIA!$A$4:$B$22,2,FALSE()),0)</f>
        <v>0</v>
      </c>
      <c r="K267" s="49"/>
      <c r="L267" s="50"/>
      <c r="M267" s="51">
        <f t="shared" si="1"/>
        <v>0</v>
      </c>
      <c r="N267" s="49"/>
      <c r="O267" s="49"/>
      <c r="P267" s="49"/>
      <c r="Q267" s="52"/>
      <c r="R267" s="53"/>
      <c r="S267" s="53"/>
      <c r="T267" s="54"/>
      <c r="U267" s="19">
        <f t="shared" si="2"/>
        <v>0</v>
      </c>
      <c r="V267" s="20">
        <f t="shared" si="3"/>
        <v>0</v>
      </c>
      <c r="W267" s="55">
        <f t="array" ref="W267">IFERROR(INDEX(PRECIOS_TINTORERIA!$B$4:$U$15,MATCH(D267,PRECIOS_TINTORERIA!$A$4:$A$15,0),MATCH(VLOOKUP(A267,PROGRAMAS!$A$4:$G$103,7,FALSE()),PRECIOS_TINTORERIA!$B$3:$U$3,0)),0)</f>
        <v>0</v>
      </c>
      <c r="X267" s="56"/>
      <c r="Y267" s="57"/>
      <c r="Z267" s="58">
        <f t="shared" si="4"/>
        <v>0</v>
      </c>
      <c r="AA267" s="56"/>
      <c r="AB267" s="56"/>
      <c r="AC267" s="56"/>
      <c r="AD267" s="23">
        <f>IFERROR((SUMIFS(COMPRAS_HILO!$H$4:$H$203,COMPRAS_HILO!$B$4:$B$203,A267))*F267/SUMIFS($F$4:$F$503,$A$4:$A$503,A267),0)</f>
        <v>0</v>
      </c>
      <c r="AE267" s="23">
        <f t="shared" si="5"/>
        <v>0</v>
      </c>
      <c r="AF267" s="23">
        <f t="shared" si="6"/>
        <v>0</v>
      </c>
      <c r="AG267" s="25">
        <f t="shared" si="7"/>
        <v>0</v>
      </c>
      <c r="AH267" s="25">
        <f t="shared" si="8"/>
        <v>0</v>
      </c>
      <c r="AI267" s="59"/>
    </row>
    <row r="268" ht="15.75" customHeight="1">
      <c r="A268" s="40"/>
      <c r="B268" s="33"/>
      <c r="C268" s="45" t="str">
        <f>IFERROR(VLOOKUP(B268,COLORES!$A$4:$B$52,2,FALSE()),"")</f>
        <v/>
      </c>
      <c r="D268" s="33"/>
      <c r="E268" s="46"/>
      <c r="F268" s="34"/>
      <c r="G268" s="33"/>
      <c r="H268" s="47"/>
      <c r="I268" s="47"/>
      <c r="J268" s="48">
        <f>IFERROR(VLOOKUP(VLOOKUP(A268,PROGRAMAS!$A$4:$G$103,7,FALSE()),PRECIOS_TEJEDURIA!$A$4:$B$22,2,FALSE()),0)</f>
        <v>0</v>
      </c>
      <c r="K268" s="49"/>
      <c r="L268" s="50"/>
      <c r="M268" s="51">
        <f t="shared" si="1"/>
        <v>0</v>
      </c>
      <c r="N268" s="49"/>
      <c r="O268" s="49"/>
      <c r="P268" s="49"/>
      <c r="Q268" s="52"/>
      <c r="R268" s="53"/>
      <c r="S268" s="53"/>
      <c r="T268" s="54"/>
      <c r="U268" s="19">
        <f t="shared" si="2"/>
        <v>0</v>
      </c>
      <c r="V268" s="20">
        <f t="shared" si="3"/>
        <v>0</v>
      </c>
      <c r="W268" s="55">
        <f t="array" ref="W268">IFERROR(INDEX(PRECIOS_TINTORERIA!$B$4:$U$15,MATCH(D268,PRECIOS_TINTORERIA!$A$4:$A$15,0),MATCH(VLOOKUP(A268,PROGRAMAS!$A$4:$G$103,7,FALSE()),PRECIOS_TINTORERIA!$B$3:$U$3,0)),0)</f>
        <v>0</v>
      </c>
      <c r="X268" s="56"/>
      <c r="Y268" s="57"/>
      <c r="Z268" s="58">
        <f t="shared" si="4"/>
        <v>0</v>
      </c>
      <c r="AA268" s="56"/>
      <c r="AB268" s="56"/>
      <c r="AC268" s="56"/>
      <c r="AD268" s="23">
        <f>IFERROR((SUMIFS(COMPRAS_HILO!$H$4:$H$203,COMPRAS_HILO!$B$4:$B$203,A268))*F268/SUMIFS($F$4:$F$503,$A$4:$A$503,A268),0)</f>
        <v>0</v>
      </c>
      <c r="AE268" s="23">
        <f t="shared" si="5"/>
        <v>0</v>
      </c>
      <c r="AF268" s="23">
        <f t="shared" si="6"/>
        <v>0</v>
      </c>
      <c r="AG268" s="25">
        <f t="shared" si="7"/>
        <v>0</v>
      </c>
      <c r="AH268" s="25">
        <f t="shared" si="8"/>
        <v>0</v>
      </c>
      <c r="AI268" s="59"/>
    </row>
    <row r="269" ht="15.75" customHeight="1">
      <c r="A269" s="40"/>
      <c r="B269" s="33"/>
      <c r="C269" s="45" t="str">
        <f>IFERROR(VLOOKUP(B269,COLORES!$A$4:$B$52,2,FALSE()),"")</f>
        <v/>
      </c>
      <c r="D269" s="33"/>
      <c r="E269" s="46"/>
      <c r="F269" s="34"/>
      <c r="G269" s="33"/>
      <c r="H269" s="47"/>
      <c r="I269" s="47"/>
      <c r="J269" s="48">
        <f>IFERROR(VLOOKUP(VLOOKUP(A269,PROGRAMAS!$A$4:$G$103,7,FALSE()),PRECIOS_TEJEDURIA!$A$4:$B$22,2,FALSE()),0)</f>
        <v>0</v>
      </c>
      <c r="K269" s="49"/>
      <c r="L269" s="50"/>
      <c r="M269" s="51">
        <f t="shared" si="1"/>
        <v>0</v>
      </c>
      <c r="N269" s="49"/>
      <c r="O269" s="49"/>
      <c r="P269" s="49"/>
      <c r="Q269" s="52"/>
      <c r="R269" s="53"/>
      <c r="S269" s="53"/>
      <c r="T269" s="54"/>
      <c r="U269" s="19">
        <f t="shared" si="2"/>
        <v>0</v>
      </c>
      <c r="V269" s="20">
        <f t="shared" si="3"/>
        <v>0</v>
      </c>
      <c r="W269" s="55">
        <f t="array" ref="W269">IFERROR(INDEX(PRECIOS_TINTORERIA!$B$4:$U$15,MATCH(D269,PRECIOS_TINTORERIA!$A$4:$A$15,0),MATCH(VLOOKUP(A269,PROGRAMAS!$A$4:$G$103,7,FALSE()),PRECIOS_TINTORERIA!$B$3:$U$3,0)),0)</f>
        <v>0</v>
      </c>
      <c r="X269" s="56"/>
      <c r="Y269" s="57"/>
      <c r="Z269" s="58">
        <f t="shared" si="4"/>
        <v>0</v>
      </c>
      <c r="AA269" s="56"/>
      <c r="AB269" s="56"/>
      <c r="AC269" s="56"/>
      <c r="AD269" s="23">
        <f>IFERROR((SUMIFS(COMPRAS_HILO!$H$4:$H$203,COMPRAS_HILO!$B$4:$B$203,A269))*F269/SUMIFS($F$4:$F$503,$A$4:$A$503,A269),0)</f>
        <v>0</v>
      </c>
      <c r="AE269" s="23">
        <f t="shared" si="5"/>
        <v>0</v>
      </c>
      <c r="AF269" s="23">
        <f t="shared" si="6"/>
        <v>0</v>
      </c>
      <c r="AG269" s="25">
        <f t="shared" si="7"/>
        <v>0</v>
      </c>
      <c r="AH269" s="25">
        <f t="shared" si="8"/>
        <v>0</v>
      </c>
      <c r="AI269" s="59"/>
    </row>
    <row r="270" ht="15.75" customHeight="1">
      <c r="A270" s="40"/>
      <c r="B270" s="33"/>
      <c r="C270" s="45" t="str">
        <f>IFERROR(VLOOKUP(B270,COLORES!$A$4:$B$52,2,FALSE()),"")</f>
        <v/>
      </c>
      <c r="D270" s="33"/>
      <c r="E270" s="46"/>
      <c r="F270" s="34"/>
      <c r="G270" s="33"/>
      <c r="H270" s="47"/>
      <c r="I270" s="47"/>
      <c r="J270" s="48">
        <f>IFERROR(VLOOKUP(VLOOKUP(A270,PROGRAMAS!$A$4:$G$103,7,FALSE()),PRECIOS_TEJEDURIA!$A$4:$B$22,2,FALSE()),0)</f>
        <v>0</v>
      </c>
      <c r="K270" s="49"/>
      <c r="L270" s="50"/>
      <c r="M270" s="51">
        <f t="shared" si="1"/>
        <v>0</v>
      </c>
      <c r="N270" s="49"/>
      <c r="O270" s="49"/>
      <c r="P270" s="49"/>
      <c r="Q270" s="52"/>
      <c r="R270" s="53"/>
      <c r="S270" s="53"/>
      <c r="T270" s="54"/>
      <c r="U270" s="19">
        <f t="shared" si="2"/>
        <v>0</v>
      </c>
      <c r="V270" s="20">
        <f t="shared" si="3"/>
        <v>0</v>
      </c>
      <c r="W270" s="55">
        <f t="array" ref="W270">IFERROR(INDEX(PRECIOS_TINTORERIA!$B$4:$U$15,MATCH(D270,PRECIOS_TINTORERIA!$A$4:$A$15,0),MATCH(VLOOKUP(A270,PROGRAMAS!$A$4:$G$103,7,FALSE()),PRECIOS_TINTORERIA!$B$3:$U$3,0)),0)</f>
        <v>0</v>
      </c>
      <c r="X270" s="56"/>
      <c r="Y270" s="57"/>
      <c r="Z270" s="58">
        <f t="shared" si="4"/>
        <v>0</v>
      </c>
      <c r="AA270" s="56"/>
      <c r="AB270" s="56"/>
      <c r="AC270" s="56"/>
      <c r="AD270" s="23">
        <f>IFERROR((SUMIFS(COMPRAS_HILO!$H$4:$H$203,COMPRAS_HILO!$B$4:$B$203,A270))*F270/SUMIFS($F$4:$F$503,$A$4:$A$503,A270),0)</f>
        <v>0</v>
      </c>
      <c r="AE270" s="23">
        <f t="shared" si="5"/>
        <v>0</v>
      </c>
      <c r="AF270" s="23">
        <f t="shared" si="6"/>
        <v>0</v>
      </c>
      <c r="AG270" s="25">
        <f t="shared" si="7"/>
        <v>0</v>
      </c>
      <c r="AH270" s="25">
        <f t="shared" si="8"/>
        <v>0</v>
      </c>
      <c r="AI270" s="59"/>
    </row>
    <row r="271" ht="15.75" customHeight="1">
      <c r="A271" s="40"/>
      <c r="B271" s="33"/>
      <c r="C271" s="45" t="str">
        <f>IFERROR(VLOOKUP(B271,COLORES!$A$4:$B$52,2,FALSE()),"")</f>
        <v/>
      </c>
      <c r="D271" s="33"/>
      <c r="E271" s="46"/>
      <c r="F271" s="34"/>
      <c r="G271" s="33"/>
      <c r="H271" s="47"/>
      <c r="I271" s="47"/>
      <c r="J271" s="48">
        <f>IFERROR(VLOOKUP(VLOOKUP(A271,PROGRAMAS!$A$4:$G$103,7,FALSE()),PRECIOS_TEJEDURIA!$A$4:$B$22,2,FALSE()),0)</f>
        <v>0</v>
      </c>
      <c r="K271" s="49"/>
      <c r="L271" s="50"/>
      <c r="M271" s="51">
        <f t="shared" si="1"/>
        <v>0</v>
      </c>
      <c r="N271" s="49"/>
      <c r="O271" s="49"/>
      <c r="P271" s="49"/>
      <c r="Q271" s="52"/>
      <c r="R271" s="53"/>
      <c r="S271" s="53"/>
      <c r="T271" s="54"/>
      <c r="U271" s="19">
        <f t="shared" si="2"/>
        <v>0</v>
      </c>
      <c r="V271" s="20">
        <f t="shared" si="3"/>
        <v>0</v>
      </c>
      <c r="W271" s="55">
        <f t="array" ref="W271">IFERROR(INDEX(PRECIOS_TINTORERIA!$B$4:$U$15,MATCH(D271,PRECIOS_TINTORERIA!$A$4:$A$15,0),MATCH(VLOOKUP(A271,PROGRAMAS!$A$4:$G$103,7,FALSE()),PRECIOS_TINTORERIA!$B$3:$U$3,0)),0)</f>
        <v>0</v>
      </c>
      <c r="X271" s="56"/>
      <c r="Y271" s="57"/>
      <c r="Z271" s="58">
        <f t="shared" si="4"/>
        <v>0</v>
      </c>
      <c r="AA271" s="56"/>
      <c r="AB271" s="56"/>
      <c r="AC271" s="56"/>
      <c r="AD271" s="23">
        <f>IFERROR((SUMIFS(COMPRAS_HILO!$H$4:$H$203,COMPRAS_HILO!$B$4:$B$203,A271))*F271/SUMIFS($F$4:$F$503,$A$4:$A$503,A271),0)</f>
        <v>0</v>
      </c>
      <c r="AE271" s="23">
        <f t="shared" si="5"/>
        <v>0</v>
      </c>
      <c r="AF271" s="23">
        <f t="shared" si="6"/>
        <v>0</v>
      </c>
      <c r="AG271" s="25">
        <f t="shared" si="7"/>
        <v>0</v>
      </c>
      <c r="AH271" s="25">
        <f t="shared" si="8"/>
        <v>0</v>
      </c>
      <c r="AI271" s="59"/>
    </row>
    <row r="272" ht="15.75" customHeight="1">
      <c r="A272" s="40"/>
      <c r="B272" s="33"/>
      <c r="C272" s="45" t="str">
        <f>IFERROR(VLOOKUP(B272,COLORES!$A$4:$B$52,2,FALSE()),"")</f>
        <v/>
      </c>
      <c r="D272" s="33"/>
      <c r="E272" s="46"/>
      <c r="F272" s="34"/>
      <c r="G272" s="33"/>
      <c r="H272" s="47"/>
      <c r="I272" s="47"/>
      <c r="J272" s="48">
        <f>IFERROR(VLOOKUP(VLOOKUP(A272,PROGRAMAS!$A$4:$G$103,7,FALSE()),PRECIOS_TEJEDURIA!$A$4:$B$22,2,FALSE()),0)</f>
        <v>0</v>
      </c>
      <c r="K272" s="49"/>
      <c r="L272" s="50"/>
      <c r="M272" s="51">
        <f t="shared" si="1"/>
        <v>0</v>
      </c>
      <c r="N272" s="49"/>
      <c r="O272" s="49"/>
      <c r="P272" s="49"/>
      <c r="Q272" s="52"/>
      <c r="R272" s="53"/>
      <c r="S272" s="53"/>
      <c r="T272" s="54"/>
      <c r="U272" s="19">
        <f t="shared" si="2"/>
        <v>0</v>
      </c>
      <c r="V272" s="20">
        <f t="shared" si="3"/>
        <v>0</v>
      </c>
      <c r="W272" s="55">
        <f t="array" ref="W272">IFERROR(INDEX(PRECIOS_TINTORERIA!$B$4:$U$15,MATCH(D272,PRECIOS_TINTORERIA!$A$4:$A$15,0),MATCH(VLOOKUP(A272,PROGRAMAS!$A$4:$G$103,7,FALSE()),PRECIOS_TINTORERIA!$B$3:$U$3,0)),0)</f>
        <v>0</v>
      </c>
      <c r="X272" s="56"/>
      <c r="Y272" s="57"/>
      <c r="Z272" s="58">
        <f t="shared" si="4"/>
        <v>0</v>
      </c>
      <c r="AA272" s="56"/>
      <c r="AB272" s="56"/>
      <c r="AC272" s="56"/>
      <c r="AD272" s="23">
        <f>IFERROR((SUMIFS(COMPRAS_HILO!$H$4:$H$203,COMPRAS_HILO!$B$4:$B$203,A272))*F272/SUMIFS($F$4:$F$503,$A$4:$A$503,A272),0)</f>
        <v>0</v>
      </c>
      <c r="AE272" s="23">
        <f t="shared" si="5"/>
        <v>0</v>
      </c>
      <c r="AF272" s="23">
        <f t="shared" si="6"/>
        <v>0</v>
      </c>
      <c r="AG272" s="25">
        <f t="shared" si="7"/>
        <v>0</v>
      </c>
      <c r="AH272" s="25">
        <f t="shared" si="8"/>
        <v>0</v>
      </c>
      <c r="AI272" s="59"/>
    </row>
    <row r="273" ht="15.75" customHeight="1">
      <c r="A273" s="40"/>
      <c r="B273" s="33"/>
      <c r="C273" s="45" t="str">
        <f>IFERROR(VLOOKUP(B273,COLORES!$A$4:$B$52,2,FALSE()),"")</f>
        <v/>
      </c>
      <c r="D273" s="33"/>
      <c r="E273" s="46"/>
      <c r="F273" s="34"/>
      <c r="G273" s="33"/>
      <c r="H273" s="47"/>
      <c r="I273" s="47"/>
      <c r="J273" s="48">
        <f>IFERROR(VLOOKUP(VLOOKUP(A273,PROGRAMAS!$A$4:$G$103,7,FALSE()),PRECIOS_TEJEDURIA!$A$4:$B$22,2,FALSE()),0)</f>
        <v>0</v>
      </c>
      <c r="K273" s="49"/>
      <c r="L273" s="50"/>
      <c r="M273" s="51">
        <f t="shared" si="1"/>
        <v>0</v>
      </c>
      <c r="N273" s="49"/>
      <c r="O273" s="49"/>
      <c r="P273" s="49"/>
      <c r="Q273" s="52"/>
      <c r="R273" s="53"/>
      <c r="S273" s="53"/>
      <c r="T273" s="54"/>
      <c r="U273" s="19">
        <f t="shared" si="2"/>
        <v>0</v>
      </c>
      <c r="V273" s="20">
        <f t="shared" si="3"/>
        <v>0</v>
      </c>
      <c r="W273" s="55">
        <f t="array" ref="W273">IFERROR(INDEX(PRECIOS_TINTORERIA!$B$4:$U$15,MATCH(D273,PRECIOS_TINTORERIA!$A$4:$A$15,0),MATCH(VLOOKUP(A273,PROGRAMAS!$A$4:$G$103,7,FALSE()),PRECIOS_TINTORERIA!$B$3:$U$3,0)),0)</f>
        <v>0</v>
      </c>
      <c r="X273" s="56"/>
      <c r="Y273" s="57"/>
      <c r="Z273" s="58">
        <f t="shared" si="4"/>
        <v>0</v>
      </c>
      <c r="AA273" s="56"/>
      <c r="AB273" s="56"/>
      <c r="AC273" s="56"/>
      <c r="AD273" s="23">
        <f>IFERROR((SUMIFS(COMPRAS_HILO!$H$4:$H$203,COMPRAS_HILO!$B$4:$B$203,A273))*F273/SUMIFS($F$4:$F$503,$A$4:$A$503,A273),0)</f>
        <v>0</v>
      </c>
      <c r="AE273" s="23">
        <f t="shared" si="5"/>
        <v>0</v>
      </c>
      <c r="AF273" s="23">
        <f t="shared" si="6"/>
        <v>0</v>
      </c>
      <c r="AG273" s="25">
        <f t="shared" si="7"/>
        <v>0</v>
      </c>
      <c r="AH273" s="25">
        <f t="shared" si="8"/>
        <v>0</v>
      </c>
      <c r="AI273" s="59"/>
    </row>
    <row r="274" ht="15.75" customHeight="1">
      <c r="A274" s="40"/>
      <c r="B274" s="33"/>
      <c r="C274" s="45" t="str">
        <f>IFERROR(VLOOKUP(B274,COLORES!$A$4:$B$52,2,FALSE()),"")</f>
        <v/>
      </c>
      <c r="D274" s="33"/>
      <c r="E274" s="46"/>
      <c r="F274" s="34"/>
      <c r="G274" s="33"/>
      <c r="H274" s="47"/>
      <c r="I274" s="47"/>
      <c r="J274" s="48">
        <f>IFERROR(VLOOKUP(VLOOKUP(A274,PROGRAMAS!$A$4:$G$103,7,FALSE()),PRECIOS_TEJEDURIA!$A$4:$B$22,2,FALSE()),0)</f>
        <v>0</v>
      </c>
      <c r="K274" s="49"/>
      <c r="L274" s="50"/>
      <c r="M274" s="51">
        <f t="shared" si="1"/>
        <v>0</v>
      </c>
      <c r="N274" s="49"/>
      <c r="O274" s="49"/>
      <c r="P274" s="49"/>
      <c r="Q274" s="52"/>
      <c r="R274" s="53"/>
      <c r="S274" s="53"/>
      <c r="T274" s="54"/>
      <c r="U274" s="19">
        <f t="shared" si="2"/>
        <v>0</v>
      </c>
      <c r="V274" s="20">
        <f t="shared" si="3"/>
        <v>0</v>
      </c>
      <c r="W274" s="55">
        <f t="array" ref="W274">IFERROR(INDEX(PRECIOS_TINTORERIA!$B$4:$U$15,MATCH(D274,PRECIOS_TINTORERIA!$A$4:$A$15,0),MATCH(VLOOKUP(A274,PROGRAMAS!$A$4:$G$103,7,FALSE()),PRECIOS_TINTORERIA!$B$3:$U$3,0)),0)</f>
        <v>0</v>
      </c>
      <c r="X274" s="56"/>
      <c r="Y274" s="57"/>
      <c r="Z274" s="58">
        <f t="shared" si="4"/>
        <v>0</v>
      </c>
      <c r="AA274" s="56"/>
      <c r="AB274" s="56"/>
      <c r="AC274" s="56"/>
      <c r="AD274" s="23">
        <f>IFERROR((SUMIFS(COMPRAS_HILO!$H$4:$H$203,COMPRAS_HILO!$B$4:$B$203,A274))*F274/SUMIFS($F$4:$F$503,$A$4:$A$503,A274),0)</f>
        <v>0</v>
      </c>
      <c r="AE274" s="23">
        <f t="shared" si="5"/>
        <v>0</v>
      </c>
      <c r="AF274" s="23">
        <f t="shared" si="6"/>
        <v>0</v>
      </c>
      <c r="AG274" s="25">
        <f t="shared" si="7"/>
        <v>0</v>
      </c>
      <c r="AH274" s="25">
        <f t="shared" si="8"/>
        <v>0</v>
      </c>
      <c r="AI274" s="59"/>
    </row>
    <row r="275" ht="15.75" customHeight="1">
      <c r="A275" s="40"/>
      <c r="B275" s="33"/>
      <c r="C275" s="45" t="str">
        <f>IFERROR(VLOOKUP(B275,COLORES!$A$4:$B$52,2,FALSE()),"")</f>
        <v/>
      </c>
      <c r="D275" s="33"/>
      <c r="E275" s="46"/>
      <c r="F275" s="34"/>
      <c r="G275" s="33"/>
      <c r="H275" s="47"/>
      <c r="I275" s="47"/>
      <c r="J275" s="48">
        <f>IFERROR(VLOOKUP(VLOOKUP(A275,PROGRAMAS!$A$4:$G$103,7,FALSE()),PRECIOS_TEJEDURIA!$A$4:$B$22,2,FALSE()),0)</f>
        <v>0</v>
      </c>
      <c r="K275" s="49"/>
      <c r="L275" s="50"/>
      <c r="M275" s="51">
        <f t="shared" si="1"/>
        <v>0</v>
      </c>
      <c r="N275" s="49"/>
      <c r="O275" s="49"/>
      <c r="P275" s="49"/>
      <c r="Q275" s="52"/>
      <c r="R275" s="53"/>
      <c r="S275" s="53"/>
      <c r="T275" s="54"/>
      <c r="U275" s="19">
        <f t="shared" si="2"/>
        <v>0</v>
      </c>
      <c r="V275" s="20">
        <f t="shared" si="3"/>
        <v>0</v>
      </c>
      <c r="W275" s="55">
        <f t="array" ref="W275">IFERROR(INDEX(PRECIOS_TINTORERIA!$B$4:$U$15,MATCH(D275,PRECIOS_TINTORERIA!$A$4:$A$15,0),MATCH(VLOOKUP(A275,PROGRAMAS!$A$4:$G$103,7,FALSE()),PRECIOS_TINTORERIA!$B$3:$U$3,0)),0)</f>
        <v>0</v>
      </c>
      <c r="X275" s="56"/>
      <c r="Y275" s="57"/>
      <c r="Z275" s="58">
        <f t="shared" si="4"/>
        <v>0</v>
      </c>
      <c r="AA275" s="56"/>
      <c r="AB275" s="56"/>
      <c r="AC275" s="56"/>
      <c r="AD275" s="23">
        <f>IFERROR((SUMIFS(COMPRAS_HILO!$H$4:$H$203,COMPRAS_HILO!$B$4:$B$203,A275))*F275/SUMIFS($F$4:$F$503,$A$4:$A$503,A275),0)</f>
        <v>0</v>
      </c>
      <c r="AE275" s="23">
        <f t="shared" si="5"/>
        <v>0</v>
      </c>
      <c r="AF275" s="23">
        <f t="shared" si="6"/>
        <v>0</v>
      </c>
      <c r="AG275" s="25">
        <f t="shared" si="7"/>
        <v>0</v>
      </c>
      <c r="AH275" s="25">
        <f t="shared" si="8"/>
        <v>0</v>
      </c>
      <c r="AI275" s="59"/>
    </row>
    <row r="276" ht="15.75" customHeight="1">
      <c r="A276" s="40"/>
      <c r="B276" s="33"/>
      <c r="C276" s="45" t="str">
        <f>IFERROR(VLOOKUP(B276,COLORES!$A$4:$B$52,2,FALSE()),"")</f>
        <v/>
      </c>
      <c r="D276" s="33"/>
      <c r="E276" s="46"/>
      <c r="F276" s="34"/>
      <c r="G276" s="33"/>
      <c r="H276" s="47"/>
      <c r="I276" s="47"/>
      <c r="J276" s="48">
        <f>IFERROR(VLOOKUP(VLOOKUP(A276,PROGRAMAS!$A$4:$G$103,7,FALSE()),PRECIOS_TEJEDURIA!$A$4:$B$22,2,FALSE()),0)</f>
        <v>0</v>
      </c>
      <c r="K276" s="49"/>
      <c r="L276" s="50"/>
      <c r="M276" s="51">
        <f t="shared" si="1"/>
        <v>0</v>
      </c>
      <c r="N276" s="49"/>
      <c r="O276" s="49"/>
      <c r="P276" s="49"/>
      <c r="Q276" s="52"/>
      <c r="R276" s="53"/>
      <c r="S276" s="53"/>
      <c r="T276" s="54"/>
      <c r="U276" s="19">
        <f t="shared" si="2"/>
        <v>0</v>
      </c>
      <c r="V276" s="20">
        <f t="shared" si="3"/>
        <v>0</v>
      </c>
      <c r="W276" s="55">
        <f t="array" ref="W276">IFERROR(INDEX(PRECIOS_TINTORERIA!$B$4:$U$15,MATCH(D276,PRECIOS_TINTORERIA!$A$4:$A$15,0),MATCH(VLOOKUP(A276,PROGRAMAS!$A$4:$G$103,7,FALSE()),PRECIOS_TINTORERIA!$B$3:$U$3,0)),0)</f>
        <v>0</v>
      </c>
      <c r="X276" s="56"/>
      <c r="Y276" s="57"/>
      <c r="Z276" s="58">
        <f t="shared" si="4"/>
        <v>0</v>
      </c>
      <c r="AA276" s="56"/>
      <c r="AB276" s="56"/>
      <c r="AC276" s="56"/>
      <c r="AD276" s="23">
        <f>IFERROR((SUMIFS(COMPRAS_HILO!$H$4:$H$203,COMPRAS_HILO!$B$4:$B$203,A276))*F276/SUMIFS($F$4:$F$503,$A$4:$A$503,A276),0)</f>
        <v>0</v>
      </c>
      <c r="AE276" s="23">
        <f t="shared" si="5"/>
        <v>0</v>
      </c>
      <c r="AF276" s="23">
        <f t="shared" si="6"/>
        <v>0</v>
      </c>
      <c r="AG276" s="25">
        <f t="shared" si="7"/>
        <v>0</v>
      </c>
      <c r="AH276" s="25">
        <f t="shared" si="8"/>
        <v>0</v>
      </c>
      <c r="AI276" s="59"/>
    </row>
    <row r="277" ht="15.75" customHeight="1">
      <c r="A277" s="40"/>
      <c r="B277" s="33"/>
      <c r="C277" s="45" t="str">
        <f>IFERROR(VLOOKUP(B277,COLORES!$A$4:$B$52,2,FALSE()),"")</f>
        <v/>
      </c>
      <c r="D277" s="33"/>
      <c r="E277" s="46"/>
      <c r="F277" s="34"/>
      <c r="G277" s="33"/>
      <c r="H277" s="47"/>
      <c r="I277" s="47"/>
      <c r="J277" s="48">
        <f>IFERROR(VLOOKUP(VLOOKUP(A277,PROGRAMAS!$A$4:$G$103,7,FALSE()),PRECIOS_TEJEDURIA!$A$4:$B$22,2,FALSE()),0)</f>
        <v>0</v>
      </c>
      <c r="K277" s="49"/>
      <c r="L277" s="50"/>
      <c r="M277" s="51">
        <f t="shared" si="1"/>
        <v>0</v>
      </c>
      <c r="N277" s="49"/>
      <c r="O277" s="49"/>
      <c r="P277" s="49"/>
      <c r="Q277" s="52"/>
      <c r="R277" s="53"/>
      <c r="S277" s="53"/>
      <c r="T277" s="54"/>
      <c r="U277" s="19">
        <f t="shared" si="2"/>
        <v>0</v>
      </c>
      <c r="V277" s="20">
        <f t="shared" si="3"/>
        <v>0</v>
      </c>
      <c r="W277" s="55">
        <f t="array" ref="W277">IFERROR(INDEX(PRECIOS_TINTORERIA!$B$4:$U$15,MATCH(D277,PRECIOS_TINTORERIA!$A$4:$A$15,0),MATCH(VLOOKUP(A277,PROGRAMAS!$A$4:$G$103,7,FALSE()),PRECIOS_TINTORERIA!$B$3:$U$3,0)),0)</f>
        <v>0</v>
      </c>
      <c r="X277" s="56"/>
      <c r="Y277" s="57"/>
      <c r="Z277" s="58">
        <f t="shared" si="4"/>
        <v>0</v>
      </c>
      <c r="AA277" s="56"/>
      <c r="AB277" s="56"/>
      <c r="AC277" s="56"/>
      <c r="AD277" s="23">
        <f>IFERROR((SUMIFS(COMPRAS_HILO!$H$4:$H$203,COMPRAS_HILO!$B$4:$B$203,A277))*F277/SUMIFS($F$4:$F$503,$A$4:$A$503,A277),0)</f>
        <v>0</v>
      </c>
      <c r="AE277" s="23">
        <f t="shared" si="5"/>
        <v>0</v>
      </c>
      <c r="AF277" s="23">
        <f t="shared" si="6"/>
        <v>0</v>
      </c>
      <c r="AG277" s="25">
        <f t="shared" si="7"/>
        <v>0</v>
      </c>
      <c r="AH277" s="25">
        <f t="shared" si="8"/>
        <v>0</v>
      </c>
      <c r="AI277" s="59"/>
    </row>
    <row r="278" ht="15.75" customHeight="1">
      <c r="A278" s="40"/>
      <c r="B278" s="33"/>
      <c r="C278" s="45" t="str">
        <f>IFERROR(VLOOKUP(B278,COLORES!$A$4:$B$52,2,FALSE()),"")</f>
        <v/>
      </c>
      <c r="D278" s="33"/>
      <c r="E278" s="46"/>
      <c r="F278" s="34"/>
      <c r="G278" s="33"/>
      <c r="H278" s="47"/>
      <c r="I278" s="47"/>
      <c r="J278" s="48">
        <f>IFERROR(VLOOKUP(VLOOKUP(A278,PROGRAMAS!$A$4:$G$103,7,FALSE()),PRECIOS_TEJEDURIA!$A$4:$B$22,2,FALSE()),0)</f>
        <v>0</v>
      </c>
      <c r="K278" s="49"/>
      <c r="L278" s="50"/>
      <c r="M278" s="51">
        <f t="shared" si="1"/>
        <v>0</v>
      </c>
      <c r="N278" s="49"/>
      <c r="O278" s="49"/>
      <c r="P278" s="49"/>
      <c r="Q278" s="52"/>
      <c r="R278" s="53"/>
      <c r="S278" s="53"/>
      <c r="T278" s="54"/>
      <c r="U278" s="19">
        <f t="shared" si="2"/>
        <v>0</v>
      </c>
      <c r="V278" s="20">
        <f t="shared" si="3"/>
        <v>0</v>
      </c>
      <c r="W278" s="55">
        <f t="array" ref="W278">IFERROR(INDEX(PRECIOS_TINTORERIA!$B$4:$U$15,MATCH(D278,PRECIOS_TINTORERIA!$A$4:$A$15,0),MATCH(VLOOKUP(A278,PROGRAMAS!$A$4:$G$103,7,FALSE()),PRECIOS_TINTORERIA!$B$3:$U$3,0)),0)</f>
        <v>0</v>
      </c>
      <c r="X278" s="56"/>
      <c r="Y278" s="57"/>
      <c r="Z278" s="58">
        <f t="shared" si="4"/>
        <v>0</v>
      </c>
      <c r="AA278" s="56"/>
      <c r="AB278" s="56"/>
      <c r="AC278" s="56"/>
      <c r="AD278" s="23">
        <f>IFERROR((SUMIFS(COMPRAS_HILO!$H$4:$H$203,COMPRAS_HILO!$B$4:$B$203,A278))*F278/SUMIFS($F$4:$F$503,$A$4:$A$503,A278),0)</f>
        <v>0</v>
      </c>
      <c r="AE278" s="23">
        <f t="shared" si="5"/>
        <v>0</v>
      </c>
      <c r="AF278" s="23">
        <f t="shared" si="6"/>
        <v>0</v>
      </c>
      <c r="AG278" s="25">
        <f t="shared" si="7"/>
        <v>0</v>
      </c>
      <c r="AH278" s="25">
        <f t="shared" si="8"/>
        <v>0</v>
      </c>
      <c r="AI278" s="59"/>
    </row>
    <row r="279" ht="15.75" customHeight="1">
      <c r="A279" s="40"/>
      <c r="B279" s="33"/>
      <c r="C279" s="45" t="str">
        <f>IFERROR(VLOOKUP(B279,COLORES!$A$4:$B$52,2,FALSE()),"")</f>
        <v/>
      </c>
      <c r="D279" s="33"/>
      <c r="E279" s="46"/>
      <c r="F279" s="34"/>
      <c r="G279" s="33"/>
      <c r="H279" s="47"/>
      <c r="I279" s="47"/>
      <c r="J279" s="48">
        <f>IFERROR(VLOOKUP(VLOOKUP(A279,PROGRAMAS!$A$4:$G$103,7,FALSE()),PRECIOS_TEJEDURIA!$A$4:$B$22,2,FALSE()),0)</f>
        <v>0</v>
      </c>
      <c r="K279" s="49"/>
      <c r="L279" s="50"/>
      <c r="M279" s="51">
        <f t="shared" si="1"/>
        <v>0</v>
      </c>
      <c r="N279" s="49"/>
      <c r="O279" s="49"/>
      <c r="P279" s="49"/>
      <c r="Q279" s="52"/>
      <c r="R279" s="53"/>
      <c r="S279" s="53"/>
      <c r="T279" s="54"/>
      <c r="U279" s="19">
        <f t="shared" si="2"/>
        <v>0</v>
      </c>
      <c r="V279" s="20">
        <f t="shared" si="3"/>
        <v>0</v>
      </c>
      <c r="W279" s="55">
        <f t="array" ref="W279">IFERROR(INDEX(PRECIOS_TINTORERIA!$B$4:$U$15,MATCH(D279,PRECIOS_TINTORERIA!$A$4:$A$15,0),MATCH(VLOOKUP(A279,PROGRAMAS!$A$4:$G$103,7,FALSE()),PRECIOS_TINTORERIA!$B$3:$U$3,0)),0)</f>
        <v>0</v>
      </c>
      <c r="X279" s="56"/>
      <c r="Y279" s="57"/>
      <c r="Z279" s="58">
        <f t="shared" si="4"/>
        <v>0</v>
      </c>
      <c r="AA279" s="56"/>
      <c r="AB279" s="56"/>
      <c r="AC279" s="56"/>
      <c r="AD279" s="23">
        <f>IFERROR((SUMIFS(COMPRAS_HILO!$H$4:$H$203,COMPRAS_HILO!$B$4:$B$203,A279))*F279/SUMIFS($F$4:$F$503,$A$4:$A$503,A279),0)</f>
        <v>0</v>
      </c>
      <c r="AE279" s="23">
        <f t="shared" si="5"/>
        <v>0</v>
      </c>
      <c r="AF279" s="23">
        <f t="shared" si="6"/>
        <v>0</v>
      </c>
      <c r="AG279" s="25">
        <f t="shared" si="7"/>
        <v>0</v>
      </c>
      <c r="AH279" s="25">
        <f t="shared" si="8"/>
        <v>0</v>
      </c>
      <c r="AI279" s="59"/>
    </row>
    <row r="280" ht="15.75" customHeight="1">
      <c r="A280" s="40"/>
      <c r="B280" s="33"/>
      <c r="C280" s="45" t="str">
        <f>IFERROR(VLOOKUP(B280,COLORES!$A$4:$B$52,2,FALSE()),"")</f>
        <v/>
      </c>
      <c r="D280" s="33"/>
      <c r="E280" s="46"/>
      <c r="F280" s="34"/>
      <c r="G280" s="33"/>
      <c r="H280" s="47"/>
      <c r="I280" s="47"/>
      <c r="J280" s="48">
        <f>IFERROR(VLOOKUP(VLOOKUP(A280,PROGRAMAS!$A$4:$G$103,7,FALSE()),PRECIOS_TEJEDURIA!$A$4:$B$22,2,FALSE()),0)</f>
        <v>0</v>
      </c>
      <c r="K280" s="49"/>
      <c r="L280" s="50"/>
      <c r="M280" s="51">
        <f t="shared" si="1"/>
        <v>0</v>
      </c>
      <c r="N280" s="49"/>
      <c r="O280" s="49"/>
      <c r="P280" s="49"/>
      <c r="Q280" s="52"/>
      <c r="R280" s="53"/>
      <c r="S280" s="53"/>
      <c r="T280" s="54"/>
      <c r="U280" s="19">
        <f t="shared" si="2"/>
        <v>0</v>
      </c>
      <c r="V280" s="20">
        <f t="shared" si="3"/>
        <v>0</v>
      </c>
      <c r="W280" s="55">
        <f t="array" ref="W280">IFERROR(INDEX(PRECIOS_TINTORERIA!$B$4:$U$15,MATCH(D280,PRECIOS_TINTORERIA!$A$4:$A$15,0),MATCH(VLOOKUP(A280,PROGRAMAS!$A$4:$G$103,7,FALSE()),PRECIOS_TINTORERIA!$B$3:$U$3,0)),0)</f>
        <v>0</v>
      </c>
      <c r="X280" s="56"/>
      <c r="Y280" s="57"/>
      <c r="Z280" s="58">
        <f t="shared" si="4"/>
        <v>0</v>
      </c>
      <c r="AA280" s="56"/>
      <c r="AB280" s="56"/>
      <c r="AC280" s="56"/>
      <c r="AD280" s="23">
        <f>IFERROR((SUMIFS(COMPRAS_HILO!$H$4:$H$203,COMPRAS_HILO!$B$4:$B$203,A280))*F280/SUMIFS($F$4:$F$503,$A$4:$A$503,A280),0)</f>
        <v>0</v>
      </c>
      <c r="AE280" s="23">
        <f t="shared" si="5"/>
        <v>0</v>
      </c>
      <c r="AF280" s="23">
        <f t="shared" si="6"/>
        <v>0</v>
      </c>
      <c r="AG280" s="25">
        <f t="shared" si="7"/>
        <v>0</v>
      </c>
      <c r="AH280" s="25">
        <f t="shared" si="8"/>
        <v>0</v>
      </c>
      <c r="AI280" s="59"/>
    </row>
    <row r="281" ht="15.75" customHeight="1">
      <c r="A281" s="40"/>
      <c r="B281" s="33"/>
      <c r="C281" s="45" t="str">
        <f>IFERROR(VLOOKUP(B281,COLORES!$A$4:$B$52,2,FALSE()),"")</f>
        <v/>
      </c>
      <c r="D281" s="33"/>
      <c r="E281" s="46"/>
      <c r="F281" s="34"/>
      <c r="G281" s="33"/>
      <c r="H281" s="47"/>
      <c r="I281" s="47"/>
      <c r="J281" s="48">
        <f>IFERROR(VLOOKUP(VLOOKUP(A281,PROGRAMAS!$A$4:$G$103,7,FALSE()),PRECIOS_TEJEDURIA!$A$4:$B$22,2,FALSE()),0)</f>
        <v>0</v>
      </c>
      <c r="K281" s="49"/>
      <c r="L281" s="50"/>
      <c r="M281" s="51">
        <f t="shared" si="1"/>
        <v>0</v>
      </c>
      <c r="N281" s="49"/>
      <c r="O281" s="49"/>
      <c r="P281" s="49"/>
      <c r="Q281" s="52"/>
      <c r="R281" s="53"/>
      <c r="S281" s="53"/>
      <c r="T281" s="54"/>
      <c r="U281" s="19">
        <f t="shared" si="2"/>
        <v>0</v>
      </c>
      <c r="V281" s="20">
        <f t="shared" si="3"/>
        <v>0</v>
      </c>
      <c r="W281" s="55">
        <f t="array" ref="W281">IFERROR(INDEX(PRECIOS_TINTORERIA!$B$4:$U$15,MATCH(D281,PRECIOS_TINTORERIA!$A$4:$A$15,0),MATCH(VLOOKUP(A281,PROGRAMAS!$A$4:$G$103,7,FALSE()),PRECIOS_TINTORERIA!$B$3:$U$3,0)),0)</f>
        <v>0</v>
      </c>
      <c r="X281" s="56"/>
      <c r="Y281" s="57"/>
      <c r="Z281" s="58">
        <f t="shared" si="4"/>
        <v>0</v>
      </c>
      <c r="AA281" s="56"/>
      <c r="AB281" s="56"/>
      <c r="AC281" s="56"/>
      <c r="AD281" s="23">
        <f>IFERROR((SUMIFS(COMPRAS_HILO!$H$4:$H$203,COMPRAS_HILO!$B$4:$B$203,A281))*F281/SUMIFS($F$4:$F$503,$A$4:$A$503,A281),0)</f>
        <v>0</v>
      </c>
      <c r="AE281" s="23">
        <f t="shared" si="5"/>
        <v>0</v>
      </c>
      <c r="AF281" s="23">
        <f t="shared" si="6"/>
        <v>0</v>
      </c>
      <c r="AG281" s="25">
        <f t="shared" si="7"/>
        <v>0</v>
      </c>
      <c r="AH281" s="25">
        <f t="shared" si="8"/>
        <v>0</v>
      </c>
      <c r="AI281" s="59"/>
    </row>
    <row r="282" ht="15.75" customHeight="1">
      <c r="A282" s="40"/>
      <c r="B282" s="33"/>
      <c r="C282" s="45" t="str">
        <f>IFERROR(VLOOKUP(B282,COLORES!$A$4:$B$52,2,FALSE()),"")</f>
        <v/>
      </c>
      <c r="D282" s="33"/>
      <c r="E282" s="46"/>
      <c r="F282" s="34"/>
      <c r="G282" s="33"/>
      <c r="H282" s="47"/>
      <c r="I282" s="47"/>
      <c r="J282" s="48">
        <f>IFERROR(VLOOKUP(VLOOKUP(A282,PROGRAMAS!$A$4:$G$103,7,FALSE()),PRECIOS_TEJEDURIA!$A$4:$B$22,2,FALSE()),0)</f>
        <v>0</v>
      </c>
      <c r="K282" s="49"/>
      <c r="L282" s="50"/>
      <c r="M282" s="51">
        <f t="shared" si="1"/>
        <v>0</v>
      </c>
      <c r="N282" s="49"/>
      <c r="O282" s="49"/>
      <c r="P282" s="49"/>
      <c r="Q282" s="52"/>
      <c r="R282" s="53"/>
      <c r="S282" s="53"/>
      <c r="T282" s="54"/>
      <c r="U282" s="19">
        <f t="shared" si="2"/>
        <v>0</v>
      </c>
      <c r="V282" s="20">
        <f t="shared" si="3"/>
        <v>0</v>
      </c>
      <c r="W282" s="55">
        <f t="array" ref="W282">IFERROR(INDEX(PRECIOS_TINTORERIA!$B$4:$U$15,MATCH(D282,PRECIOS_TINTORERIA!$A$4:$A$15,0),MATCH(VLOOKUP(A282,PROGRAMAS!$A$4:$G$103,7,FALSE()),PRECIOS_TINTORERIA!$B$3:$U$3,0)),0)</f>
        <v>0</v>
      </c>
      <c r="X282" s="56"/>
      <c r="Y282" s="57"/>
      <c r="Z282" s="58">
        <f t="shared" si="4"/>
        <v>0</v>
      </c>
      <c r="AA282" s="56"/>
      <c r="AB282" s="56"/>
      <c r="AC282" s="56"/>
      <c r="AD282" s="23">
        <f>IFERROR((SUMIFS(COMPRAS_HILO!$H$4:$H$203,COMPRAS_HILO!$B$4:$B$203,A282))*F282/SUMIFS($F$4:$F$503,$A$4:$A$503,A282),0)</f>
        <v>0</v>
      </c>
      <c r="AE282" s="23">
        <f t="shared" si="5"/>
        <v>0</v>
      </c>
      <c r="AF282" s="23">
        <f t="shared" si="6"/>
        <v>0</v>
      </c>
      <c r="AG282" s="25">
        <f t="shared" si="7"/>
        <v>0</v>
      </c>
      <c r="AH282" s="25">
        <f t="shared" si="8"/>
        <v>0</v>
      </c>
      <c r="AI282" s="59"/>
    </row>
    <row r="283" ht="15.75" customHeight="1">
      <c r="A283" s="40"/>
      <c r="B283" s="33"/>
      <c r="C283" s="45" t="str">
        <f>IFERROR(VLOOKUP(B283,COLORES!$A$4:$B$52,2,FALSE()),"")</f>
        <v/>
      </c>
      <c r="D283" s="33"/>
      <c r="E283" s="46"/>
      <c r="F283" s="34"/>
      <c r="G283" s="33"/>
      <c r="H283" s="47"/>
      <c r="I283" s="47"/>
      <c r="J283" s="48">
        <f>IFERROR(VLOOKUP(VLOOKUP(A283,PROGRAMAS!$A$4:$G$103,7,FALSE()),PRECIOS_TEJEDURIA!$A$4:$B$22,2,FALSE()),0)</f>
        <v>0</v>
      </c>
      <c r="K283" s="49"/>
      <c r="L283" s="50"/>
      <c r="M283" s="51">
        <f t="shared" si="1"/>
        <v>0</v>
      </c>
      <c r="N283" s="49"/>
      <c r="O283" s="49"/>
      <c r="P283" s="49"/>
      <c r="Q283" s="52"/>
      <c r="R283" s="53"/>
      <c r="S283" s="53"/>
      <c r="T283" s="54"/>
      <c r="U283" s="19">
        <f t="shared" si="2"/>
        <v>0</v>
      </c>
      <c r="V283" s="20">
        <f t="shared" si="3"/>
        <v>0</v>
      </c>
      <c r="W283" s="55">
        <f t="array" ref="W283">IFERROR(INDEX(PRECIOS_TINTORERIA!$B$4:$U$15,MATCH(D283,PRECIOS_TINTORERIA!$A$4:$A$15,0),MATCH(VLOOKUP(A283,PROGRAMAS!$A$4:$G$103,7,FALSE()),PRECIOS_TINTORERIA!$B$3:$U$3,0)),0)</f>
        <v>0</v>
      </c>
      <c r="X283" s="56"/>
      <c r="Y283" s="57"/>
      <c r="Z283" s="58">
        <f t="shared" si="4"/>
        <v>0</v>
      </c>
      <c r="AA283" s="56"/>
      <c r="AB283" s="56"/>
      <c r="AC283" s="56"/>
      <c r="AD283" s="23">
        <f>IFERROR((SUMIFS(COMPRAS_HILO!$H$4:$H$203,COMPRAS_HILO!$B$4:$B$203,A283))*F283/SUMIFS($F$4:$F$503,$A$4:$A$503,A283),0)</f>
        <v>0</v>
      </c>
      <c r="AE283" s="23">
        <f t="shared" si="5"/>
        <v>0</v>
      </c>
      <c r="AF283" s="23">
        <f t="shared" si="6"/>
        <v>0</v>
      </c>
      <c r="AG283" s="25">
        <f t="shared" si="7"/>
        <v>0</v>
      </c>
      <c r="AH283" s="25">
        <f t="shared" si="8"/>
        <v>0</v>
      </c>
      <c r="AI283" s="59"/>
    </row>
    <row r="284" ht="15.75" customHeight="1">
      <c r="A284" s="40"/>
      <c r="B284" s="33"/>
      <c r="C284" s="45" t="str">
        <f>IFERROR(VLOOKUP(B284,COLORES!$A$4:$B$52,2,FALSE()),"")</f>
        <v/>
      </c>
      <c r="D284" s="33"/>
      <c r="E284" s="46"/>
      <c r="F284" s="34"/>
      <c r="G284" s="33"/>
      <c r="H284" s="47"/>
      <c r="I284" s="47"/>
      <c r="J284" s="48">
        <f>IFERROR(VLOOKUP(VLOOKUP(A284,PROGRAMAS!$A$4:$G$103,7,FALSE()),PRECIOS_TEJEDURIA!$A$4:$B$22,2,FALSE()),0)</f>
        <v>0</v>
      </c>
      <c r="K284" s="49"/>
      <c r="L284" s="50"/>
      <c r="M284" s="51">
        <f t="shared" si="1"/>
        <v>0</v>
      </c>
      <c r="N284" s="49"/>
      <c r="O284" s="49"/>
      <c r="P284" s="49"/>
      <c r="Q284" s="52"/>
      <c r="R284" s="53"/>
      <c r="S284" s="53"/>
      <c r="T284" s="54"/>
      <c r="U284" s="19">
        <f t="shared" si="2"/>
        <v>0</v>
      </c>
      <c r="V284" s="20">
        <f t="shared" si="3"/>
        <v>0</v>
      </c>
      <c r="W284" s="55">
        <f t="array" ref="W284">IFERROR(INDEX(PRECIOS_TINTORERIA!$B$4:$U$15,MATCH(D284,PRECIOS_TINTORERIA!$A$4:$A$15,0),MATCH(VLOOKUP(A284,PROGRAMAS!$A$4:$G$103,7,FALSE()),PRECIOS_TINTORERIA!$B$3:$U$3,0)),0)</f>
        <v>0</v>
      </c>
      <c r="X284" s="56"/>
      <c r="Y284" s="57"/>
      <c r="Z284" s="58">
        <f t="shared" si="4"/>
        <v>0</v>
      </c>
      <c r="AA284" s="56"/>
      <c r="AB284" s="56"/>
      <c r="AC284" s="56"/>
      <c r="AD284" s="23">
        <f>IFERROR((SUMIFS(COMPRAS_HILO!$H$4:$H$203,COMPRAS_HILO!$B$4:$B$203,A284))*F284/SUMIFS($F$4:$F$503,$A$4:$A$503,A284),0)</f>
        <v>0</v>
      </c>
      <c r="AE284" s="23">
        <f t="shared" si="5"/>
        <v>0</v>
      </c>
      <c r="AF284" s="23">
        <f t="shared" si="6"/>
        <v>0</v>
      </c>
      <c r="AG284" s="25">
        <f t="shared" si="7"/>
        <v>0</v>
      </c>
      <c r="AH284" s="25">
        <f t="shared" si="8"/>
        <v>0</v>
      </c>
      <c r="AI284" s="59"/>
    </row>
    <row r="285" ht="15.75" customHeight="1">
      <c r="A285" s="40"/>
      <c r="B285" s="33"/>
      <c r="C285" s="45" t="str">
        <f>IFERROR(VLOOKUP(B285,COLORES!$A$4:$B$52,2,FALSE()),"")</f>
        <v/>
      </c>
      <c r="D285" s="33"/>
      <c r="E285" s="46"/>
      <c r="F285" s="34"/>
      <c r="G285" s="33"/>
      <c r="H285" s="47"/>
      <c r="I285" s="47"/>
      <c r="J285" s="48">
        <f>IFERROR(VLOOKUP(VLOOKUP(A285,PROGRAMAS!$A$4:$G$103,7,FALSE()),PRECIOS_TEJEDURIA!$A$4:$B$22,2,FALSE()),0)</f>
        <v>0</v>
      </c>
      <c r="K285" s="49"/>
      <c r="L285" s="50"/>
      <c r="M285" s="51">
        <f t="shared" si="1"/>
        <v>0</v>
      </c>
      <c r="N285" s="49"/>
      <c r="O285" s="49"/>
      <c r="P285" s="49"/>
      <c r="Q285" s="52"/>
      <c r="R285" s="53"/>
      <c r="S285" s="53"/>
      <c r="T285" s="54"/>
      <c r="U285" s="19">
        <f t="shared" si="2"/>
        <v>0</v>
      </c>
      <c r="V285" s="20">
        <f t="shared" si="3"/>
        <v>0</v>
      </c>
      <c r="W285" s="55">
        <f t="array" ref="W285">IFERROR(INDEX(PRECIOS_TINTORERIA!$B$4:$U$15,MATCH(D285,PRECIOS_TINTORERIA!$A$4:$A$15,0),MATCH(VLOOKUP(A285,PROGRAMAS!$A$4:$G$103,7,FALSE()),PRECIOS_TINTORERIA!$B$3:$U$3,0)),0)</f>
        <v>0</v>
      </c>
      <c r="X285" s="56"/>
      <c r="Y285" s="57"/>
      <c r="Z285" s="58">
        <f t="shared" si="4"/>
        <v>0</v>
      </c>
      <c r="AA285" s="56"/>
      <c r="AB285" s="56"/>
      <c r="AC285" s="56"/>
      <c r="AD285" s="23">
        <f>IFERROR((SUMIFS(COMPRAS_HILO!$H$4:$H$203,COMPRAS_HILO!$B$4:$B$203,A285))*F285/SUMIFS($F$4:$F$503,$A$4:$A$503,A285),0)</f>
        <v>0</v>
      </c>
      <c r="AE285" s="23">
        <f t="shared" si="5"/>
        <v>0</v>
      </c>
      <c r="AF285" s="23">
        <f t="shared" si="6"/>
        <v>0</v>
      </c>
      <c r="AG285" s="25">
        <f t="shared" si="7"/>
        <v>0</v>
      </c>
      <c r="AH285" s="25">
        <f t="shared" si="8"/>
        <v>0</v>
      </c>
      <c r="AI285" s="59"/>
    </row>
    <row r="286" ht="15.75" customHeight="1">
      <c r="A286" s="40"/>
      <c r="B286" s="33"/>
      <c r="C286" s="45" t="str">
        <f>IFERROR(VLOOKUP(B286,COLORES!$A$4:$B$52,2,FALSE()),"")</f>
        <v/>
      </c>
      <c r="D286" s="33"/>
      <c r="E286" s="46"/>
      <c r="F286" s="34"/>
      <c r="G286" s="33"/>
      <c r="H286" s="47"/>
      <c r="I286" s="47"/>
      <c r="J286" s="48">
        <f>IFERROR(VLOOKUP(VLOOKUP(A286,PROGRAMAS!$A$4:$G$103,7,FALSE()),PRECIOS_TEJEDURIA!$A$4:$B$22,2,FALSE()),0)</f>
        <v>0</v>
      </c>
      <c r="K286" s="49"/>
      <c r="L286" s="50"/>
      <c r="M286" s="51">
        <f t="shared" si="1"/>
        <v>0</v>
      </c>
      <c r="N286" s="49"/>
      <c r="O286" s="49"/>
      <c r="P286" s="49"/>
      <c r="Q286" s="52"/>
      <c r="R286" s="53"/>
      <c r="S286" s="53"/>
      <c r="T286" s="54"/>
      <c r="U286" s="19">
        <f t="shared" si="2"/>
        <v>0</v>
      </c>
      <c r="V286" s="20">
        <f t="shared" si="3"/>
        <v>0</v>
      </c>
      <c r="W286" s="55">
        <f t="array" ref="W286">IFERROR(INDEX(PRECIOS_TINTORERIA!$B$4:$U$15,MATCH(D286,PRECIOS_TINTORERIA!$A$4:$A$15,0),MATCH(VLOOKUP(A286,PROGRAMAS!$A$4:$G$103,7,FALSE()),PRECIOS_TINTORERIA!$B$3:$U$3,0)),0)</f>
        <v>0</v>
      </c>
      <c r="X286" s="56"/>
      <c r="Y286" s="57"/>
      <c r="Z286" s="58">
        <f t="shared" si="4"/>
        <v>0</v>
      </c>
      <c r="AA286" s="56"/>
      <c r="AB286" s="56"/>
      <c r="AC286" s="56"/>
      <c r="AD286" s="23">
        <f>IFERROR((SUMIFS(COMPRAS_HILO!$H$4:$H$203,COMPRAS_HILO!$B$4:$B$203,A286))*F286/SUMIFS($F$4:$F$503,$A$4:$A$503,A286),0)</f>
        <v>0</v>
      </c>
      <c r="AE286" s="23">
        <f t="shared" si="5"/>
        <v>0</v>
      </c>
      <c r="AF286" s="23">
        <f t="shared" si="6"/>
        <v>0</v>
      </c>
      <c r="AG286" s="25">
        <f t="shared" si="7"/>
        <v>0</v>
      </c>
      <c r="AH286" s="25">
        <f t="shared" si="8"/>
        <v>0</v>
      </c>
      <c r="AI286" s="59"/>
    </row>
    <row r="287" ht="15.75" customHeight="1">
      <c r="A287" s="40"/>
      <c r="B287" s="33"/>
      <c r="C287" s="45" t="str">
        <f>IFERROR(VLOOKUP(B287,COLORES!$A$4:$B$52,2,FALSE()),"")</f>
        <v/>
      </c>
      <c r="D287" s="33"/>
      <c r="E287" s="46"/>
      <c r="F287" s="34"/>
      <c r="G287" s="33"/>
      <c r="H287" s="47"/>
      <c r="I287" s="47"/>
      <c r="J287" s="48">
        <f>IFERROR(VLOOKUP(VLOOKUP(A287,PROGRAMAS!$A$4:$G$103,7,FALSE()),PRECIOS_TEJEDURIA!$A$4:$B$22,2,FALSE()),0)</f>
        <v>0</v>
      </c>
      <c r="K287" s="49"/>
      <c r="L287" s="50"/>
      <c r="M287" s="51">
        <f t="shared" si="1"/>
        <v>0</v>
      </c>
      <c r="N287" s="49"/>
      <c r="O287" s="49"/>
      <c r="P287" s="49"/>
      <c r="Q287" s="52"/>
      <c r="R287" s="53"/>
      <c r="S287" s="53"/>
      <c r="T287" s="54"/>
      <c r="U287" s="19">
        <f t="shared" si="2"/>
        <v>0</v>
      </c>
      <c r="V287" s="20">
        <f t="shared" si="3"/>
        <v>0</v>
      </c>
      <c r="W287" s="55">
        <f t="array" ref="W287">IFERROR(INDEX(PRECIOS_TINTORERIA!$B$4:$U$15,MATCH(D287,PRECIOS_TINTORERIA!$A$4:$A$15,0),MATCH(VLOOKUP(A287,PROGRAMAS!$A$4:$G$103,7,FALSE()),PRECIOS_TINTORERIA!$B$3:$U$3,0)),0)</f>
        <v>0</v>
      </c>
      <c r="X287" s="56"/>
      <c r="Y287" s="57"/>
      <c r="Z287" s="58">
        <f t="shared" si="4"/>
        <v>0</v>
      </c>
      <c r="AA287" s="56"/>
      <c r="AB287" s="56"/>
      <c r="AC287" s="56"/>
      <c r="AD287" s="23">
        <f>IFERROR((SUMIFS(COMPRAS_HILO!$H$4:$H$203,COMPRAS_HILO!$B$4:$B$203,A287))*F287/SUMIFS($F$4:$F$503,$A$4:$A$503,A287),0)</f>
        <v>0</v>
      </c>
      <c r="AE287" s="23">
        <f t="shared" si="5"/>
        <v>0</v>
      </c>
      <c r="AF287" s="23">
        <f t="shared" si="6"/>
        <v>0</v>
      </c>
      <c r="AG287" s="25">
        <f t="shared" si="7"/>
        <v>0</v>
      </c>
      <c r="AH287" s="25">
        <f t="shared" si="8"/>
        <v>0</v>
      </c>
      <c r="AI287" s="59"/>
    </row>
    <row r="288" ht="15.75" customHeight="1">
      <c r="A288" s="40"/>
      <c r="B288" s="33"/>
      <c r="C288" s="45" t="str">
        <f>IFERROR(VLOOKUP(B288,COLORES!$A$4:$B$52,2,FALSE()),"")</f>
        <v/>
      </c>
      <c r="D288" s="33"/>
      <c r="E288" s="46"/>
      <c r="F288" s="34"/>
      <c r="G288" s="33"/>
      <c r="H288" s="47"/>
      <c r="I288" s="47"/>
      <c r="J288" s="48">
        <f>IFERROR(VLOOKUP(VLOOKUP(A288,PROGRAMAS!$A$4:$G$103,7,FALSE()),PRECIOS_TEJEDURIA!$A$4:$B$22,2,FALSE()),0)</f>
        <v>0</v>
      </c>
      <c r="K288" s="49"/>
      <c r="L288" s="50"/>
      <c r="M288" s="51">
        <f t="shared" si="1"/>
        <v>0</v>
      </c>
      <c r="N288" s="49"/>
      <c r="O288" s="49"/>
      <c r="P288" s="49"/>
      <c r="Q288" s="52"/>
      <c r="R288" s="53"/>
      <c r="S288" s="53"/>
      <c r="T288" s="54"/>
      <c r="U288" s="19">
        <f t="shared" si="2"/>
        <v>0</v>
      </c>
      <c r="V288" s="20">
        <f t="shared" si="3"/>
        <v>0</v>
      </c>
      <c r="W288" s="55">
        <f t="array" ref="W288">IFERROR(INDEX(PRECIOS_TINTORERIA!$B$4:$U$15,MATCH(D288,PRECIOS_TINTORERIA!$A$4:$A$15,0),MATCH(VLOOKUP(A288,PROGRAMAS!$A$4:$G$103,7,FALSE()),PRECIOS_TINTORERIA!$B$3:$U$3,0)),0)</f>
        <v>0</v>
      </c>
      <c r="X288" s="56"/>
      <c r="Y288" s="57"/>
      <c r="Z288" s="58">
        <f t="shared" si="4"/>
        <v>0</v>
      </c>
      <c r="AA288" s="56"/>
      <c r="AB288" s="56"/>
      <c r="AC288" s="56"/>
      <c r="AD288" s="23">
        <f>IFERROR((SUMIFS(COMPRAS_HILO!$H$4:$H$203,COMPRAS_HILO!$B$4:$B$203,A288))*F288/SUMIFS($F$4:$F$503,$A$4:$A$503,A288),0)</f>
        <v>0</v>
      </c>
      <c r="AE288" s="23">
        <f t="shared" si="5"/>
        <v>0</v>
      </c>
      <c r="AF288" s="23">
        <f t="shared" si="6"/>
        <v>0</v>
      </c>
      <c r="AG288" s="25">
        <f t="shared" si="7"/>
        <v>0</v>
      </c>
      <c r="AH288" s="25">
        <f t="shared" si="8"/>
        <v>0</v>
      </c>
      <c r="AI288" s="59"/>
    </row>
    <row r="289" ht="15.75" customHeight="1">
      <c r="A289" s="40"/>
      <c r="B289" s="33"/>
      <c r="C289" s="45" t="str">
        <f>IFERROR(VLOOKUP(B289,COLORES!$A$4:$B$52,2,FALSE()),"")</f>
        <v/>
      </c>
      <c r="D289" s="33"/>
      <c r="E289" s="46"/>
      <c r="F289" s="34"/>
      <c r="G289" s="33"/>
      <c r="H289" s="47"/>
      <c r="I289" s="47"/>
      <c r="J289" s="48">
        <f>IFERROR(VLOOKUP(VLOOKUP(A289,PROGRAMAS!$A$4:$G$103,7,FALSE()),PRECIOS_TEJEDURIA!$A$4:$B$22,2,FALSE()),0)</f>
        <v>0</v>
      </c>
      <c r="K289" s="49"/>
      <c r="L289" s="50"/>
      <c r="M289" s="51">
        <f t="shared" si="1"/>
        <v>0</v>
      </c>
      <c r="N289" s="49"/>
      <c r="O289" s="49"/>
      <c r="P289" s="49"/>
      <c r="Q289" s="52"/>
      <c r="R289" s="53"/>
      <c r="S289" s="53"/>
      <c r="T289" s="54"/>
      <c r="U289" s="19">
        <f t="shared" si="2"/>
        <v>0</v>
      </c>
      <c r="V289" s="20">
        <f t="shared" si="3"/>
        <v>0</v>
      </c>
      <c r="W289" s="55">
        <f t="array" ref="W289">IFERROR(INDEX(PRECIOS_TINTORERIA!$B$4:$U$15,MATCH(D289,PRECIOS_TINTORERIA!$A$4:$A$15,0),MATCH(VLOOKUP(A289,PROGRAMAS!$A$4:$G$103,7,FALSE()),PRECIOS_TINTORERIA!$B$3:$U$3,0)),0)</f>
        <v>0</v>
      </c>
      <c r="X289" s="56"/>
      <c r="Y289" s="57"/>
      <c r="Z289" s="58">
        <f t="shared" si="4"/>
        <v>0</v>
      </c>
      <c r="AA289" s="56"/>
      <c r="AB289" s="56"/>
      <c r="AC289" s="56"/>
      <c r="AD289" s="23">
        <f>IFERROR((SUMIFS(COMPRAS_HILO!$H$4:$H$203,COMPRAS_HILO!$B$4:$B$203,A289))*F289/SUMIFS($F$4:$F$503,$A$4:$A$503,A289),0)</f>
        <v>0</v>
      </c>
      <c r="AE289" s="23">
        <f t="shared" si="5"/>
        <v>0</v>
      </c>
      <c r="AF289" s="23">
        <f t="shared" si="6"/>
        <v>0</v>
      </c>
      <c r="AG289" s="25">
        <f t="shared" si="7"/>
        <v>0</v>
      </c>
      <c r="AH289" s="25">
        <f t="shared" si="8"/>
        <v>0</v>
      </c>
      <c r="AI289" s="59"/>
    </row>
    <row r="290" ht="15.75" customHeight="1">
      <c r="A290" s="40"/>
      <c r="B290" s="33"/>
      <c r="C290" s="45" t="str">
        <f>IFERROR(VLOOKUP(B290,COLORES!$A$4:$B$52,2,FALSE()),"")</f>
        <v/>
      </c>
      <c r="D290" s="33"/>
      <c r="E290" s="46"/>
      <c r="F290" s="34"/>
      <c r="G290" s="33"/>
      <c r="H290" s="47"/>
      <c r="I290" s="47"/>
      <c r="J290" s="48">
        <f>IFERROR(VLOOKUP(VLOOKUP(A290,PROGRAMAS!$A$4:$G$103,7,FALSE()),PRECIOS_TEJEDURIA!$A$4:$B$22,2,FALSE()),0)</f>
        <v>0</v>
      </c>
      <c r="K290" s="49"/>
      <c r="L290" s="50"/>
      <c r="M290" s="51">
        <f t="shared" si="1"/>
        <v>0</v>
      </c>
      <c r="N290" s="49"/>
      <c r="O290" s="49"/>
      <c r="P290" s="49"/>
      <c r="Q290" s="52"/>
      <c r="R290" s="53"/>
      <c r="S290" s="53"/>
      <c r="T290" s="54"/>
      <c r="U290" s="19">
        <f t="shared" si="2"/>
        <v>0</v>
      </c>
      <c r="V290" s="20">
        <f t="shared" si="3"/>
        <v>0</v>
      </c>
      <c r="W290" s="55">
        <f t="array" ref="W290">IFERROR(INDEX(PRECIOS_TINTORERIA!$B$4:$U$15,MATCH(D290,PRECIOS_TINTORERIA!$A$4:$A$15,0),MATCH(VLOOKUP(A290,PROGRAMAS!$A$4:$G$103,7,FALSE()),PRECIOS_TINTORERIA!$B$3:$U$3,0)),0)</f>
        <v>0</v>
      </c>
      <c r="X290" s="56"/>
      <c r="Y290" s="57"/>
      <c r="Z290" s="58">
        <f t="shared" si="4"/>
        <v>0</v>
      </c>
      <c r="AA290" s="56"/>
      <c r="AB290" s="56"/>
      <c r="AC290" s="56"/>
      <c r="AD290" s="23">
        <f>IFERROR((SUMIFS(COMPRAS_HILO!$H$4:$H$203,COMPRAS_HILO!$B$4:$B$203,A290))*F290/SUMIFS($F$4:$F$503,$A$4:$A$503,A290),0)</f>
        <v>0</v>
      </c>
      <c r="AE290" s="23">
        <f t="shared" si="5"/>
        <v>0</v>
      </c>
      <c r="AF290" s="23">
        <f t="shared" si="6"/>
        <v>0</v>
      </c>
      <c r="AG290" s="25">
        <f t="shared" si="7"/>
        <v>0</v>
      </c>
      <c r="AH290" s="25">
        <f t="shared" si="8"/>
        <v>0</v>
      </c>
      <c r="AI290" s="59"/>
    </row>
    <row r="291" ht="15.75" customHeight="1">
      <c r="A291" s="40"/>
      <c r="B291" s="33"/>
      <c r="C291" s="45" t="str">
        <f>IFERROR(VLOOKUP(B291,COLORES!$A$4:$B$52,2,FALSE()),"")</f>
        <v/>
      </c>
      <c r="D291" s="33"/>
      <c r="E291" s="46"/>
      <c r="F291" s="34"/>
      <c r="G291" s="33"/>
      <c r="H291" s="47"/>
      <c r="I291" s="47"/>
      <c r="J291" s="48">
        <f>IFERROR(VLOOKUP(VLOOKUP(A291,PROGRAMAS!$A$4:$G$103,7,FALSE()),PRECIOS_TEJEDURIA!$A$4:$B$22,2,FALSE()),0)</f>
        <v>0</v>
      </c>
      <c r="K291" s="49"/>
      <c r="L291" s="50"/>
      <c r="M291" s="51">
        <f t="shared" si="1"/>
        <v>0</v>
      </c>
      <c r="N291" s="49"/>
      <c r="O291" s="49"/>
      <c r="P291" s="49"/>
      <c r="Q291" s="52"/>
      <c r="R291" s="53"/>
      <c r="S291" s="53"/>
      <c r="T291" s="54"/>
      <c r="U291" s="19">
        <f t="shared" si="2"/>
        <v>0</v>
      </c>
      <c r="V291" s="20">
        <f t="shared" si="3"/>
        <v>0</v>
      </c>
      <c r="W291" s="55">
        <f t="array" ref="W291">IFERROR(INDEX(PRECIOS_TINTORERIA!$B$4:$U$15,MATCH(D291,PRECIOS_TINTORERIA!$A$4:$A$15,0),MATCH(VLOOKUP(A291,PROGRAMAS!$A$4:$G$103,7,FALSE()),PRECIOS_TINTORERIA!$B$3:$U$3,0)),0)</f>
        <v>0</v>
      </c>
      <c r="X291" s="56"/>
      <c r="Y291" s="57"/>
      <c r="Z291" s="58">
        <f t="shared" si="4"/>
        <v>0</v>
      </c>
      <c r="AA291" s="56"/>
      <c r="AB291" s="56"/>
      <c r="AC291" s="56"/>
      <c r="AD291" s="23">
        <f>IFERROR((SUMIFS(COMPRAS_HILO!$H$4:$H$203,COMPRAS_HILO!$B$4:$B$203,A291))*F291/SUMIFS($F$4:$F$503,$A$4:$A$503,A291),0)</f>
        <v>0</v>
      </c>
      <c r="AE291" s="23">
        <f t="shared" si="5"/>
        <v>0</v>
      </c>
      <c r="AF291" s="23">
        <f t="shared" si="6"/>
        <v>0</v>
      </c>
      <c r="AG291" s="25">
        <f t="shared" si="7"/>
        <v>0</v>
      </c>
      <c r="AH291" s="25">
        <f t="shared" si="8"/>
        <v>0</v>
      </c>
      <c r="AI291" s="59"/>
    </row>
    <row r="292" ht="15.75" customHeight="1">
      <c r="A292" s="40"/>
      <c r="B292" s="33"/>
      <c r="C292" s="45" t="str">
        <f>IFERROR(VLOOKUP(B292,COLORES!$A$4:$B$52,2,FALSE()),"")</f>
        <v/>
      </c>
      <c r="D292" s="33"/>
      <c r="E292" s="46"/>
      <c r="F292" s="34"/>
      <c r="G292" s="33"/>
      <c r="H292" s="47"/>
      <c r="I292" s="47"/>
      <c r="J292" s="48">
        <f>IFERROR(VLOOKUP(VLOOKUP(A292,PROGRAMAS!$A$4:$G$103,7,FALSE()),PRECIOS_TEJEDURIA!$A$4:$B$22,2,FALSE()),0)</f>
        <v>0</v>
      </c>
      <c r="K292" s="49"/>
      <c r="L292" s="50"/>
      <c r="M292" s="51">
        <f t="shared" si="1"/>
        <v>0</v>
      </c>
      <c r="N292" s="49"/>
      <c r="O292" s="49"/>
      <c r="P292" s="49"/>
      <c r="Q292" s="52"/>
      <c r="R292" s="53"/>
      <c r="S292" s="53"/>
      <c r="T292" s="54"/>
      <c r="U292" s="19">
        <f t="shared" si="2"/>
        <v>0</v>
      </c>
      <c r="V292" s="20">
        <f t="shared" si="3"/>
        <v>0</v>
      </c>
      <c r="W292" s="55">
        <f t="array" ref="W292">IFERROR(INDEX(PRECIOS_TINTORERIA!$B$4:$U$15,MATCH(D292,PRECIOS_TINTORERIA!$A$4:$A$15,0),MATCH(VLOOKUP(A292,PROGRAMAS!$A$4:$G$103,7,FALSE()),PRECIOS_TINTORERIA!$B$3:$U$3,0)),0)</f>
        <v>0</v>
      </c>
      <c r="X292" s="56"/>
      <c r="Y292" s="57"/>
      <c r="Z292" s="58">
        <f t="shared" si="4"/>
        <v>0</v>
      </c>
      <c r="AA292" s="56"/>
      <c r="AB292" s="56"/>
      <c r="AC292" s="56"/>
      <c r="AD292" s="23">
        <f>IFERROR((SUMIFS(COMPRAS_HILO!$H$4:$H$203,COMPRAS_HILO!$B$4:$B$203,A292))*F292/SUMIFS($F$4:$F$503,$A$4:$A$503,A292),0)</f>
        <v>0</v>
      </c>
      <c r="AE292" s="23">
        <f t="shared" si="5"/>
        <v>0</v>
      </c>
      <c r="AF292" s="23">
        <f t="shared" si="6"/>
        <v>0</v>
      </c>
      <c r="AG292" s="25">
        <f t="shared" si="7"/>
        <v>0</v>
      </c>
      <c r="AH292" s="25">
        <f t="shared" si="8"/>
        <v>0</v>
      </c>
      <c r="AI292" s="59"/>
    </row>
    <row r="293" ht="15.75" customHeight="1">
      <c r="A293" s="40"/>
      <c r="B293" s="33"/>
      <c r="C293" s="45" t="str">
        <f>IFERROR(VLOOKUP(B293,COLORES!$A$4:$B$52,2,FALSE()),"")</f>
        <v/>
      </c>
      <c r="D293" s="33"/>
      <c r="E293" s="46"/>
      <c r="F293" s="34"/>
      <c r="G293" s="33"/>
      <c r="H293" s="47"/>
      <c r="I293" s="47"/>
      <c r="J293" s="48">
        <f>IFERROR(VLOOKUP(VLOOKUP(A293,PROGRAMAS!$A$4:$G$103,7,FALSE()),PRECIOS_TEJEDURIA!$A$4:$B$22,2,FALSE()),0)</f>
        <v>0</v>
      </c>
      <c r="K293" s="49"/>
      <c r="L293" s="50"/>
      <c r="M293" s="51">
        <f t="shared" si="1"/>
        <v>0</v>
      </c>
      <c r="N293" s="49"/>
      <c r="O293" s="49"/>
      <c r="P293" s="49"/>
      <c r="Q293" s="52"/>
      <c r="R293" s="53"/>
      <c r="S293" s="53"/>
      <c r="T293" s="54"/>
      <c r="U293" s="19">
        <f t="shared" si="2"/>
        <v>0</v>
      </c>
      <c r="V293" s="20">
        <f t="shared" si="3"/>
        <v>0</v>
      </c>
      <c r="W293" s="55">
        <f t="array" ref="W293">IFERROR(INDEX(PRECIOS_TINTORERIA!$B$4:$U$15,MATCH(D293,PRECIOS_TINTORERIA!$A$4:$A$15,0),MATCH(VLOOKUP(A293,PROGRAMAS!$A$4:$G$103,7,FALSE()),PRECIOS_TINTORERIA!$B$3:$U$3,0)),0)</f>
        <v>0</v>
      </c>
      <c r="X293" s="56"/>
      <c r="Y293" s="57"/>
      <c r="Z293" s="58">
        <f t="shared" si="4"/>
        <v>0</v>
      </c>
      <c r="AA293" s="56"/>
      <c r="AB293" s="56"/>
      <c r="AC293" s="56"/>
      <c r="AD293" s="23">
        <f>IFERROR((SUMIFS(COMPRAS_HILO!$H$4:$H$203,COMPRAS_HILO!$B$4:$B$203,A293))*F293/SUMIFS($F$4:$F$503,$A$4:$A$503,A293),0)</f>
        <v>0</v>
      </c>
      <c r="AE293" s="23">
        <f t="shared" si="5"/>
        <v>0</v>
      </c>
      <c r="AF293" s="23">
        <f t="shared" si="6"/>
        <v>0</v>
      </c>
      <c r="AG293" s="25">
        <f t="shared" si="7"/>
        <v>0</v>
      </c>
      <c r="AH293" s="25">
        <f t="shared" si="8"/>
        <v>0</v>
      </c>
      <c r="AI293" s="59"/>
    </row>
    <row r="294" ht="15.75" customHeight="1">
      <c r="A294" s="40"/>
      <c r="B294" s="33"/>
      <c r="C294" s="45" t="str">
        <f>IFERROR(VLOOKUP(B294,COLORES!$A$4:$B$52,2,FALSE()),"")</f>
        <v/>
      </c>
      <c r="D294" s="33"/>
      <c r="E294" s="46"/>
      <c r="F294" s="34"/>
      <c r="G294" s="33"/>
      <c r="H294" s="47"/>
      <c r="I294" s="47"/>
      <c r="J294" s="48">
        <f>IFERROR(VLOOKUP(VLOOKUP(A294,PROGRAMAS!$A$4:$G$103,7,FALSE()),PRECIOS_TEJEDURIA!$A$4:$B$22,2,FALSE()),0)</f>
        <v>0</v>
      </c>
      <c r="K294" s="49"/>
      <c r="L294" s="50"/>
      <c r="M294" s="51">
        <f t="shared" si="1"/>
        <v>0</v>
      </c>
      <c r="N294" s="49"/>
      <c r="O294" s="49"/>
      <c r="P294" s="49"/>
      <c r="Q294" s="52"/>
      <c r="R294" s="53"/>
      <c r="S294" s="53"/>
      <c r="T294" s="54"/>
      <c r="U294" s="19">
        <f t="shared" si="2"/>
        <v>0</v>
      </c>
      <c r="V294" s="20">
        <f t="shared" si="3"/>
        <v>0</v>
      </c>
      <c r="W294" s="55">
        <f t="array" ref="W294">IFERROR(INDEX(PRECIOS_TINTORERIA!$B$4:$U$15,MATCH(D294,PRECIOS_TINTORERIA!$A$4:$A$15,0),MATCH(VLOOKUP(A294,PROGRAMAS!$A$4:$G$103,7,FALSE()),PRECIOS_TINTORERIA!$B$3:$U$3,0)),0)</f>
        <v>0</v>
      </c>
      <c r="X294" s="56"/>
      <c r="Y294" s="57"/>
      <c r="Z294" s="58">
        <f t="shared" si="4"/>
        <v>0</v>
      </c>
      <c r="AA294" s="56"/>
      <c r="AB294" s="56"/>
      <c r="AC294" s="56"/>
      <c r="AD294" s="23">
        <f>IFERROR((SUMIFS(COMPRAS_HILO!$H$4:$H$203,COMPRAS_HILO!$B$4:$B$203,A294))*F294/SUMIFS($F$4:$F$503,$A$4:$A$503,A294),0)</f>
        <v>0</v>
      </c>
      <c r="AE294" s="23">
        <f t="shared" si="5"/>
        <v>0</v>
      </c>
      <c r="AF294" s="23">
        <f t="shared" si="6"/>
        <v>0</v>
      </c>
      <c r="AG294" s="25">
        <f t="shared" si="7"/>
        <v>0</v>
      </c>
      <c r="AH294" s="25">
        <f t="shared" si="8"/>
        <v>0</v>
      </c>
      <c r="AI294" s="59"/>
    </row>
    <row r="295" ht="15.75" customHeight="1">
      <c r="A295" s="40"/>
      <c r="B295" s="33"/>
      <c r="C295" s="45" t="str">
        <f>IFERROR(VLOOKUP(B295,COLORES!$A$4:$B$52,2,FALSE()),"")</f>
        <v/>
      </c>
      <c r="D295" s="33"/>
      <c r="E295" s="46"/>
      <c r="F295" s="34"/>
      <c r="G295" s="33"/>
      <c r="H295" s="47"/>
      <c r="I295" s="47"/>
      <c r="J295" s="48">
        <f>IFERROR(VLOOKUP(VLOOKUP(A295,PROGRAMAS!$A$4:$G$103,7,FALSE()),PRECIOS_TEJEDURIA!$A$4:$B$22,2,FALSE()),0)</f>
        <v>0</v>
      </c>
      <c r="K295" s="49"/>
      <c r="L295" s="50"/>
      <c r="M295" s="51">
        <f t="shared" si="1"/>
        <v>0</v>
      </c>
      <c r="N295" s="49"/>
      <c r="O295" s="49"/>
      <c r="P295" s="49"/>
      <c r="Q295" s="52"/>
      <c r="R295" s="53"/>
      <c r="S295" s="53"/>
      <c r="T295" s="54"/>
      <c r="U295" s="19">
        <f t="shared" si="2"/>
        <v>0</v>
      </c>
      <c r="V295" s="20">
        <f t="shared" si="3"/>
        <v>0</v>
      </c>
      <c r="W295" s="55">
        <f t="array" ref="W295">IFERROR(INDEX(PRECIOS_TINTORERIA!$B$4:$U$15,MATCH(D295,PRECIOS_TINTORERIA!$A$4:$A$15,0),MATCH(VLOOKUP(A295,PROGRAMAS!$A$4:$G$103,7,FALSE()),PRECIOS_TINTORERIA!$B$3:$U$3,0)),0)</f>
        <v>0</v>
      </c>
      <c r="X295" s="56"/>
      <c r="Y295" s="57"/>
      <c r="Z295" s="58">
        <f t="shared" si="4"/>
        <v>0</v>
      </c>
      <c r="AA295" s="56"/>
      <c r="AB295" s="56"/>
      <c r="AC295" s="56"/>
      <c r="AD295" s="23">
        <f>IFERROR((SUMIFS(COMPRAS_HILO!$H$4:$H$203,COMPRAS_HILO!$B$4:$B$203,A295))*F295/SUMIFS($F$4:$F$503,$A$4:$A$503,A295),0)</f>
        <v>0</v>
      </c>
      <c r="AE295" s="23">
        <f t="shared" si="5"/>
        <v>0</v>
      </c>
      <c r="AF295" s="23">
        <f t="shared" si="6"/>
        <v>0</v>
      </c>
      <c r="AG295" s="25">
        <f t="shared" si="7"/>
        <v>0</v>
      </c>
      <c r="AH295" s="25">
        <f t="shared" si="8"/>
        <v>0</v>
      </c>
      <c r="AI295" s="59"/>
    </row>
    <row r="296" ht="15.75" customHeight="1">
      <c r="A296" s="40"/>
      <c r="B296" s="33"/>
      <c r="C296" s="45" t="str">
        <f>IFERROR(VLOOKUP(B296,COLORES!$A$4:$B$52,2,FALSE()),"")</f>
        <v/>
      </c>
      <c r="D296" s="33"/>
      <c r="E296" s="46"/>
      <c r="F296" s="34"/>
      <c r="G296" s="33"/>
      <c r="H296" s="47"/>
      <c r="I296" s="47"/>
      <c r="J296" s="48">
        <f>IFERROR(VLOOKUP(VLOOKUP(A296,PROGRAMAS!$A$4:$G$103,7,FALSE()),PRECIOS_TEJEDURIA!$A$4:$B$22,2,FALSE()),0)</f>
        <v>0</v>
      </c>
      <c r="K296" s="49"/>
      <c r="L296" s="50"/>
      <c r="M296" s="51">
        <f t="shared" si="1"/>
        <v>0</v>
      </c>
      <c r="N296" s="49"/>
      <c r="O296" s="49"/>
      <c r="P296" s="49"/>
      <c r="Q296" s="52"/>
      <c r="R296" s="53"/>
      <c r="S296" s="53"/>
      <c r="T296" s="54"/>
      <c r="U296" s="19">
        <f t="shared" si="2"/>
        <v>0</v>
      </c>
      <c r="V296" s="20">
        <f t="shared" si="3"/>
        <v>0</v>
      </c>
      <c r="W296" s="55">
        <f t="array" ref="W296">IFERROR(INDEX(PRECIOS_TINTORERIA!$B$4:$U$15,MATCH(D296,PRECIOS_TINTORERIA!$A$4:$A$15,0),MATCH(VLOOKUP(A296,PROGRAMAS!$A$4:$G$103,7,FALSE()),PRECIOS_TINTORERIA!$B$3:$U$3,0)),0)</f>
        <v>0</v>
      </c>
      <c r="X296" s="56"/>
      <c r="Y296" s="57"/>
      <c r="Z296" s="58">
        <f t="shared" si="4"/>
        <v>0</v>
      </c>
      <c r="AA296" s="56"/>
      <c r="AB296" s="56"/>
      <c r="AC296" s="56"/>
      <c r="AD296" s="23">
        <f>IFERROR((SUMIFS(COMPRAS_HILO!$H$4:$H$203,COMPRAS_HILO!$B$4:$B$203,A296))*F296/SUMIFS($F$4:$F$503,$A$4:$A$503,A296),0)</f>
        <v>0</v>
      </c>
      <c r="AE296" s="23">
        <f t="shared" si="5"/>
        <v>0</v>
      </c>
      <c r="AF296" s="23">
        <f t="shared" si="6"/>
        <v>0</v>
      </c>
      <c r="AG296" s="25">
        <f t="shared" si="7"/>
        <v>0</v>
      </c>
      <c r="AH296" s="25">
        <f t="shared" si="8"/>
        <v>0</v>
      </c>
      <c r="AI296" s="59"/>
    </row>
    <row r="297" ht="15.75" customHeight="1">
      <c r="A297" s="40"/>
      <c r="B297" s="33"/>
      <c r="C297" s="45" t="str">
        <f>IFERROR(VLOOKUP(B297,COLORES!$A$4:$B$52,2,FALSE()),"")</f>
        <v/>
      </c>
      <c r="D297" s="33"/>
      <c r="E297" s="46"/>
      <c r="F297" s="34"/>
      <c r="G297" s="33"/>
      <c r="H297" s="47"/>
      <c r="I297" s="47"/>
      <c r="J297" s="48">
        <f>IFERROR(VLOOKUP(VLOOKUP(A297,PROGRAMAS!$A$4:$G$103,7,FALSE()),PRECIOS_TEJEDURIA!$A$4:$B$22,2,FALSE()),0)</f>
        <v>0</v>
      </c>
      <c r="K297" s="49"/>
      <c r="L297" s="50"/>
      <c r="M297" s="51">
        <f t="shared" si="1"/>
        <v>0</v>
      </c>
      <c r="N297" s="49"/>
      <c r="O297" s="49"/>
      <c r="P297" s="49"/>
      <c r="Q297" s="52"/>
      <c r="R297" s="53"/>
      <c r="S297" s="53"/>
      <c r="T297" s="54"/>
      <c r="U297" s="19">
        <f t="shared" si="2"/>
        <v>0</v>
      </c>
      <c r="V297" s="20">
        <f t="shared" si="3"/>
        <v>0</v>
      </c>
      <c r="W297" s="55">
        <f t="array" ref="W297">IFERROR(INDEX(PRECIOS_TINTORERIA!$B$4:$U$15,MATCH(D297,PRECIOS_TINTORERIA!$A$4:$A$15,0),MATCH(VLOOKUP(A297,PROGRAMAS!$A$4:$G$103,7,FALSE()),PRECIOS_TINTORERIA!$B$3:$U$3,0)),0)</f>
        <v>0</v>
      </c>
      <c r="X297" s="56"/>
      <c r="Y297" s="57"/>
      <c r="Z297" s="58">
        <f t="shared" si="4"/>
        <v>0</v>
      </c>
      <c r="AA297" s="56"/>
      <c r="AB297" s="56"/>
      <c r="AC297" s="56"/>
      <c r="AD297" s="23">
        <f>IFERROR((SUMIFS(COMPRAS_HILO!$H$4:$H$203,COMPRAS_HILO!$B$4:$B$203,A297))*F297/SUMIFS($F$4:$F$503,$A$4:$A$503,A297),0)</f>
        <v>0</v>
      </c>
      <c r="AE297" s="23">
        <f t="shared" si="5"/>
        <v>0</v>
      </c>
      <c r="AF297" s="23">
        <f t="shared" si="6"/>
        <v>0</v>
      </c>
      <c r="AG297" s="25">
        <f t="shared" si="7"/>
        <v>0</v>
      </c>
      <c r="AH297" s="25">
        <f t="shared" si="8"/>
        <v>0</v>
      </c>
      <c r="AI297" s="59"/>
    </row>
    <row r="298" ht="15.75" customHeight="1">
      <c r="A298" s="40"/>
      <c r="B298" s="33"/>
      <c r="C298" s="45" t="str">
        <f>IFERROR(VLOOKUP(B298,COLORES!$A$4:$B$52,2,FALSE()),"")</f>
        <v/>
      </c>
      <c r="D298" s="33"/>
      <c r="E298" s="46"/>
      <c r="F298" s="34"/>
      <c r="G298" s="33"/>
      <c r="H298" s="47"/>
      <c r="I298" s="47"/>
      <c r="J298" s="48">
        <f>IFERROR(VLOOKUP(VLOOKUP(A298,PROGRAMAS!$A$4:$G$103,7,FALSE()),PRECIOS_TEJEDURIA!$A$4:$B$22,2,FALSE()),0)</f>
        <v>0</v>
      </c>
      <c r="K298" s="49"/>
      <c r="L298" s="50"/>
      <c r="M298" s="51">
        <f t="shared" si="1"/>
        <v>0</v>
      </c>
      <c r="N298" s="49"/>
      <c r="O298" s="49"/>
      <c r="P298" s="49"/>
      <c r="Q298" s="52"/>
      <c r="R298" s="53"/>
      <c r="S298" s="53"/>
      <c r="T298" s="54"/>
      <c r="U298" s="19">
        <f t="shared" si="2"/>
        <v>0</v>
      </c>
      <c r="V298" s="20">
        <f t="shared" si="3"/>
        <v>0</v>
      </c>
      <c r="W298" s="55">
        <f t="array" ref="W298">IFERROR(INDEX(PRECIOS_TINTORERIA!$B$4:$U$15,MATCH(D298,PRECIOS_TINTORERIA!$A$4:$A$15,0),MATCH(VLOOKUP(A298,PROGRAMAS!$A$4:$G$103,7,FALSE()),PRECIOS_TINTORERIA!$B$3:$U$3,0)),0)</f>
        <v>0</v>
      </c>
      <c r="X298" s="56"/>
      <c r="Y298" s="57"/>
      <c r="Z298" s="58">
        <f t="shared" si="4"/>
        <v>0</v>
      </c>
      <c r="AA298" s="56"/>
      <c r="AB298" s="56"/>
      <c r="AC298" s="56"/>
      <c r="AD298" s="23">
        <f>IFERROR((SUMIFS(COMPRAS_HILO!$H$4:$H$203,COMPRAS_HILO!$B$4:$B$203,A298))*F298/SUMIFS($F$4:$F$503,$A$4:$A$503,A298),0)</f>
        <v>0</v>
      </c>
      <c r="AE298" s="23">
        <f t="shared" si="5"/>
        <v>0</v>
      </c>
      <c r="AF298" s="23">
        <f t="shared" si="6"/>
        <v>0</v>
      </c>
      <c r="AG298" s="25">
        <f t="shared" si="7"/>
        <v>0</v>
      </c>
      <c r="AH298" s="25">
        <f t="shared" si="8"/>
        <v>0</v>
      </c>
      <c r="AI298" s="59"/>
    </row>
    <row r="299" ht="15.75" customHeight="1">
      <c r="A299" s="40"/>
      <c r="B299" s="33"/>
      <c r="C299" s="45" t="str">
        <f>IFERROR(VLOOKUP(B299,COLORES!$A$4:$B$52,2,FALSE()),"")</f>
        <v/>
      </c>
      <c r="D299" s="33"/>
      <c r="E299" s="46"/>
      <c r="F299" s="34"/>
      <c r="G299" s="33"/>
      <c r="H299" s="47"/>
      <c r="I299" s="47"/>
      <c r="J299" s="48">
        <f>IFERROR(VLOOKUP(VLOOKUP(A299,PROGRAMAS!$A$4:$G$103,7,FALSE()),PRECIOS_TEJEDURIA!$A$4:$B$22,2,FALSE()),0)</f>
        <v>0</v>
      </c>
      <c r="K299" s="49"/>
      <c r="L299" s="50"/>
      <c r="M299" s="51">
        <f t="shared" si="1"/>
        <v>0</v>
      </c>
      <c r="N299" s="49"/>
      <c r="O299" s="49"/>
      <c r="P299" s="49"/>
      <c r="Q299" s="52"/>
      <c r="R299" s="53"/>
      <c r="S299" s="53"/>
      <c r="T299" s="54"/>
      <c r="U299" s="19">
        <f t="shared" si="2"/>
        <v>0</v>
      </c>
      <c r="V299" s="20">
        <f t="shared" si="3"/>
        <v>0</v>
      </c>
      <c r="W299" s="55">
        <f t="array" ref="W299">IFERROR(INDEX(PRECIOS_TINTORERIA!$B$4:$U$15,MATCH(D299,PRECIOS_TINTORERIA!$A$4:$A$15,0),MATCH(VLOOKUP(A299,PROGRAMAS!$A$4:$G$103,7,FALSE()),PRECIOS_TINTORERIA!$B$3:$U$3,0)),0)</f>
        <v>0</v>
      </c>
      <c r="X299" s="56"/>
      <c r="Y299" s="57"/>
      <c r="Z299" s="58">
        <f t="shared" si="4"/>
        <v>0</v>
      </c>
      <c r="AA299" s="56"/>
      <c r="AB299" s="56"/>
      <c r="AC299" s="56"/>
      <c r="AD299" s="23">
        <f>IFERROR((SUMIFS(COMPRAS_HILO!$H$4:$H$203,COMPRAS_HILO!$B$4:$B$203,A299))*F299/SUMIFS($F$4:$F$503,$A$4:$A$503,A299),0)</f>
        <v>0</v>
      </c>
      <c r="AE299" s="23">
        <f t="shared" si="5"/>
        <v>0</v>
      </c>
      <c r="AF299" s="23">
        <f t="shared" si="6"/>
        <v>0</v>
      </c>
      <c r="AG299" s="25">
        <f t="shared" si="7"/>
        <v>0</v>
      </c>
      <c r="AH299" s="25">
        <f t="shared" si="8"/>
        <v>0</v>
      </c>
      <c r="AI299" s="59"/>
    </row>
    <row r="300" ht="15.75" customHeight="1">
      <c r="A300" s="40"/>
      <c r="B300" s="33"/>
      <c r="C300" s="45" t="str">
        <f>IFERROR(VLOOKUP(B300,COLORES!$A$4:$B$52,2,FALSE()),"")</f>
        <v/>
      </c>
      <c r="D300" s="33"/>
      <c r="E300" s="46"/>
      <c r="F300" s="34"/>
      <c r="G300" s="33"/>
      <c r="H300" s="47"/>
      <c r="I300" s="47"/>
      <c r="J300" s="48">
        <f>IFERROR(VLOOKUP(VLOOKUP(A300,PROGRAMAS!$A$4:$G$103,7,FALSE()),PRECIOS_TEJEDURIA!$A$4:$B$22,2,FALSE()),0)</f>
        <v>0</v>
      </c>
      <c r="K300" s="49"/>
      <c r="L300" s="50"/>
      <c r="M300" s="51">
        <f t="shared" si="1"/>
        <v>0</v>
      </c>
      <c r="N300" s="49"/>
      <c r="O300" s="49"/>
      <c r="P300" s="49"/>
      <c r="Q300" s="52"/>
      <c r="R300" s="53"/>
      <c r="S300" s="53"/>
      <c r="T300" s="54"/>
      <c r="U300" s="19">
        <f t="shared" si="2"/>
        <v>0</v>
      </c>
      <c r="V300" s="20">
        <f t="shared" si="3"/>
        <v>0</v>
      </c>
      <c r="W300" s="55">
        <f t="array" ref="W300">IFERROR(INDEX(PRECIOS_TINTORERIA!$B$4:$U$15,MATCH(D300,PRECIOS_TINTORERIA!$A$4:$A$15,0),MATCH(VLOOKUP(A300,PROGRAMAS!$A$4:$G$103,7,FALSE()),PRECIOS_TINTORERIA!$B$3:$U$3,0)),0)</f>
        <v>0</v>
      </c>
      <c r="X300" s="56"/>
      <c r="Y300" s="57"/>
      <c r="Z300" s="58">
        <f t="shared" si="4"/>
        <v>0</v>
      </c>
      <c r="AA300" s="56"/>
      <c r="AB300" s="56"/>
      <c r="AC300" s="56"/>
      <c r="AD300" s="23">
        <f>IFERROR((SUMIFS(COMPRAS_HILO!$H$4:$H$203,COMPRAS_HILO!$B$4:$B$203,A300))*F300/SUMIFS($F$4:$F$503,$A$4:$A$503,A300),0)</f>
        <v>0</v>
      </c>
      <c r="AE300" s="23">
        <f t="shared" si="5"/>
        <v>0</v>
      </c>
      <c r="AF300" s="23">
        <f t="shared" si="6"/>
        <v>0</v>
      </c>
      <c r="AG300" s="25">
        <f t="shared" si="7"/>
        <v>0</v>
      </c>
      <c r="AH300" s="25">
        <f t="shared" si="8"/>
        <v>0</v>
      </c>
      <c r="AI300" s="59"/>
    </row>
    <row r="301" ht="15.75" customHeight="1">
      <c r="A301" s="40"/>
      <c r="B301" s="33"/>
      <c r="C301" s="45" t="str">
        <f>IFERROR(VLOOKUP(B301,COLORES!$A$4:$B$52,2,FALSE()),"")</f>
        <v/>
      </c>
      <c r="D301" s="33"/>
      <c r="E301" s="46"/>
      <c r="F301" s="34"/>
      <c r="G301" s="33"/>
      <c r="H301" s="47"/>
      <c r="I301" s="47"/>
      <c r="J301" s="48">
        <f>IFERROR(VLOOKUP(VLOOKUP(A301,PROGRAMAS!$A$4:$G$103,7,FALSE()),PRECIOS_TEJEDURIA!$A$4:$B$22,2,FALSE()),0)</f>
        <v>0</v>
      </c>
      <c r="K301" s="49"/>
      <c r="L301" s="50"/>
      <c r="M301" s="51">
        <f t="shared" si="1"/>
        <v>0</v>
      </c>
      <c r="N301" s="49"/>
      <c r="O301" s="49"/>
      <c r="P301" s="49"/>
      <c r="Q301" s="52"/>
      <c r="R301" s="53"/>
      <c r="S301" s="53"/>
      <c r="T301" s="54"/>
      <c r="U301" s="19">
        <f t="shared" si="2"/>
        <v>0</v>
      </c>
      <c r="V301" s="20">
        <f t="shared" si="3"/>
        <v>0</v>
      </c>
      <c r="W301" s="55">
        <f t="array" ref="W301">IFERROR(INDEX(PRECIOS_TINTORERIA!$B$4:$U$15,MATCH(D301,PRECIOS_TINTORERIA!$A$4:$A$15,0),MATCH(VLOOKUP(A301,PROGRAMAS!$A$4:$G$103,7,FALSE()),PRECIOS_TINTORERIA!$B$3:$U$3,0)),0)</f>
        <v>0</v>
      </c>
      <c r="X301" s="56"/>
      <c r="Y301" s="57"/>
      <c r="Z301" s="58">
        <f t="shared" si="4"/>
        <v>0</v>
      </c>
      <c r="AA301" s="56"/>
      <c r="AB301" s="56"/>
      <c r="AC301" s="56"/>
      <c r="AD301" s="23">
        <f>IFERROR((SUMIFS(COMPRAS_HILO!$H$4:$H$203,COMPRAS_HILO!$B$4:$B$203,A301))*F301/SUMIFS($F$4:$F$503,$A$4:$A$503,A301),0)</f>
        <v>0</v>
      </c>
      <c r="AE301" s="23">
        <f t="shared" si="5"/>
        <v>0</v>
      </c>
      <c r="AF301" s="23">
        <f t="shared" si="6"/>
        <v>0</v>
      </c>
      <c r="AG301" s="25">
        <f t="shared" si="7"/>
        <v>0</v>
      </c>
      <c r="AH301" s="25">
        <f t="shared" si="8"/>
        <v>0</v>
      </c>
      <c r="AI301" s="59"/>
    </row>
    <row r="302" ht="15.75" customHeight="1">
      <c r="A302" s="40"/>
      <c r="B302" s="33"/>
      <c r="C302" s="45" t="str">
        <f>IFERROR(VLOOKUP(B302,COLORES!$A$4:$B$52,2,FALSE()),"")</f>
        <v/>
      </c>
      <c r="D302" s="33"/>
      <c r="E302" s="46"/>
      <c r="F302" s="34"/>
      <c r="G302" s="33"/>
      <c r="H302" s="47"/>
      <c r="I302" s="47"/>
      <c r="J302" s="48">
        <f>IFERROR(VLOOKUP(VLOOKUP(A302,PROGRAMAS!$A$4:$G$103,7,FALSE()),PRECIOS_TEJEDURIA!$A$4:$B$22,2,FALSE()),0)</f>
        <v>0</v>
      </c>
      <c r="K302" s="49"/>
      <c r="L302" s="50"/>
      <c r="M302" s="51">
        <f t="shared" si="1"/>
        <v>0</v>
      </c>
      <c r="N302" s="49"/>
      <c r="O302" s="49"/>
      <c r="P302" s="49"/>
      <c r="Q302" s="52"/>
      <c r="R302" s="53"/>
      <c r="S302" s="53"/>
      <c r="T302" s="54"/>
      <c r="U302" s="19">
        <f t="shared" si="2"/>
        <v>0</v>
      </c>
      <c r="V302" s="20">
        <f t="shared" si="3"/>
        <v>0</v>
      </c>
      <c r="W302" s="55">
        <f t="array" ref="W302">IFERROR(INDEX(PRECIOS_TINTORERIA!$B$4:$U$15,MATCH(D302,PRECIOS_TINTORERIA!$A$4:$A$15,0),MATCH(VLOOKUP(A302,PROGRAMAS!$A$4:$G$103,7,FALSE()),PRECIOS_TINTORERIA!$B$3:$U$3,0)),0)</f>
        <v>0</v>
      </c>
      <c r="X302" s="56"/>
      <c r="Y302" s="57"/>
      <c r="Z302" s="58">
        <f t="shared" si="4"/>
        <v>0</v>
      </c>
      <c r="AA302" s="56"/>
      <c r="AB302" s="56"/>
      <c r="AC302" s="56"/>
      <c r="AD302" s="23">
        <f>IFERROR((SUMIFS(COMPRAS_HILO!$H$4:$H$203,COMPRAS_HILO!$B$4:$B$203,A302))*F302/SUMIFS($F$4:$F$503,$A$4:$A$503,A302),0)</f>
        <v>0</v>
      </c>
      <c r="AE302" s="23">
        <f t="shared" si="5"/>
        <v>0</v>
      </c>
      <c r="AF302" s="23">
        <f t="shared" si="6"/>
        <v>0</v>
      </c>
      <c r="AG302" s="25">
        <f t="shared" si="7"/>
        <v>0</v>
      </c>
      <c r="AH302" s="25">
        <f t="shared" si="8"/>
        <v>0</v>
      </c>
      <c r="AI302" s="59"/>
    </row>
    <row r="303" ht="15.75" customHeight="1">
      <c r="A303" s="40"/>
      <c r="B303" s="33"/>
      <c r="C303" s="45" t="str">
        <f>IFERROR(VLOOKUP(B303,COLORES!$A$4:$B$52,2,FALSE()),"")</f>
        <v/>
      </c>
      <c r="D303" s="33"/>
      <c r="E303" s="46"/>
      <c r="F303" s="34"/>
      <c r="G303" s="33"/>
      <c r="H303" s="47"/>
      <c r="I303" s="47"/>
      <c r="J303" s="48">
        <f>IFERROR(VLOOKUP(VLOOKUP(A303,PROGRAMAS!$A$4:$G$103,7,FALSE()),PRECIOS_TEJEDURIA!$A$4:$B$22,2,FALSE()),0)</f>
        <v>0</v>
      </c>
      <c r="K303" s="49"/>
      <c r="L303" s="50"/>
      <c r="M303" s="51">
        <f t="shared" si="1"/>
        <v>0</v>
      </c>
      <c r="N303" s="49"/>
      <c r="O303" s="49"/>
      <c r="P303" s="49"/>
      <c r="Q303" s="52"/>
      <c r="R303" s="53"/>
      <c r="S303" s="53"/>
      <c r="T303" s="54"/>
      <c r="U303" s="19">
        <f t="shared" si="2"/>
        <v>0</v>
      </c>
      <c r="V303" s="20">
        <f t="shared" si="3"/>
        <v>0</v>
      </c>
      <c r="W303" s="55">
        <f t="array" ref="W303">IFERROR(INDEX(PRECIOS_TINTORERIA!$B$4:$U$15,MATCH(D303,PRECIOS_TINTORERIA!$A$4:$A$15,0),MATCH(VLOOKUP(A303,PROGRAMAS!$A$4:$G$103,7,FALSE()),PRECIOS_TINTORERIA!$B$3:$U$3,0)),0)</f>
        <v>0</v>
      </c>
      <c r="X303" s="56"/>
      <c r="Y303" s="57"/>
      <c r="Z303" s="58">
        <f t="shared" si="4"/>
        <v>0</v>
      </c>
      <c r="AA303" s="56"/>
      <c r="AB303" s="56"/>
      <c r="AC303" s="56"/>
      <c r="AD303" s="23">
        <f>IFERROR((SUMIFS(COMPRAS_HILO!$H$4:$H$203,COMPRAS_HILO!$B$4:$B$203,A303))*F303/SUMIFS($F$4:$F$503,$A$4:$A$503,A303),0)</f>
        <v>0</v>
      </c>
      <c r="AE303" s="23">
        <f t="shared" si="5"/>
        <v>0</v>
      </c>
      <c r="AF303" s="23">
        <f t="shared" si="6"/>
        <v>0</v>
      </c>
      <c r="AG303" s="25">
        <f t="shared" si="7"/>
        <v>0</v>
      </c>
      <c r="AH303" s="25">
        <f t="shared" si="8"/>
        <v>0</v>
      </c>
      <c r="AI303" s="59"/>
    </row>
    <row r="304" ht="15.75" customHeight="1">
      <c r="A304" s="40"/>
      <c r="B304" s="33"/>
      <c r="C304" s="45" t="str">
        <f>IFERROR(VLOOKUP(B304,COLORES!$A$4:$B$52,2,FALSE()),"")</f>
        <v/>
      </c>
      <c r="D304" s="33"/>
      <c r="E304" s="46"/>
      <c r="F304" s="34"/>
      <c r="G304" s="33"/>
      <c r="H304" s="47"/>
      <c r="I304" s="47"/>
      <c r="J304" s="48">
        <f>IFERROR(VLOOKUP(VLOOKUP(A304,PROGRAMAS!$A$4:$G$103,7,FALSE()),PRECIOS_TEJEDURIA!$A$4:$B$22,2,FALSE()),0)</f>
        <v>0</v>
      </c>
      <c r="K304" s="49"/>
      <c r="L304" s="50"/>
      <c r="M304" s="51">
        <f t="shared" si="1"/>
        <v>0</v>
      </c>
      <c r="N304" s="49"/>
      <c r="O304" s="49"/>
      <c r="P304" s="49"/>
      <c r="Q304" s="52"/>
      <c r="R304" s="53"/>
      <c r="S304" s="53"/>
      <c r="T304" s="54"/>
      <c r="U304" s="19">
        <f t="shared" si="2"/>
        <v>0</v>
      </c>
      <c r="V304" s="20">
        <f t="shared" si="3"/>
        <v>0</v>
      </c>
      <c r="W304" s="55">
        <f t="array" ref="W304">IFERROR(INDEX(PRECIOS_TINTORERIA!$B$4:$U$15,MATCH(D304,PRECIOS_TINTORERIA!$A$4:$A$15,0),MATCH(VLOOKUP(A304,PROGRAMAS!$A$4:$G$103,7,FALSE()),PRECIOS_TINTORERIA!$B$3:$U$3,0)),0)</f>
        <v>0</v>
      </c>
      <c r="X304" s="56"/>
      <c r="Y304" s="57"/>
      <c r="Z304" s="58">
        <f t="shared" si="4"/>
        <v>0</v>
      </c>
      <c r="AA304" s="56"/>
      <c r="AB304" s="56"/>
      <c r="AC304" s="56"/>
      <c r="AD304" s="23">
        <f>IFERROR((SUMIFS(COMPRAS_HILO!$H$4:$H$203,COMPRAS_HILO!$B$4:$B$203,A304))*F304/SUMIFS($F$4:$F$503,$A$4:$A$503,A304),0)</f>
        <v>0</v>
      </c>
      <c r="AE304" s="23">
        <f t="shared" si="5"/>
        <v>0</v>
      </c>
      <c r="AF304" s="23">
        <f t="shared" si="6"/>
        <v>0</v>
      </c>
      <c r="AG304" s="25">
        <f t="shared" si="7"/>
        <v>0</v>
      </c>
      <c r="AH304" s="25">
        <f t="shared" si="8"/>
        <v>0</v>
      </c>
      <c r="AI304" s="59"/>
    </row>
    <row r="305" ht="15.75" customHeight="1">
      <c r="A305" s="40"/>
      <c r="B305" s="33"/>
      <c r="C305" s="45" t="str">
        <f>IFERROR(VLOOKUP(B305,COLORES!$A$4:$B$52,2,FALSE()),"")</f>
        <v/>
      </c>
      <c r="D305" s="33"/>
      <c r="E305" s="46"/>
      <c r="F305" s="34"/>
      <c r="G305" s="33"/>
      <c r="H305" s="47"/>
      <c r="I305" s="47"/>
      <c r="J305" s="48">
        <f>IFERROR(VLOOKUP(VLOOKUP(A305,PROGRAMAS!$A$4:$G$103,7,FALSE()),PRECIOS_TEJEDURIA!$A$4:$B$22,2,FALSE()),0)</f>
        <v>0</v>
      </c>
      <c r="K305" s="49"/>
      <c r="L305" s="50"/>
      <c r="M305" s="51">
        <f t="shared" si="1"/>
        <v>0</v>
      </c>
      <c r="N305" s="49"/>
      <c r="O305" s="49"/>
      <c r="P305" s="49"/>
      <c r="Q305" s="52"/>
      <c r="R305" s="53"/>
      <c r="S305" s="53"/>
      <c r="T305" s="54"/>
      <c r="U305" s="19">
        <f t="shared" si="2"/>
        <v>0</v>
      </c>
      <c r="V305" s="20">
        <f t="shared" si="3"/>
        <v>0</v>
      </c>
      <c r="W305" s="55">
        <f t="array" ref="W305">IFERROR(INDEX(PRECIOS_TINTORERIA!$B$4:$U$15,MATCH(D305,PRECIOS_TINTORERIA!$A$4:$A$15,0),MATCH(VLOOKUP(A305,PROGRAMAS!$A$4:$G$103,7,FALSE()),PRECIOS_TINTORERIA!$B$3:$U$3,0)),0)</f>
        <v>0</v>
      </c>
      <c r="X305" s="56"/>
      <c r="Y305" s="57"/>
      <c r="Z305" s="58">
        <f t="shared" si="4"/>
        <v>0</v>
      </c>
      <c r="AA305" s="56"/>
      <c r="AB305" s="56"/>
      <c r="AC305" s="56"/>
      <c r="AD305" s="23">
        <f>IFERROR((SUMIFS(COMPRAS_HILO!$H$4:$H$203,COMPRAS_HILO!$B$4:$B$203,A305))*F305/SUMIFS($F$4:$F$503,$A$4:$A$503,A305),0)</f>
        <v>0</v>
      </c>
      <c r="AE305" s="23">
        <f t="shared" si="5"/>
        <v>0</v>
      </c>
      <c r="AF305" s="23">
        <f t="shared" si="6"/>
        <v>0</v>
      </c>
      <c r="AG305" s="25">
        <f t="shared" si="7"/>
        <v>0</v>
      </c>
      <c r="AH305" s="25">
        <f t="shared" si="8"/>
        <v>0</v>
      </c>
      <c r="AI305" s="59"/>
    </row>
    <row r="306" ht="15.75" customHeight="1">
      <c r="A306" s="40"/>
      <c r="B306" s="33"/>
      <c r="C306" s="45" t="str">
        <f>IFERROR(VLOOKUP(B306,COLORES!$A$4:$B$52,2,FALSE()),"")</f>
        <v/>
      </c>
      <c r="D306" s="33"/>
      <c r="E306" s="46"/>
      <c r="F306" s="34"/>
      <c r="G306" s="33"/>
      <c r="H306" s="47"/>
      <c r="I306" s="47"/>
      <c r="J306" s="48">
        <f>IFERROR(VLOOKUP(VLOOKUP(A306,PROGRAMAS!$A$4:$G$103,7,FALSE()),PRECIOS_TEJEDURIA!$A$4:$B$22,2,FALSE()),0)</f>
        <v>0</v>
      </c>
      <c r="K306" s="49"/>
      <c r="L306" s="50"/>
      <c r="M306" s="51">
        <f t="shared" si="1"/>
        <v>0</v>
      </c>
      <c r="N306" s="49"/>
      <c r="O306" s="49"/>
      <c r="P306" s="49"/>
      <c r="Q306" s="52"/>
      <c r="R306" s="53"/>
      <c r="S306" s="53"/>
      <c r="T306" s="54"/>
      <c r="U306" s="19">
        <f t="shared" si="2"/>
        <v>0</v>
      </c>
      <c r="V306" s="20">
        <f t="shared" si="3"/>
        <v>0</v>
      </c>
      <c r="W306" s="55">
        <f t="array" ref="W306">IFERROR(INDEX(PRECIOS_TINTORERIA!$B$4:$U$15,MATCH(D306,PRECIOS_TINTORERIA!$A$4:$A$15,0),MATCH(VLOOKUP(A306,PROGRAMAS!$A$4:$G$103,7,FALSE()),PRECIOS_TINTORERIA!$B$3:$U$3,0)),0)</f>
        <v>0</v>
      </c>
      <c r="X306" s="56"/>
      <c r="Y306" s="57"/>
      <c r="Z306" s="58">
        <f t="shared" si="4"/>
        <v>0</v>
      </c>
      <c r="AA306" s="56"/>
      <c r="AB306" s="56"/>
      <c r="AC306" s="56"/>
      <c r="AD306" s="23">
        <f>IFERROR((SUMIFS(COMPRAS_HILO!$H$4:$H$203,COMPRAS_HILO!$B$4:$B$203,A306))*F306/SUMIFS($F$4:$F$503,$A$4:$A$503,A306),0)</f>
        <v>0</v>
      </c>
      <c r="AE306" s="23">
        <f t="shared" si="5"/>
        <v>0</v>
      </c>
      <c r="AF306" s="23">
        <f t="shared" si="6"/>
        <v>0</v>
      </c>
      <c r="AG306" s="25">
        <f t="shared" si="7"/>
        <v>0</v>
      </c>
      <c r="AH306" s="25">
        <f t="shared" si="8"/>
        <v>0</v>
      </c>
      <c r="AI306" s="59"/>
    </row>
    <row r="307" ht="15.75" customHeight="1">
      <c r="A307" s="40"/>
      <c r="B307" s="33"/>
      <c r="C307" s="45" t="str">
        <f>IFERROR(VLOOKUP(B307,COLORES!$A$4:$B$52,2,FALSE()),"")</f>
        <v/>
      </c>
      <c r="D307" s="33"/>
      <c r="E307" s="46"/>
      <c r="F307" s="34"/>
      <c r="G307" s="33"/>
      <c r="H307" s="47"/>
      <c r="I307" s="47"/>
      <c r="J307" s="48">
        <f>IFERROR(VLOOKUP(VLOOKUP(A307,PROGRAMAS!$A$4:$G$103,7,FALSE()),PRECIOS_TEJEDURIA!$A$4:$B$22,2,FALSE()),0)</f>
        <v>0</v>
      </c>
      <c r="K307" s="49"/>
      <c r="L307" s="50"/>
      <c r="M307" s="51">
        <f t="shared" si="1"/>
        <v>0</v>
      </c>
      <c r="N307" s="49"/>
      <c r="O307" s="49"/>
      <c r="P307" s="49"/>
      <c r="Q307" s="52"/>
      <c r="R307" s="53"/>
      <c r="S307" s="53"/>
      <c r="T307" s="54"/>
      <c r="U307" s="19">
        <f t="shared" si="2"/>
        <v>0</v>
      </c>
      <c r="V307" s="20">
        <f t="shared" si="3"/>
        <v>0</v>
      </c>
      <c r="W307" s="55">
        <f t="array" ref="W307">IFERROR(INDEX(PRECIOS_TINTORERIA!$B$4:$U$15,MATCH(D307,PRECIOS_TINTORERIA!$A$4:$A$15,0),MATCH(VLOOKUP(A307,PROGRAMAS!$A$4:$G$103,7,FALSE()),PRECIOS_TINTORERIA!$B$3:$U$3,0)),0)</f>
        <v>0</v>
      </c>
      <c r="X307" s="56"/>
      <c r="Y307" s="57"/>
      <c r="Z307" s="58">
        <f t="shared" si="4"/>
        <v>0</v>
      </c>
      <c r="AA307" s="56"/>
      <c r="AB307" s="56"/>
      <c r="AC307" s="56"/>
      <c r="AD307" s="23">
        <f>IFERROR((SUMIFS(COMPRAS_HILO!$H$4:$H$203,COMPRAS_HILO!$B$4:$B$203,A307))*F307/SUMIFS($F$4:$F$503,$A$4:$A$503,A307),0)</f>
        <v>0</v>
      </c>
      <c r="AE307" s="23">
        <f t="shared" si="5"/>
        <v>0</v>
      </c>
      <c r="AF307" s="23">
        <f t="shared" si="6"/>
        <v>0</v>
      </c>
      <c r="AG307" s="25">
        <f t="shared" si="7"/>
        <v>0</v>
      </c>
      <c r="AH307" s="25">
        <f t="shared" si="8"/>
        <v>0</v>
      </c>
      <c r="AI307" s="59"/>
    </row>
    <row r="308" ht="15.75" customHeight="1">
      <c r="A308" s="40"/>
      <c r="B308" s="33"/>
      <c r="C308" s="45" t="str">
        <f>IFERROR(VLOOKUP(B308,COLORES!$A$4:$B$52,2,FALSE()),"")</f>
        <v/>
      </c>
      <c r="D308" s="33"/>
      <c r="E308" s="46"/>
      <c r="F308" s="34"/>
      <c r="G308" s="33"/>
      <c r="H308" s="47"/>
      <c r="I308" s="47"/>
      <c r="J308" s="48">
        <f>IFERROR(VLOOKUP(VLOOKUP(A308,PROGRAMAS!$A$4:$G$103,7,FALSE()),PRECIOS_TEJEDURIA!$A$4:$B$22,2,FALSE()),0)</f>
        <v>0</v>
      </c>
      <c r="K308" s="49"/>
      <c r="L308" s="50"/>
      <c r="M308" s="51">
        <f t="shared" si="1"/>
        <v>0</v>
      </c>
      <c r="N308" s="49"/>
      <c r="O308" s="49"/>
      <c r="P308" s="49"/>
      <c r="Q308" s="52"/>
      <c r="R308" s="53"/>
      <c r="S308" s="53"/>
      <c r="T308" s="54"/>
      <c r="U308" s="19">
        <f t="shared" si="2"/>
        <v>0</v>
      </c>
      <c r="V308" s="20">
        <f t="shared" si="3"/>
        <v>0</v>
      </c>
      <c r="W308" s="55">
        <f t="array" ref="W308">IFERROR(INDEX(PRECIOS_TINTORERIA!$B$4:$U$15,MATCH(D308,PRECIOS_TINTORERIA!$A$4:$A$15,0),MATCH(VLOOKUP(A308,PROGRAMAS!$A$4:$G$103,7,FALSE()),PRECIOS_TINTORERIA!$B$3:$U$3,0)),0)</f>
        <v>0</v>
      </c>
      <c r="X308" s="56"/>
      <c r="Y308" s="57"/>
      <c r="Z308" s="58">
        <f t="shared" si="4"/>
        <v>0</v>
      </c>
      <c r="AA308" s="56"/>
      <c r="AB308" s="56"/>
      <c r="AC308" s="56"/>
      <c r="AD308" s="23">
        <f>IFERROR((SUMIFS(COMPRAS_HILO!$H$4:$H$203,COMPRAS_HILO!$B$4:$B$203,A308))*F308/SUMIFS($F$4:$F$503,$A$4:$A$503,A308),0)</f>
        <v>0</v>
      </c>
      <c r="AE308" s="23">
        <f t="shared" si="5"/>
        <v>0</v>
      </c>
      <c r="AF308" s="23">
        <f t="shared" si="6"/>
        <v>0</v>
      </c>
      <c r="AG308" s="25">
        <f t="shared" si="7"/>
        <v>0</v>
      </c>
      <c r="AH308" s="25">
        <f t="shared" si="8"/>
        <v>0</v>
      </c>
      <c r="AI308" s="59"/>
    </row>
    <row r="309" ht="15.75" customHeight="1">
      <c r="A309" s="40"/>
      <c r="B309" s="33"/>
      <c r="C309" s="45" t="str">
        <f>IFERROR(VLOOKUP(B309,COLORES!$A$4:$B$52,2,FALSE()),"")</f>
        <v/>
      </c>
      <c r="D309" s="33"/>
      <c r="E309" s="46"/>
      <c r="F309" s="34"/>
      <c r="G309" s="33"/>
      <c r="H309" s="47"/>
      <c r="I309" s="47"/>
      <c r="J309" s="48">
        <f>IFERROR(VLOOKUP(VLOOKUP(A309,PROGRAMAS!$A$4:$G$103,7,FALSE()),PRECIOS_TEJEDURIA!$A$4:$B$22,2,FALSE()),0)</f>
        <v>0</v>
      </c>
      <c r="K309" s="49"/>
      <c r="L309" s="50"/>
      <c r="M309" s="51">
        <f t="shared" si="1"/>
        <v>0</v>
      </c>
      <c r="N309" s="49"/>
      <c r="O309" s="49"/>
      <c r="P309" s="49"/>
      <c r="Q309" s="52"/>
      <c r="R309" s="53"/>
      <c r="S309" s="53"/>
      <c r="T309" s="54"/>
      <c r="U309" s="19">
        <f t="shared" si="2"/>
        <v>0</v>
      </c>
      <c r="V309" s="20">
        <f t="shared" si="3"/>
        <v>0</v>
      </c>
      <c r="W309" s="55">
        <f t="array" ref="W309">IFERROR(INDEX(PRECIOS_TINTORERIA!$B$4:$U$15,MATCH(D309,PRECIOS_TINTORERIA!$A$4:$A$15,0),MATCH(VLOOKUP(A309,PROGRAMAS!$A$4:$G$103,7,FALSE()),PRECIOS_TINTORERIA!$B$3:$U$3,0)),0)</f>
        <v>0</v>
      </c>
      <c r="X309" s="56"/>
      <c r="Y309" s="57"/>
      <c r="Z309" s="58">
        <f t="shared" si="4"/>
        <v>0</v>
      </c>
      <c r="AA309" s="56"/>
      <c r="AB309" s="56"/>
      <c r="AC309" s="56"/>
      <c r="AD309" s="23">
        <f>IFERROR((SUMIFS(COMPRAS_HILO!$H$4:$H$203,COMPRAS_HILO!$B$4:$B$203,A309))*F309/SUMIFS($F$4:$F$503,$A$4:$A$503,A309),0)</f>
        <v>0</v>
      </c>
      <c r="AE309" s="23">
        <f t="shared" si="5"/>
        <v>0</v>
      </c>
      <c r="AF309" s="23">
        <f t="shared" si="6"/>
        <v>0</v>
      </c>
      <c r="AG309" s="25">
        <f t="shared" si="7"/>
        <v>0</v>
      </c>
      <c r="AH309" s="25">
        <f t="shared" si="8"/>
        <v>0</v>
      </c>
      <c r="AI309" s="59"/>
    </row>
    <row r="310" ht="15.75" customHeight="1">
      <c r="A310" s="40"/>
      <c r="B310" s="33"/>
      <c r="C310" s="45" t="str">
        <f>IFERROR(VLOOKUP(B310,COLORES!$A$4:$B$52,2,FALSE()),"")</f>
        <v/>
      </c>
      <c r="D310" s="33"/>
      <c r="E310" s="46"/>
      <c r="F310" s="34"/>
      <c r="G310" s="33"/>
      <c r="H310" s="47"/>
      <c r="I310" s="47"/>
      <c r="J310" s="48">
        <f>IFERROR(VLOOKUP(VLOOKUP(A310,PROGRAMAS!$A$4:$G$103,7,FALSE()),PRECIOS_TEJEDURIA!$A$4:$B$22,2,FALSE()),0)</f>
        <v>0</v>
      </c>
      <c r="K310" s="49"/>
      <c r="L310" s="50"/>
      <c r="M310" s="51">
        <f t="shared" si="1"/>
        <v>0</v>
      </c>
      <c r="N310" s="49"/>
      <c r="O310" s="49"/>
      <c r="P310" s="49"/>
      <c r="Q310" s="52"/>
      <c r="R310" s="53"/>
      <c r="S310" s="53"/>
      <c r="T310" s="54"/>
      <c r="U310" s="19">
        <f t="shared" si="2"/>
        <v>0</v>
      </c>
      <c r="V310" s="20">
        <f t="shared" si="3"/>
        <v>0</v>
      </c>
      <c r="W310" s="55">
        <f t="array" ref="W310">IFERROR(INDEX(PRECIOS_TINTORERIA!$B$4:$U$15,MATCH(D310,PRECIOS_TINTORERIA!$A$4:$A$15,0),MATCH(VLOOKUP(A310,PROGRAMAS!$A$4:$G$103,7,FALSE()),PRECIOS_TINTORERIA!$B$3:$U$3,0)),0)</f>
        <v>0</v>
      </c>
      <c r="X310" s="56"/>
      <c r="Y310" s="57"/>
      <c r="Z310" s="58">
        <f t="shared" si="4"/>
        <v>0</v>
      </c>
      <c r="AA310" s="56"/>
      <c r="AB310" s="56"/>
      <c r="AC310" s="56"/>
      <c r="AD310" s="23">
        <f>IFERROR((SUMIFS(COMPRAS_HILO!$H$4:$H$203,COMPRAS_HILO!$B$4:$B$203,A310))*F310/SUMIFS($F$4:$F$503,$A$4:$A$503,A310),0)</f>
        <v>0</v>
      </c>
      <c r="AE310" s="23">
        <f t="shared" si="5"/>
        <v>0</v>
      </c>
      <c r="AF310" s="23">
        <f t="shared" si="6"/>
        <v>0</v>
      </c>
      <c r="AG310" s="25">
        <f t="shared" si="7"/>
        <v>0</v>
      </c>
      <c r="AH310" s="25">
        <f t="shared" si="8"/>
        <v>0</v>
      </c>
      <c r="AI310" s="59"/>
    </row>
    <row r="311" ht="15.75" customHeight="1">
      <c r="A311" s="40"/>
      <c r="B311" s="33"/>
      <c r="C311" s="45" t="str">
        <f>IFERROR(VLOOKUP(B311,COLORES!$A$4:$B$52,2,FALSE()),"")</f>
        <v/>
      </c>
      <c r="D311" s="33"/>
      <c r="E311" s="46"/>
      <c r="F311" s="34"/>
      <c r="G311" s="33"/>
      <c r="H311" s="47"/>
      <c r="I311" s="47"/>
      <c r="J311" s="48">
        <f>IFERROR(VLOOKUP(VLOOKUP(A311,PROGRAMAS!$A$4:$G$103,7,FALSE()),PRECIOS_TEJEDURIA!$A$4:$B$22,2,FALSE()),0)</f>
        <v>0</v>
      </c>
      <c r="K311" s="49"/>
      <c r="L311" s="50"/>
      <c r="M311" s="51">
        <f t="shared" si="1"/>
        <v>0</v>
      </c>
      <c r="N311" s="49"/>
      <c r="O311" s="49"/>
      <c r="P311" s="49"/>
      <c r="Q311" s="52"/>
      <c r="R311" s="53"/>
      <c r="S311" s="53"/>
      <c r="T311" s="54"/>
      <c r="U311" s="19">
        <f t="shared" si="2"/>
        <v>0</v>
      </c>
      <c r="V311" s="20">
        <f t="shared" si="3"/>
        <v>0</v>
      </c>
      <c r="W311" s="55">
        <f t="array" ref="W311">IFERROR(INDEX(PRECIOS_TINTORERIA!$B$4:$U$15,MATCH(D311,PRECIOS_TINTORERIA!$A$4:$A$15,0),MATCH(VLOOKUP(A311,PROGRAMAS!$A$4:$G$103,7,FALSE()),PRECIOS_TINTORERIA!$B$3:$U$3,0)),0)</f>
        <v>0</v>
      </c>
      <c r="X311" s="56"/>
      <c r="Y311" s="57"/>
      <c r="Z311" s="58">
        <f t="shared" si="4"/>
        <v>0</v>
      </c>
      <c r="AA311" s="56"/>
      <c r="AB311" s="56"/>
      <c r="AC311" s="56"/>
      <c r="AD311" s="23">
        <f>IFERROR((SUMIFS(COMPRAS_HILO!$H$4:$H$203,COMPRAS_HILO!$B$4:$B$203,A311))*F311/SUMIFS($F$4:$F$503,$A$4:$A$503,A311),0)</f>
        <v>0</v>
      </c>
      <c r="AE311" s="23">
        <f t="shared" si="5"/>
        <v>0</v>
      </c>
      <c r="AF311" s="23">
        <f t="shared" si="6"/>
        <v>0</v>
      </c>
      <c r="AG311" s="25">
        <f t="shared" si="7"/>
        <v>0</v>
      </c>
      <c r="AH311" s="25">
        <f t="shared" si="8"/>
        <v>0</v>
      </c>
      <c r="AI311" s="59"/>
    </row>
    <row r="312" ht="15.75" customHeight="1">
      <c r="A312" s="40"/>
      <c r="B312" s="33"/>
      <c r="C312" s="45" t="str">
        <f>IFERROR(VLOOKUP(B312,COLORES!$A$4:$B$52,2,FALSE()),"")</f>
        <v/>
      </c>
      <c r="D312" s="33"/>
      <c r="E312" s="46"/>
      <c r="F312" s="34"/>
      <c r="G312" s="33"/>
      <c r="H312" s="47"/>
      <c r="I312" s="47"/>
      <c r="J312" s="48">
        <f>IFERROR(VLOOKUP(VLOOKUP(A312,PROGRAMAS!$A$4:$G$103,7,FALSE()),PRECIOS_TEJEDURIA!$A$4:$B$22,2,FALSE()),0)</f>
        <v>0</v>
      </c>
      <c r="K312" s="49"/>
      <c r="L312" s="50"/>
      <c r="M312" s="51">
        <f t="shared" si="1"/>
        <v>0</v>
      </c>
      <c r="N312" s="49"/>
      <c r="O312" s="49"/>
      <c r="P312" s="49"/>
      <c r="Q312" s="52"/>
      <c r="R312" s="53"/>
      <c r="S312" s="53"/>
      <c r="T312" s="54"/>
      <c r="U312" s="19">
        <f t="shared" si="2"/>
        <v>0</v>
      </c>
      <c r="V312" s="20">
        <f t="shared" si="3"/>
        <v>0</v>
      </c>
      <c r="W312" s="55">
        <f t="array" ref="W312">IFERROR(INDEX(PRECIOS_TINTORERIA!$B$4:$U$15,MATCH(D312,PRECIOS_TINTORERIA!$A$4:$A$15,0),MATCH(VLOOKUP(A312,PROGRAMAS!$A$4:$G$103,7,FALSE()),PRECIOS_TINTORERIA!$B$3:$U$3,0)),0)</f>
        <v>0</v>
      </c>
      <c r="X312" s="56"/>
      <c r="Y312" s="57"/>
      <c r="Z312" s="58">
        <f t="shared" si="4"/>
        <v>0</v>
      </c>
      <c r="AA312" s="56"/>
      <c r="AB312" s="56"/>
      <c r="AC312" s="56"/>
      <c r="AD312" s="23">
        <f>IFERROR((SUMIFS(COMPRAS_HILO!$H$4:$H$203,COMPRAS_HILO!$B$4:$B$203,A312))*F312/SUMIFS($F$4:$F$503,$A$4:$A$503,A312),0)</f>
        <v>0</v>
      </c>
      <c r="AE312" s="23">
        <f t="shared" si="5"/>
        <v>0</v>
      </c>
      <c r="AF312" s="23">
        <f t="shared" si="6"/>
        <v>0</v>
      </c>
      <c r="AG312" s="25">
        <f t="shared" si="7"/>
        <v>0</v>
      </c>
      <c r="AH312" s="25">
        <f t="shared" si="8"/>
        <v>0</v>
      </c>
      <c r="AI312" s="59"/>
    </row>
    <row r="313" ht="15.75" customHeight="1">
      <c r="A313" s="40"/>
      <c r="B313" s="33"/>
      <c r="C313" s="45" t="str">
        <f>IFERROR(VLOOKUP(B313,COLORES!$A$4:$B$52,2,FALSE()),"")</f>
        <v/>
      </c>
      <c r="D313" s="33"/>
      <c r="E313" s="46"/>
      <c r="F313" s="34"/>
      <c r="G313" s="33"/>
      <c r="H313" s="47"/>
      <c r="I313" s="47"/>
      <c r="J313" s="48">
        <f>IFERROR(VLOOKUP(VLOOKUP(A313,PROGRAMAS!$A$4:$G$103,7,FALSE()),PRECIOS_TEJEDURIA!$A$4:$B$22,2,FALSE()),0)</f>
        <v>0</v>
      </c>
      <c r="K313" s="49"/>
      <c r="L313" s="50"/>
      <c r="M313" s="51">
        <f t="shared" si="1"/>
        <v>0</v>
      </c>
      <c r="N313" s="49"/>
      <c r="O313" s="49"/>
      <c r="P313" s="49"/>
      <c r="Q313" s="52"/>
      <c r="R313" s="53"/>
      <c r="S313" s="53"/>
      <c r="T313" s="54"/>
      <c r="U313" s="19">
        <f t="shared" si="2"/>
        <v>0</v>
      </c>
      <c r="V313" s="20">
        <f t="shared" si="3"/>
        <v>0</v>
      </c>
      <c r="W313" s="55">
        <f t="array" ref="W313">IFERROR(INDEX(PRECIOS_TINTORERIA!$B$4:$U$15,MATCH(D313,PRECIOS_TINTORERIA!$A$4:$A$15,0),MATCH(VLOOKUP(A313,PROGRAMAS!$A$4:$G$103,7,FALSE()),PRECIOS_TINTORERIA!$B$3:$U$3,0)),0)</f>
        <v>0</v>
      </c>
      <c r="X313" s="56"/>
      <c r="Y313" s="57"/>
      <c r="Z313" s="58">
        <f t="shared" si="4"/>
        <v>0</v>
      </c>
      <c r="AA313" s="56"/>
      <c r="AB313" s="56"/>
      <c r="AC313" s="56"/>
      <c r="AD313" s="23">
        <f>IFERROR((SUMIFS(COMPRAS_HILO!$H$4:$H$203,COMPRAS_HILO!$B$4:$B$203,A313))*F313/SUMIFS($F$4:$F$503,$A$4:$A$503,A313),0)</f>
        <v>0</v>
      </c>
      <c r="AE313" s="23">
        <f t="shared" si="5"/>
        <v>0</v>
      </c>
      <c r="AF313" s="23">
        <f t="shared" si="6"/>
        <v>0</v>
      </c>
      <c r="AG313" s="25">
        <f t="shared" si="7"/>
        <v>0</v>
      </c>
      <c r="AH313" s="25">
        <f t="shared" si="8"/>
        <v>0</v>
      </c>
      <c r="AI313" s="59"/>
    </row>
    <row r="314" ht="15.75" customHeight="1">
      <c r="A314" s="40"/>
      <c r="B314" s="33"/>
      <c r="C314" s="45" t="str">
        <f>IFERROR(VLOOKUP(B314,COLORES!$A$4:$B$52,2,FALSE()),"")</f>
        <v/>
      </c>
      <c r="D314" s="33"/>
      <c r="E314" s="46"/>
      <c r="F314" s="34"/>
      <c r="G314" s="33"/>
      <c r="H314" s="47"/>
      <c r="I314" s="47"/>
      <c r="J314" s="48">
        <f>IFERROR(VLOOKUP(VLOOKUP(A314,PROGRAMAS!$A$4:$G$103,7,FALSE()),PRECIOS_TEJEDURIA!$A$4:$B$22,2,FALSE()),0)</f>
        <v>0</v>
      </c>
      <c r="K314" s="49"/>
      <c r="L314" s="50"/>
      <c r="M314" s="51">
        <f t="shared" si="1"/>
        <v>0</v>
      </c>
      <c r="N314" s="49"/>
      <c r="O314" s="49"/>
      <c r="P314" s="49"/>
      <c r="Q314" s="52"/>
      <c r="R314" s="53"/>
      <c r="S314" s="53"/>
      <c r="T314" s="54"/>
      <c r="U314" s="19">
        <f t="shared" si="2"/>
        <v>0</v>
      </c>
      <c r="V314" s="20">
        <f t="shared" si="3"/>
        <v>0</v>
      </c>
      <c r="W314" s="55">
        <f t="array" ref="W314">IFERROR(INDEX(PRECIOS_TINTORERIA!$B$4:$U$15,MATCH(D314,PRECIOS_TINTORERIA!$A$4:$A$15,0),MATCH(VLOOKUP(A314,PROGRAMAS!$A$4:$G$103,7,FALSE()),PRECIOS_TINTORERIA!$B$3:$U$3,0)),0)</f>
        <v>0</v>
      </c>
      <c r="X314" s="56"/>
      <c r="Y314" s="57"/>
      <c r="Z314" s="58">
        <f t="shared" si="4"/>
        <v>0</v>
      </c>
      <c r="AA314" s="56"/>
      <c r="AB314" s="56"/>
      <c r="AC314" s="56"/>
      <c r="AD314" s="23">
        <f>IFERROR((SUMIFS(COMPRAS_HILO!$H$4:$H$203,COMPRAS_HILO!$B$4:$B$203,A314))*F314/SUMIFS($F$4:$F$503,$A$4:$A$503,A314),0)</f>
        <v>0</v>
      </c>
      <c r="AE314" s="23">
        <f t="shared" si="5"/>
        <v>0</v>
      </c>
      <c r="AF314" s="23">
        <f t="shared" si="6"/>
        <v>0</v>
      </c>
      <c r="AG314" s="25">
        <f t="shared" si="7"/>
        <v>0</v>
      </c>
      <c r="AH314" s="25">
        <f t="shared" si="8"/>
        <v>0</v>
      </c>
      <c r="AI314" s="59"/>
    </row>
    <row r="315" ht="15.75" customHeight="1">
      <c r="A315" s="40"/>
      <c r="B315" s="33"/>
      <c r="C315" s="45" t="str">
        <f>IFERROR(VLOOKUP(B315,COLORES!$A$4:$B$52,2,FALSE()),"")</f>
        <v/>
      </c>
      <c r="D315" s="33"/>
      <c r="E315" s="46"/>
      <c r="F315" s="34"/>
      <c r="G315" s="33"/>
      <c r="H315" s="47"/>
      <c r="I315" s="47"/>
      <c r="J315" s="48">
        <f>IFERROR(VLOOKUP(VLOOKUP(A315,PROGRAMAS!$A$4:$G$103,7,FALSE()),PRECIOS_TEJEDURIA!$A$4:$B$22,2,FALSE()),0)</f>
        <v>0</v>
      </c>
      <c r="K315" s="49"/>
      <c r="L315" s="50"/>
      <c r="M315" s="51">
        <f t="shared" si="1"/>
        <v>0</v>
      </c>
      <c r="N315" s="49"/>
      <c r="O315" s="49"/>
      <c r="P315" s="49"/>
      <c r="Q315" s="52"/>
      <c r="R315" s="53"/>
      <c r="S315" s="53"/>
      <c r="T315" s="54"/>
      <c r="U315" s="19">
        <f t="shared" si="2"/>
        <v>0</v>
      </c>
      <c r="V315" s="20">
        <f t="shared" si="3"/>
        <v>0</v>
      </c>
      <c r="W315" s="55">
        <f t="array" ref="W315">IFERROR(INDEX(PRECIOS_TINTORERIA!$B$4:$U$15,MATCH(D315,PRECIOS_TINTORERIA!$A$4:$A$15,0),MATCH(VLOOKUP(A315,PROGRAMAS!$A$4:$G$103,7,FALSE()),PRECIOS_TINTORERIA!$B$3:$U$3,0)),0)</f>
        <v>0</v>
      </c>
      <c r="X315" s="56"/>
      <c r="Y315" s="57"/>
      <c r="Z315" s="58">
        <f t="shared" si="4"/>
        <v>0</v>
      </c>
      <c r="AA315" s="56"/>
      <c r="AB315" s="56"/>
      <c r="AC315" s="56"/>
      <c r="AD315" s="23">
        <f>IFERROR((SUMIFS(COMPRAS_HILO!$H$4:$H$203,COMPRAS_HILO!$B$4:$B$203,A315))*F315/SUMIFS($F$4:$F$503,$A$4:$A$503,A315),0)</f>
        <v>0</v>
      </c>
      <c r="AE315" s="23">
        <f t="shared" si="5"/>
        <v>0</v>
      </c>
      <c r="AF315" s="23">
        <f t="shared" si="6"/>
        <v>0</v>
      </c>
      <c r="AG315" s="25">
        <f t="shared" si="7"/>
        <v>0</v>
      </c>
      <c r="AH315" s="25">
        <f t="shared" si="8"/>
        <v>0</v>
      </c>
      <c r="AI315" s="59"/>
    </row>
    <row r="316" ht="15.75" customHeight="1">
      <c r="A316" s="40"/>
      <c r="B316" s="33"/>
      <c r="C316" s="45" t="str">
        <f>IFERROR(VLOOKUP(B316,COLORES!$A$4:$B$52,2,FALSE()),"")</f>
        <v/>
      </c>
      <c r="D316" s="33"/>
      <c r="E316" s="46"/>
      <c r="F316" s="34"/>
      <c r="G316" s="33"/>
      <c r="H316" s="47"/>
      <c r="I316" s="47"/>
      <c r="J316" s="48">
        <f>IFERROR(VLOOKUP(VLOOKUP(A316,PROGRAMAS!$A$4:$G$103,7,FALSE()),PRECIOS_TEJEDURIA!$A$4:$B$22,2,FALSE()),0)</f>
        <v>0</v>
      </c>
      <c r="K316" s="49"/>
      <c r="L316" s="50"/>
      <c r="M316" s="51">
        <f t="shared" si="1"/>
        <v>0</v>
      </c>
      <c r="N316" s="49"/>
      <c r="O316" s="49"/>
      <c r="P316" s="49"/>
      <c r="Q316" s="52"/>
      <c r="R316" s="53"/>
      <c r="S316" s="53"/>
      <c r="T316" s="54"/>
      <c r="U316" s="19">
        <f t="shared" si="2"/>
        <v>0</v>
      </c>
      <c r="V316" s="20">
        <f t="shared" si="3"/>
        <v>0</v>
      </c>
      <c r="W316" s="55">
        <f t="array" ref="W316">IFERROR(INDEX(PRECIOS_TINTORERIA!$B$4:$U$15,MATCH(D316,PRECIOS_TINTORERIA!$A$4:$A$15,0),MATCH(VLOOKUP(A316,PROGRAMAS!$A$4:$G$103,7,FALSE()),PRECIOS_TINTORERIA!$B$3:$U$3,0)),0)</f>
        <v>0</v>
      </c>
      <c r="X316" s="56"/>
      <c r="Y316" s="57"/>
      <c r="Z316" s="58">
        <f t="shared" si="4"/>
        <v>0</v>
      </c>
      <c r="AA316" s="56"/>
      <c r="AB316" s="56"/>
      <c r="AC316" s="56"/>
      <c r="AD316" s="23">
        <f>IFERROR((SUMIFS(COMPRAS_HILO!$H$4:$H$203,COMPRAS_HILO!$B$4:$B$203,A316))*F316/SUMIFS($F$4:$F$503,$A$4:$A$503,A316),0)</f>
        <v>0</v>
      </c>
      <c r="AE316" s="23">
        <f t="shared" si="5"/>
        <v>0</v>
      </c>
      <c r="AF316" s="23">
        <f t="shared" si="6"/>
        <v>0</v>
      </c>
      <c r="AG316" s="25">
        <f t="shared" si="7"/>
        <v>0</v>
      </c>
      <c r="AH316" s="25">
        <f t="shared" si="8"/>
        <v>0</v>
      </c>
      <c r="AI316" s="59"/>
    </row>
    <row r="317" ht="15.75" customHeight="1">
      <c r="A317" s="40"/>
      <c r="B317" s="33"/>
      <c r="C317" s="45" t="str">
        <f>IFERROR(VLOOKUP(B317,COLORES!$A$4:$B$52,2,FALSE()),"")</f>
        <v/>
      </c>
      <c r="D317" s="33"/>
      <c r="E317" s="46"/>
      <c r="F317" s="34"/>
      <c r="G317" s="33"/>
      <c r="H317" s="47"/>
      <c r="I317" s="47"/>
      <c r="J317" s="48">
        <f>IFERROR(VLOOKUP(VLOOKUP(A317,PROGRAMAS!$A$4:$G$103,7,FALSE()),PRECIOS_TEJEDURIA!$A$4:$B$22,2,FALSE()),0)</f>
        <v>0</v>
      </c>
      <c r="K317" s="49"/>
      <c r="L317" s="50"/>
      <c r="M317" s="51">
        <f t="shared" si="1"/>
        <v>0</v>
      </c>
      <c r="N317" s="49"/>
      <c r="O317" s="49"/>
      <c r="P317" s="49"/>
      <c r="Q317" s="52"/>
      <c r="R317" s="53"/>
      <c r="S317" s="53"/>
      <c r="T317" s="54"/>
      <c r="U317" s="19">
        <f t="shared" si="2"/>
        <v>0</v>
      </c>
      <c r="V317" s="20">
        <f t="shared" si="3"/>
        <v>0</v>
      </c>
      <c r="W317" s="55">
        <f t="array" ref="W317">IFERROR(INDEX(PRECIOS_TINTORERIA!$B$4:$U$15,MATCH(D317,PRECIOS_TINTORERIA!$A$4:$A$15,0),MATCH(VLOOKUP(A317,PROGRAMAS!$A$4:$G$103,7,FALSE()),PRECIOS_TINTORERIA!$B$3:$U$3,0)),0)</f>
        <v>0</v>
      </c>
      <c r="X317" s="56"/>
      <c r="Y317" s="57"/>
      <c r="Z317" s="58">
        <f t="shared" si="4"/>
        <v>0</v>
      </c>
      <c r="AA317" s="56"/>
      <c r="AB317" s="56"/>
      <c r="AC317" s="56"/>
      <c r="AD317" s="23">
        <f>IFERROR((SUMIFS(COMPRAS_HILO!$H$4:$H$203,COMPRAS_HILO!$B$4:$B$203,A317))*F317/SUMIFS($F$4:$F$503,$A$4:$A$503,A317),0)</f>
        <v>0</v>
      </c>
      <c r="AE317" s="23">
        <f t="shared" si="5"/>
        <v>0</v>
      </c>
      <c r="AF317" s="23">
        <f t="shared" si="6"/>
        <v>0</v>
      </c>
      <c r="AG317" s="25">
        <f t="shared" si="7"/>
        <v>0</v>
      </c>
      <c r="AH317" s="25">
        <f t="shared" si="8"/>
        <v>0</v>
      </c>
      <c r="AI317" s="59"/>
    </row>
    <row r="318" ht="15.75" customHeight="1">
      <c r="A318" s="40"/>
      <c r="B318" s="33"/>
      <c r="C318" s="45" t="str">
        <f>IFERROR(VLOOKUP(B318,COLORES!$A$4:$B$52,2,FALSE()),"")</f>
        <v/>
      </c>
      <c r="D318" s="33"/>
      <c r="E318" s="46"/>
      <c r="F318" s="34"/>
      <c r="G318" s="33"/>
      <c r="H318" s="47"/>
      <c r="I318" s="47"/>
      <c r="J318" s="48">
        <f>IFERROR(VLOOKUP(VLOOKUP(A318,PROGRAMAS!$A$4:$G$103,7,FALSE()),PRECIOS_TEJEDURIA!$A$4:$B$22,2,FALSE()),0)</f>
        <v>0</v>
      </c>
      <c r="K318" s="49"/>
      <c r="L318" s="50"/>
      <c r="M318" s="51">
        <f t="shared" si="1"/>
        <v>0</v>
      </c>
      <c r="N318" s="49"/>
      <c r="O318" s="49"/>
      <c r="P318" s="49"/>
      <c r="Q318" s="52"/>
      <c r="R318" s="53"/>
      <c r="S318" s="53"/>
      <c r="T318" s="54"/>
      <c r="U318" s="19">
        <f t="shared" si="2"/>
        <v>0</v>
      </c>
      <c r="V318" s="20">
        <f t="shared" si="3"/>
        <v>0</v>
      </c>
      <c r="W318" s="55">
        <f t="array" ref="W318">IFERROR(INDEX(PRECIOS_TINTORERIA!$B$4:$U$15,MATCH(D318,PRECIOS_TINTORERIA!$A$4:$A$15,0),MATCH(VLOOKUP(A318,PROGRAMAS!$A$4:$G$103,7,FALSE()),PRECIOS_TINTORERIA!$B$3:$U$3,0)),0)</f>
        <v>0</v>
      </c>
      <c r="X318" s="56"/>
      <c r="Y318" s="57"/>
      <c r="Z318" s="58">
        <f t="shared" si="4"/>
        <v>0</v>
      </c>
      <c r="AA318" s="56"/>
      <c r="AB318" s="56"/>
      <c r="AC318" s="56"/>
      <c r="AD318" s="23">
        <f>IFERROR((SUMIFS(COMPRAS_HILO!$H$4:$H$203,COMPRAS_HILO!$B$4:$B$203,A318))*F318/SUMIFS($F$4:$F$503,$A$4:$A$503,A318),0)</f>
        <v>0</v>
      </c>
      <c r="AE318" s="23">
        <f t="shared" si="5"/>
        <v>0</v>
      </c>
      <c r="AF318" s="23">
        <f t="shared" si="6"/>
        <v>0</v>
      </c>
      <c r="AG318" s="25">
        <f t="shared" si="7"/>
        <v>0</v>
      </c>
      <c r="AH318" s="25">
        <f t="shared" si="8"/>
        <v>0</v>
      </c>
      <c r="AI318" s="59"/>
    </row>
    <row r="319" ht="15.75" customHeight="1">
      <c r="A319" s="40"/>
      <c r="B319" s="33"/>
      <c r="C319" s="45" t="str">
        <f>IFERROR(VLOOKUP(B319,COLORES!$A$4:$B$52,2,FALSE()),"")</f>
        <v/>
      </c>
      <c r="D319" s="33"/>
      <c r="E319" s="46"/>
      <c r="F319" s="34"/>
      <c r="G319" s="33"/>
      <c r="H319" s="47"/>
      <c r="I319" s="47"/>
      <c r="J319" s="48">
        <f>IFERROR(VLOOKUP(VLOOKUP(A319,PROGRAMAS!$A$4:$G$103,7,FALSE()),PRECIOS_TEJEDURIA!$A$4:$B$22,2,FALSE()),0)</f>
        <v>0</v>
      </c>
      <c r="K319" s="49"/>
      <c r="L319" s="50"/>
      <c r="M319" s="51">
        <f t="shared" si="1"/>
        <v>0</v>
      </c>
      <c r="N319" s="49"/>
      <c r="O319" s="49"/>
      <c r="P319" s="49"/>
      <c r="Q319" s="52"/>
      <c r="R319" s="53"/>
      <c r="S319" s="53"/>
      <c r="T319" s="54"/>
      <c r="U319" s="19">
        <f t="shared" si="2"/>
        <v>0</v>
      </c>
      <c r="V319" s="20">
        <f t="shared" si="3"/>
        <v>0</v>
      </c>
      <c r="W319" s="55">
        <f t="array" ref="W319">IFERROR(INDEX(PRECIOS_TINTORERIA!$B$4:$U$15,MATCH(D319,PRECIOS_TINTORERIA!$A$4:$A$15,0),MATCH(VLOOKUP(A319,PROGRAMAS!$A$4:$G$103,7,FALSE()),PRECIOS_TINTORERIA!$B$3:$U$3,0)),0)</f>
        <v>0</v>
      </c>
      <c r="X319" s="56"/>
      <c r="Y319" s="57"/>
      <c r="Z319" s="58">
        <f t="shared" si="4"/>
        <v>0</v>
      </c>
      <c r="AA319" s="56"/>
      <c r="AB319" s="56"/>
      <c r="AC319" s="56"/>
      <c r="AD319" s="23">
        <f>IFERROR((SUMIFS(COMPRAS_HILO!$H$4:$H$203,COMPRAS_HILO!$B$4:$B$203,A319))*F319/SUMIFS($F$4:$F$503,$A$4:$A$503,A319),0)</f>
        <v>0</v>
      </c>
      <c r="AE319" s="23">
        <f t="shared" si="5"/>
        <v>0</v>
      </c>
      <c r="AF319" s="23">
        <f t="shared" si="6"/>
        <v>0</v>
      </c>
      <c r="AG319" s="25">
        <f t="shared" si="7"/>
        <v>0</v>
      </c>
      <c r="AH319" s="25">
        <f t="shared" si="8"/>
        <v>0</v>
      </c>
      <c r="AI319" s="59"/>
    </row>
    <row r="320" ht="15.75" customHeight="1">
      <c r="A320" s="40"/>
      <c r="B320" s="33"/>
      <c r="C320" s="45" t="str">
        <f>IFERROR(VLOOKUP(B320,COLORES!$A$4:$B$52,2,FALSE()),"")</f>
        <v/>
      </c>
      <c r="D320" s="33"/>
      <c r="E320" s="46"/>
      <c r="F320" s="34"/>
      <c r="G320" s="33"/>
      <c r="H320" s="47"/>
      <c r="I320" s="47"/>
      <c r="J320" s="48">
        <f>IFERROR(VLOOKUP(VLOOKUP(A320,PROGRAMAS!$A$4:$G$103,7,FALSE()),PRECIOS_TEJEDURIA!$A$4:$B$22,2,FALSE()),0)</f>
        <v>0</v>
      </c>
      <c r="K320" s="49"/>
      <c r="L320" s="50"/>
      <c r="M320" s="51">
        <f t="shared" si="1"/>
        <v>0</v>
      </c>
      <c r="N320" s="49"/>
      <c r="O320" s="49"/>
      <c r="P320" s="49"/>
      <c r="Q320" s="52"/>
      <c r="R320" s="53"/>
      <c r="S320" s="53"/>
      <c r="T320" s="54"/>
      <c r="U320" s="19">
        <f t="shared" si="2"/>
        <v>0</v>
      </c>
      <c r="V320" s="20">
        <f t="shared" si="3"/>
        <v>0</v>
      </c>
      <c r="W320" s="55">
        <f t="array" ref="W320">IFERROR(INDEX(PRECIOS_TINTORERIA!$B$4:$U$15,MATCH(D320,PRECIOS_TINTORERIA!$A$4:$A$15,0),MATCH(VLOOKUP(A320,PROGRAMAS!$A$4:$G$103,7,FALSE()),PRECIOS_TINTORERIA!$B$3:$U$3,0)),0)</f>
        <v>0</v>
      </c>
      <c r="X320" s="56"/>
      <c r="Y320" s="57"/>
      <c r="Z320" s="58">
        <f t="shared" si="4"/>
        <v>0</v>
      </c>
      <c r="AA320" s="56"/>
      <c r="AB320" s="56"/>
      <c r="AC320" s="56"/>
      <c r="AD320" s="23">
        <f>IFERROR((SUMIFS(COMPRAS_HILO!$H$4:$H$203,COMPRAS_HILO!$B$4:$B$203,A320))*F320/SUMIFS($F$4:$F$503,$A$4:$A$503,A320),0)</f>
        <v>0</v>
      </c>
      <c r="AE320" s="23">
        <f t="shared" si="5"/>
        <v>0</v>
      </c>
      <c r="AF320" s="23">
        <f t="shared" si="6"/>
        <v>0</v>
      </c>
      <c r="AG320" s="25">
        <f t="shared" si="7"/>
        <v>0</v>
      </c>
      <c r="AH320" s="25">
        <f t="shared" si="8"/>
        <v>0</v>
      </c>
      <c r="AI320" s="59"/>
    </row>
    <row r="321" ht="15.75" customHeight="1">
      <c r="A321" s="40"/>
      <c r="B321" s="33"/>
      <c r="C321" s="45" t="str">
        <f>IFERROR(VLOOKUP(B321,COLORES!$A$4:$B$52,2,FALSE()),"")</f>
        <v/>
      </c>
      <c r="D321" s="33"/>
      <c r="E321" s="46"/>
      <c r="F321" s="34"/>
      <c r="G321" s="33"/>
      <c r="H321" s="47"/>
      <c r="I321" s="47"/>
      <c r="J321" s="48">
        <f>IFERROR(VLOOKUP(VLOOKUP(A321,PROGRAMAS!$A$4:$G$103,7,FALSE()),PRECIOS_TEJEDURIA!$A$4:$B$22,2,FALSE()),0)</f>
        <v>0</v>
      </c>
      <c r="K321" s="49"/>
      <c r="L321" s="50"/>
      <c r="M321" s="51">
        <f t="shared" si="1"/>
        <v>0</v>
      </c>
      <c r="N321" s="49"/>
      <c r="O321" s="49"/>
      <c r="P321" s="49"/>
      <c r="Q321" s="52"/>
      <c r="R321" s="53"/>
      <c r="S321" s="53"/>
      <c r="T321" s="54"/>
      <c r="U321" s="19">
        <f t="shared" si="2"/>
        <v>0</v>
      </c>
      <c r="V321" s="20">
        <f t="shared" si="3"/>
        <v>0</v>
      </c>
      <c r="W321" s="55">
        <f t="array" ref="W321">IFERROR(INDEX(PRECIOS_TINTORERIA!$B$4:$U$15,MATCH(D321,PRECIOS_TINTORERIA!$A$4:$A$15,0),MATCH(VLOOKUP(A321,PROGRAMAS!$A$4:$G$103,7,FALSE()),PRECIOS_TINTORERIA!$B$3:$U$3,0)),0)</f>
        <v>0</v>
      </c>
      <c r="X321" s="56"/>
      <c r="Y321" s="57"/>
      <c r="Z321" s="58">
        <f t="shared" si="4"/>
        <v>0</v>
      </c>
      <c r="AA321" s="56"/>
      <c r="AB321" s="56"/>
      <c r="AC321" s="56"/>
      <c r="AD321" s="23">
        <f>IFERROR((SUMIFS(COMPRAS_HILO!$H$4:$H$203,COMPRAS_HILO!$B$4:$B$203,A321))*F321/SUMIFS($F$4:$F$503,$A$4:$A$503,A321),0)</f>
        <v>0</v>
      </c>
      <c r="AE321" s="23">
        <f t="shared" si="5"/>
        <v>0</v>
      </c>
      <c r="AF321" s="23">
        <f t="shared" si="6"/>
        <v>0</v>
      </c>
      <c r="AG321" s="25">
        <f t="shared" si="7"/>
        <v>0</v>
      </c>
      <c r="AH321" s="25">
        <f t="shared" si="8"/>
        <v>0</v>
      </c>
      <c r="AI321" s="59"/>
    </row>
    <row r="322" ht="15.75" customHeight="1">
      <c r="A322" s="40"/>
      <c r="B322" s="33"/>
      <c r="C322" s="45" t="str">
        <f>IFERROR(VLOOKUP(B322,COLORES!$A$4:$B$52,2,FALSE()),"")</f>
        <v/>
      </c>
      <c r="D322" s="33"/>
      <c r="E322" s="46"/>
      <c r="F322" s="34"/>
      <c r="G322" s="33"/>
      <c r="H322" s="47"/>
      <c r="I322" s="47"/>
      <c r="J322" s="48">
        <f>IFERROR(VLOOKUP(VLOOKUP(A322,PROGRAMAS!$A$4:$G$103,7,FALSE()),PRECIOS_TEJEDURIA!$A$4:$B$22,2,FALSE()),0)</f>
        <v>0</v>
      </c>
      <c r="K322" s="49"/>
      <c r="L322" s="50"/>
      <c r="M322" s="51">
        <f t="shared" si="1"/>
        <v>0</v>
      </c>
      <c r="N322" s="49"/>
      <c r="O322" s="49"/>
      <c r="P322" s="49"/>
      <c r="Q322" s="52"/>
      <c r="R322" s="53"/>
      <c r="S322" s="53"/>
      <c r="T322" s="54"/>
      <c r="U322" s="19">
        <f t="shared" si="2"/>
        <v>0</v>
      </c>
      <c r="V322" s="20">
        <f t="shared" si="3"/>
        <v>0</v>
      </c>
      <c r="W322" s="55">
        <f t="array" ref="W322">IFERROR(INDEX(PRECIOS_TINTORERIA!$B$4:$U$15,MATCH(D322,PRECIOS_TINTORERIA!$A$4:$A$15,0),MATCH(VLOOKUP(A322,PROGRAMAS!$A$4:$G$103,7,FALSE()),PRECIOS_TINTORERIA!$B$3:$U$3,0)),0)</f>
        <v>0</v>
      </c>
      <c r="X322" s="56"/>
      <c r="Y322" s="57"/>
      <c r="Z322" s="58">
        <f t="shared" si="4"/>
        <v>0</v>
      </c>
      <c r="AA322" s="56"/>
      <c r="AB322" s="56"/>
      <c r="AC322" s="56"/>
      <c r="AD322" s="23">
        <f>IFERROR((SUMIFS(COMPRAS_HILO!$H$4:$H$203,COMPRAS_HILO!$B$4:$B$203,A322))*F322/SUMIFS($F$4:$F$503,$A$4:$A$503,A322),0)</f>
        <v>0</v>
      </c>
      <c r="AE322" s="23">
        <f t="shared" si="5"/>
        <v>0</v>
      </c>
      <c r="AF322" s="23">
        <f t="shared" si="6"/>
        <v>0</v>
      </c>
      <c r="AG322" s="25">
        <f t="shared" si="7"/>
        <v>0</v>
      </c>
      <c r="AH322" s="25">
        <f t="shared" si="8"/>
        <v>0</v>
      </c>
      <c r="AI322" s="59"/>
    </row>
    <row r="323" ht="15.75" customHeight="1">
      <c r="A323" s="40"/>
      <c r="B323" s="33"/>
      <c r="C323" s="45" t="str">
        <f>IFERROR(VLOOKUP(B323,COLORES!$A$4:$B$52,2,FALSE()),"")</f>
        <v/>
      </c>
      <c r="D323" s="33"/>
      <c r="E323" s="46"/>
      <c r="F323" s="34"/>
      <c r="G323" s="33"/>
      <c r="H323" s="47"/>
      <c r="I323" s="47"/>
      <c r="J323" s="48">
        <f>IFERROR(VLOOKUP(VLOOKUP(A323,PROGRAMAS!$A$4:$G$103,7,FALSE()),PRECIOS_TEJEDURIA!$A$4:$B$22,2,FALSE()),0)</f>
        <v>0</v>
      </c>
      <c r="K323" s="49"/>
      <c r="L323" s="50"/>
      <c r="M323" s="51">
        <f t="shared" si="1"/>
        <v>0</v>
      </c>
      <c r="N323" s="49"/>
      <c r="O323" s="49"/>
      <c r="P323" s="49"/>
      <c r="Q323" s="52"/>
      <c r="R323" s="53"/>
      <c r="S323" s="53"/>
      <c r="T323" s="54"/>
      <c r="U323" s="19">
        <f t="shared" si="2"/>
        <v>0</v>
      </c>
      <c r="V323" s="20">
        <f t="shared" si="3"/>
        <v>0</v>
      </c>
      <c r="W323" s="55">
        <f t="array" ref="W323">IFERROR(INDEX(PRECIOS_TINTORERIA!$B$4:$U$15,MATCH(D323,PRECIOS_TINTORERIA!$A$4:$A$15,0),MATCH(VLOOKUP(A323,PROGRAMAS!$A$4:$G$103,7,FALSE()),PRECIOS_TINTORERIA!$B$3:$U$3,0)),0)</f>
        <v>0</v>
      </c>
      <c r="X323" s="56"/>
      <c r="Y323" s="57"/>
      <c r="Z323" s="58">
        <f t="shared" si="4"/>
        <v>0</v>
      </c>
      <c r="AA323" s="56"/>
      <c r="AB323" s="56"/>
      <c r="AC323" s="56"/>
      <c r="AD323" s="23">
        <f>IFERROR((SUMIFS(COMPRAS_HILO!$H$4:$H$203,COMPRAS_HILO!$B$4:$B$203,A323))*F323/SUMIFS($F$4:$F$503,$A$4:$A$503,A323),0)</f>
        <v>0</v>
      </c>
      <c r="AE323" s="23">
        <f t="shared" si="5"/>
        <v>0</v>
      </c>
      <c r="AF323" s="23">
        <f t="shared" si="6"/>
        <v>0</v>
      </c>
      <c r="AG323" s="25">
        <f t="shared" si="7"/>
        <v>0</v>
      </c>
      <c r="AH323" s="25">
        <f t="shared" si="8"/>
        <v>0</v>
      </c>
      <c r="AI323" s="59"/>
    </row>
    <row r="324" ht="15.75" customHeight="1">
      <c r="A324" s="40"/>
      <c r="B324" s="33"/>
      <c r="C324" s="45" t="str">
        <f>IFERROR(VLOOKUP(B324,COLORES!$A$4:$B$52,2,FALSE()),"")</f>
        <v/>
      </c>
      <c r="D324" s="33"/>
      <c r="E324" s="46"/>
      <c r="F324" s="34"/>
      <c r="G324" s="33"/>
      <c r="H324" s="47"/>
      <c r="I324" s="47"/>
      <c r="J324" s="48">
        <f>IFERROR(VLOOKUP(VLOOKUP(A324,PROGRAMAS!$A$4:$G$103,7,FALSE()),PRECIOS_TEJEDURIA!$A$4:$B$22,2,FALSE()),0)</f>
        <v>0</v>
      </c>
      <c r="K324" s="49"/>
      <c r="L324" s="50"/>
      <c r="M324" s="51">
        <f t="shared" si="1"/>
        <v>0</v>
      </c>
      <c r="N324" s="49"/>
      <c r="O324" s="49"/>
      <c r="P324" s="49"/>
      <c r="Q324" s="52"/>
      <c r="R324" s="53"/>
      <c r="S324" s="53"/>
      <c r="T324" s="54"/>
      <c r="U324" s="19">
        <f t="shared" si="2"/>
        <v>0</v>
      </c>
      <c r="V324" s="20">
        <f t="shared" si="3"/>
        <v>0</v>
      </c>
      <c r="W324" s="55">
        <f t="array" ref="W324">IFERROR(INDEX(PRECIOS_TINTORERIA!$B$4:$U$15,MATCH(D324,PRECIOS_TINTORERIA!$A$4:$A$15,0),MATCH(VLOOKUP(A324,PROGRAMAS!$A$4:$G$103,7,FALSE()),PRECIOS_TINTORERIA!$B$3:$U$3,0)),0)</f>
        <v>0</v>
      </c>
      <c r="X324" s="56"/>
      <c r="Y324" s="57"/>
      <c r="Z324" s="58">
        <f t="shared" si="4"/>
        <v>0</v>
      </c>
      <c r="AA324" s="56"/>
      <c r="AB324" s="56"/>
      <c r="AC324" s="56"/>
      <c r="AD324" s="23">
        <f>IFERROR((SUMIFS(COMPRAS_HILO!$H$4:$H$203,COMPRAS_HILO!$B$4:$B$203,A324))*F324/SUMIFS($F$4:$F$503,$A$4:$A$503,A324),0)</f>
        <v>0</v>
      </c>
      <c r="AE324" s="23">
        <f t="shared" si="5"/>
        <v>0</v>
      </c>
      <c r="AF324" s="23">
        <f t="shared" si="6"/>
        <v>0</v>
      </c>
      <c r="AG324" s="25">
        <f t="shared" si="7"/>
        <v>0</v>
      </c>
      <c r="AH324" s="25">
        <f t="shared" si="8"/>
        <v>0</v>
      </c>
      <c r="AI324" s="59"/>
    </row>
    <row r="325" ht="15.75" customHeight="1">
      <c r="A325" s="40"/>
      <c r="B325" s="33"/>
      <c r="C325" s="45" t="str">
        <f>IFERROR(VLOOKUP(B325,COLORES!$A$4:$B$52,2,FALSE()),"")</f>
        <v/>
      </c>
      <c r="D325" s="33"/>
      <c r="E325" s="46"/>
      <c r="F325" s="34"/>
      <c r="G325" s="33"/>
      <c r="H325" s="47"/>
      <c r="I325" s="47"/>
      <c r="J325" s="48">
        <f>IFERROR(VLOOKUP(VLOOKUP(A325,PROGRAMAS!$A$4:$G$103,7,FALSE()),PRECIOS_TEJEDURIA!$A$4:$B$22,2,FALSE()),0)</f>
        <v>0</v>
      </c>
      <c r="K325" s="49"/>
      <c r="L325" s="50"/>
      <c r="M325" s="51">
        <f t="shared" si="1"/>
        <v>0</v>
      </c>
      <c r="N325" s="49"/>
      <c r="O325" s="49"/>
      <c r="P325" s="49"/>
      <c r="Q325" s="52"/>
      <c r="R325" s="53"/>
      <c r="S325" s="53"/>
      <c r="T325" s="54"/>
      <c r="U325" s="19">
        <f t="shared" si="2"/>
        <v>0</v>
      </c>
      <c r="V325" s="20">
        <f t="shared" si="3"/>
        <v>0</v>
      </c>
      <c r="W325" s="55">
        <f t="array" ref="W325">IFERROR(INDEX(PRECIOS_TINTORERIA!$B$4:$U$15,MATCH(D325,PRECIOS_TINTORERIA!$A$4:$A$15,0),MATCH(VLOOKUP(A325,PROGRAMAS!$A$4:$G$103,7,FALSE()),PRECIOS_TINTORERIA!$B$3:$U$3,0)),0)</f>
        <v>0</v>
      </c>
      <c r="X325" s="56"/>
      <c r="Y325" s="57"/>
      <c r="Z325" s="58">
        <f t="shared" si="4"/>
        <v>0</v>
      </c>
      <c r="AA325" s="56"/>
      <c r="AB325" s="56"/>
      <c r="AC325" s="56"/>
      <c r="AD325" s="23">
        <f>IFERROR((SUMIFS(COMPRAS_HILO!$H$4:$H$203,COMPRAS_HILO!$B$4:$B$203,A325))*F325/SUMIFS($F$4:$F$503,$A$4:$A$503,A325),0)</f>
        <v>0</v>
      </c>
      <c r="AE325" s="23">
        <f t="shared" si="5"/>
        <v>0</v>
      </c>
      <c r="AF325" s="23">
        <f t="shared" si="6"/>
        <v>0</v>
      </c>
      <c r="AG325" s="25">
        <f t="shared" si="7"/>
        <v>0</v>
      </c>
      <c r="AH325" s="25">
        <f t="shared" si="8"/>
        <v>0</v>
      </c>
      <c r="AI325" s="59"/>
    </row>
    <row r="326" ht="15.75" customHeight="1">
      <c r="A326" s="40"/>
      <c r="B326" s="33"/>
      <c r="C326" s="45" t="str">
        <f>IFERROR(VLOOKUP(B326,COLORES!$A$4:$B$52,2,FALSE()),"")</f>
        <v/>
      </c>
      <c r="D326" s="33"/>
      <c r="E326" s="46"/>
      <c r="F326" s="34"/>
      <c r="G326" s="33"/>
      <c r="H326" s="47"/>
      <c r="I326" s="47"/>
      <c r="J326" s="48">
        <f>IFERROR(VLOOKUP(VLOOKUP(A326,PROGRAMAS!$A$4:$G$103,7,FALSE()),PRECIOS_TEJEDURIA!$A$4:$B$22,2,FALSE()),0)</f>
        <v>0</v>
      </c>
      <c r="K326" s="49"/>
      <c r="L326" s="50"/>
      <c r="M326" s="51">
        <f t="shared" si="1"/>
        <v>0</v>
      </c>
      <c r="N326" s="49"/>
      <c r="O326" s="49"/>
      <c r="P326" s="49"/>
      <c r="Q326" s="52"/>
      <c r="R326" s="53"/>
      <c r="S326" s="53"/>
      <c r="T326" s="54"/>
      <c r="U326" s="19">
        <f t="shared" si="2"/>
        <v>0</v>
      </c>
      <c r="V326" s="20">
        <f t="shared" si="3"/>
        <v>0</v>
      </c>
      <c r="W326" s="55">
        <f t="array" ref="W326">IFERROR(INDEX(PRECIOS_TINTORERIA!$B$4:$U$15,MATCH(D326,PRECIOS_TINTORERIA!$A$4:$A$15,0),MATCH(VLOOKUP(A326,PROGRAMAS!$A$4:$G$103,7,FALSE()),PRECIOS_TINTORERIA!$B$3:$U$3,0)),0)</f>
        <v>0</v>
      </c>
      <c r="X326" s="56"/>
      <c r="Y326" s="57"/>
      <c r="Z326" s="58">
        <f t="shared" si="4"/>
        <v>0</v>
      </c>
      <c r="AA326" s="56"/>
      <c r="AB326" s="56"/>
      <c r="AC326" s="56"/>
      <c r="AD326" s="23">
        <f>IFERROR((SUMIFS(COMPRAS_HILO!$H$4:$H$203,COMPRAS_HILO!$B$4:$B$203,A326))*F326/SUMIFS($F$4:$F$503,$A$4:$A$503,A326),0)</f>
        <v>0</v>
      </c>
      <c r="AE326" s="23">
        <f t="shared" si="5"/>
        <v>0</v>
      </c>
      <c r="AF326" s="23">
        <f t="shared" si="6"/>
        <v>0</v>
      </c>
      <c r="AG326" s="25">
        <f t="shared" si="7"/>
        <v>0</v>
      </c>
      <c r="AH326" s="25">
        <f t="shared" si="8"/>
        <v>0</v>
      </c>
      <c r="AI326" s="59"/>
    </row>
    <row r="327" ht="15.75" customHeight="1">
      <c r="A327" s="40"/>
      <c r="B327" s="33"/>
      <c r="C327" s="45" t="str">
        <f>IFERROR(VLOOKUP(B327,COLORES!$A$4:$B$52,2,FALSE()),"")</f>
        <v/>
      </c>
      <c r="D327" s="33"/>
      <c r="E327" s="46"/>
      <c r="F327" s="34"/>
      <c r="G327" s="33"/>
      <c r="H327" s="47"/>
      <c r="I327" s="47"/>
      <c r="J327" s="48">
        <f>IFERROR(VLOOKUP(VLOOKUP(A327,PROGRAMAS!$A$4:$G$103,7,FALSE()),PRECIOS_TEJEDURIA!$A$4:$B$22,2,FALSE()),0)</f>
        <v>0</v>
      </c>
      <c r="K327" s="49"/>
      <c r="L327" s="50"/>
      <c r="M327" s="51">
        <f t="shared" si="1"/>
        <v>0</v>
      </c>
      <c r="N327" s="49"/>
      <c r="O327" s="49"/>
      <c r="P327" s="49"/>
      <c r="Q327" s="52"/>
      <c r="R327" s="53"/>
      <c r="S327" s="53"/>
      <c r="T327" s="54"/>
      <c r="U327" s="19">
        <f t="shared" si="2"/>
        <v>0</v>
      </c>
      <c r="V327" s="20">
        <f t="shared" si="3"/>
        <v>0</v>
      </c>
      <c r="W327" s="55">
        <f t="array" ref="W327">IFERROR(INDEX(PRECIOS_TINTORERIA!$B$4:$U$15,MATCH(D327,PRECIOS_TINTORERIA!$A$4:$A$15,0),MATCH(VLOOKUP(A327,PROGRAMAS!$A$4:$G$103,7,FALSE()),PRECIOS_TINTORERIA!$B$3:$U$3,0)),0)</f>
        <v>0</v>
      </c>
      <c r="X327" s="56"/>
      <c r="Y327" s="57"/>
      <c r="Z327" s="58">
        <f t="shared" si="4"/>
        <v>0</v>
      </c>
      <c r="AA327" s="56"/>
      <c r="AB327" s="56"/>
      <c r="AC327" s="56"/>
      <c r="AD327" s="23">
        <f>IFERROR((SUMIFS(COMPRAS_HILO!$H$4:$H$203,COMPRAS_HILO!$B$4:$B$203,A327))*F327/SUMIFS($F$4:$F$503,$A$4:$A$503,A327),0)</f>
        <v>0</v>
      </c>
      <c r="AE327" s="23">
        <f t="shared" si="5"/>
        <v>0</v>
      </c>
      <c r="AF327" s="23">
        <f t="shared" si="6"/>
        <v>0</v>
      </c>
      <c r="AG327" s="25">
        <f t="shared" si="7"/>
        <v>0</v>
      </c>
      <c r="AH327" s="25">
        <f t="shared" si="8"/>
        <v>0</v>
      </c>
      <c r="AI327" s="59"/>
    </row>
    <row r="328" ht="15.75" customHeight="1">
      <c r="A328" s="40"/>
      <c r="B328" s="33"/>
      <c r="C328" s="45" t="str">
        <f>IFERROR(VLOOKUP(B328,COLORES!$A$4:$B$52,2,FALSE()),"")</f>
        <v/>
      </c>
      <c r="D328" s="33"/>
      <c r="E328" s="46"/>
      <c r="F328" s="34"/>
      <c r="G328" s="33"/>
      <c r="H328" s="47"/>
      <c r="I328" s="47"/>
      <c r="J328" s="48">
        <f>IFERROR(VLOOKUP(VLOOKUP(A328,PROGRAMAS!$A$4:$G$103,7,FALSE()),PRECIOS_TEJEDURIA!$A$4:$B$22,2,FALSE()),0)</f>
        <v>0</v>
      </c>
      <c r="K328" s="49"/>
      <c r="L328" s="50"/>
      <c r="M328" s="51">
        <f t="shared" si="1"/>
        <v>0</v>
      </c>
      <c r="N328" s="49"/>
      <c r="O328" s="49"/>
      <c r="P328" s="49"/>
      <c r="Q328" s="52"/>
      <c r="R328" s="53"/>
      <c r="S328" s="53"/>
      <c r="T328" s="54"/>
      <c r="U328" s="19">
        <f t="shared" si="2"/>
        <v>0</v>
      </c>
      <c r="V328" s="20">
        <f t="shared" si="3"/>
        <v>0</v>
      </c>
      <c r="W328" s="55">
        <f t="array" ref="W328">IFERROR(INDEX(PRECIOS_TINTORERIA!$B$4:$U$15,MATCH(D328,PRECIOS_TINTORERIA!$A$4:$A$15,0),MATCH(VLOOKUP(A328,PROGRAMAS!$A$4:$G$103,7,FALSE()),PRECIOS_TINTORERIA!$B$3:$U$3,0)),0)</f>
        <v>0</v>
      </c>
      <c r="X328" s="56"/>
      <c r="Y328" s="57"/>
      <c r="Z328" s="58">
        <f t="shared" si="4"/>
        <v>0</v>
      </c>
      <c r="AA328" s="56"/>
      <c r="AB328" s="56"/>
      <c r="AC328" s="56"/>
      <c r="AD328" s="23">
        <f>IFERROR((SUMIFS(COMPRAS_HILO!$H$4:$H$203,COMPRAS_HILO!$B$4:$B$203,A328))*F328/SUMIFS($F$4:$F$503,$A$4:$A$503,A328),0)</f>
        <v>0</v>
      </c>
      <c r="AE328" s="23">
        <f t="shared" si="5"/>
        <v>0</v>
      </c>
      <c r="AF328" s="23">
        <f t="shared" si="6"/>
        <v>0</v>
      </c>
      <c r="AG328" s="25">
        <f t="shared" si="7"/>
        <v>0</v>
      </c>
      <c r="AH328" s="25">
        <f t="shared" si="8"/>
        <v>0</v>
      </c>
      <c r="AI328" s="59"/>
    </row>
    <row r="329" ht="15.75" customHeight="1">
      <c r="A329" s="40"/>
      <c r="B329" s="33"/>
      <c r="C329" s="45" t="str">
        <f>IFERROR(VLOOKUP(B329,COLORES!$A$4:$B$52,2,FALSE()),"")</f>
        <v/>
      </c>
      <c r="D329" s="33"/>
      <c r="E329" s="46"/>
      <c r="F329" s="34"/>
      <c r="G329" s="33"/>
      <c r="H329" s="47"/>
      <c r="I329" s="47"/>
      <c r="J329" s="48">
        <f>IFERROR(VLOOKUP(VLOOKUP(A329,PROGRAMAS!$A$4:$G$103,7,FALSE()),PRECIOS_TEJEDURIA!$A$4:$B$22,2,FALSE()),0)</f>
        <v>0</v>
      </c>
      <c r="K329" s="49"/>
      <c r="L329" s="50"/>
      <c r="M329" s="51">
        <f t="shared" si="1"/>
        <v>0</v>
      </c>
      <c r="N329" s="49"/>
      <c r="O329" s="49"/>
      <c r="P329" s="49"/>
      <c r="Q329" s="52"/>
      <c r="R329" s="53"/>
      <c r="S329" s="53"/>
      <c r="T329" s="54"/>
      <c r="U329" s="19">
        <f t="shared" si="2"/>
        <v>0</v>
      </c>
      <c r="V329" s="20">
        <f t="shared" si="3"/>
        <v>0</v>
      </c>
      <c r="W329" s="55">
        <f t="array" ref="W329">IFERROR(INDEX(PRECIOS_TINTORERIA!$B$4:$U$15,MATCH(D329,PRECIOS_TINTORERIA!$A$4:$A$15,0),MATCH(VLOOKUP(A329,PROGRAMAS!$A$4:$G$103,7,FALSE()),PRECIOS_TINTORERIA!$B$3:$U$3,0)),0)</f>
        <v>0</v>
      </c>
      <c r="X329" s="56"/>
      <c r="Y329" s="57"/>
      <c r="Z329" s="58">
        <f t="shared" si="4"/>
        <v>0</v>
      </c>
      <c r="AA329" s="56"/>
      <c r="AB329" s="56"/>
      <c r="AC329" s="56"/>
      <c r="AD329" s="23">
        <f>IFERROR((SUMIFS(COMPRAS_HILO!$H$4:$H$203,COMPRAS_HILO!$B$4:$B$203,A329))*F329/SUMIFS($F$4:$F$503,$A$4:$A$503,A329),0)</f>
        <v>0</v>
      </c>
      <c r="AE329" s="23">
        <f t="shared" si="5"/>
        <v>0</v>
      </c>
      <c r="AF329" s="23">
        <f t="shared" si="6"/>
        <v>0</v>
      </c>
      <c r="AG329" s="25">
        <f t="shared" si="7"/>
        <v>0</v>
      </c>
      <c r="AH329" s="25">
        <f t="shared" si="8"/>
        <v>0</v>
      </c>
      <c r="AI329" s="59"/>
    </row>
    <row r="330" ht="15.75" customHeight="1">
      <c r="A330" s="40"/>
      <c r="B330" s="33"/>
      <c r="C330" s="45" t="str">
        <f>IFERROR(VLOOKUP(B330,COLORES!$A$4:$B$52,2,FALSE()),"")</f>
        <v/>
      </c>
      <c r="D330" s="33"/>
      <c r="E330" s="46"/>
      <c r="F330" s="34"/>
      <c r="G330" s="33"/>
      <c r="H330" s="47"/>
      <c r="I330" s="47"/>
      <c r="J330" s="48">
        <f>IFERROR(VLOOKUP(VLOOKUP(A330,PROGRAMAS!$A$4:$G$103,7,FALSE()),PRECIOS_TEJEDURIA!$A$4:$B$22,2,FALSE()),0)</f>
        <v>0</v>
      </c>
      <c r="K330" s="49"/>
      <c r="L330" s="50"/>
      <c r="M330" s="51">
        <f t="shared" si="1"/>
        <v>0</v>
      </c>
      <c r="N330" s="49"/>
      <c r="O330" s="49"/>
      <c r="P330" s="49"/>
      <c r="Q330" s="52"/>
      <c r="R330" s="53"/>
      <c r="S330" s="53"/>
      <c r="T330" s="54"/>
      <c r="U330" s="19">
        <f t="shared" si="2"/>
        <v>0</v>
      </c>
      <c r="V330" s="20">
        <f t="shared" si="3"/>
        <v>0</v>
      </c>
      <c r="W330" s="55">
        <f t="array" ref="W330">IFERROR(INDEX(PRECIOS_TINTORERIA!$B$4:$U$15,MATCH(D330,PRECIOS_TINTORERIA!$A$4:$A$15,0),MATCH(VLOOKUP(A330,PROGRAMAS!$A$4:$G$103,7,FALSE()),PRECIOS_TINTORERIA!$B$3:$U$3,0)),0)</f>
        <v>0</v>
      </c>
      <c r="X330" s="56"/>
      <c r="Y330" s="57"/>
      <c r="Z330" s="58">
        <f t="shared" si="4"/>
        <v>0</v>
      </c>
      <c r="AA330" s="56"/>
      <c r="AB330" s="56"/>
      <c r="AC330" s="56"/>
      <c r="AD330" s="23">
        <f>IFERROR((SUMIFS(COMPRAS_HILO!$H$4:$H$203,COMPRAS_HILO!$B$4:$B$203,A330))*F330/SUMIFS($F$4:$F$503,$A$4:$A$503,A330),0)</f>
        <v>0</v>
      </c>
      <c r="AE330" s="23">
        <f t="shared" si="5"/>
        <v>0</v>
      </c>
      <c r="AF330" s="23">
        <f t="shared" si="6"/>
        <v>0</v>
      </c>
      <c r="AG330" s="25">
        <f t="shared" si="7"/>
        <v>0</v>
      </c>
      <c r="AH330" s="25">
        <f t="shared" si="8"/>
        <v>0</v>
      </c>
      <c r="AI330" s="59"/>
    </row>
    <row r="331" ht="15.75" customHeight="1">
      <c r="A331" s="40"/>
      <c r="B331" s="33"/>
      <c r="C331" s="45" t="str">
        <f>IFERROR(VLOOKUP(B331,COLORES!$A$4:$B$52,2,FALSE()),"")</f>
        <v/>
      </c>
      <c r="D331" s="33"/>
      <c r="E331" s="46"/>
      <c r="F331" s="34"/>
      <c r="G331" s="33"/>
      <c r="H331" s="47"/>
      <c r="I331" s="47"/>
      <c r="J331" s="48">
        <f>IFERROR(VLOOKUP(VLOOKUP(A331,PROGRAMAS!$A$4:$G$103,7,FALSE()),PRECIOS_TEJEDURIA!$A$4:$B$22,2,FALSE()),0)</f>
        <v>0</v>
      </c>
      <c r="K331" s="49"/>
      <c r="L331" s="50"/>
      <c r="M331" s="51">
        <f t="shared" si="1"/>
        <v>0</v>
      </c>
      <c r="N331" s="49"/>
      <c r="O331" s="49"/>
      <c r="P331" s="49"/>
      <c r="Q331" s="52"/>
      <c r="R331" s="53"/>
      <c r="S331" s="53"/>
      <c r="T331" s="54"/>
      <c r="U331" s="19">
        <f t="shared" si="2"/>
        <v>0</v>
      </c>
      <c r="V331" s="20">
        <f t="shared" si="3"/>
        <v>0</v>
      </c>
      <c r="W331" s="55">
        <f t="array" ref="W331">IFERROR(INDEX(PRECIOS_TINTORERIA!$B$4:$U$15,MATCH(D331,PRECIOS_TINTORERIA!$A$4:$A$15,0),MATCH(VLOOKUP(A331,PROGRAMAS!$A$4:$G$103,7,FALSE()),PRECIOS_TINTORERIA!$B$3:$U$3,0)),0)</f>
        <v>0</v>
      </c>
      <c r="X331" s="56"/>
      <c r="Y331" s="57"/>
      <c r="Z331" s="58">
        <f t="shared" si="4"/>
        <v>0</v>
      </c>
      <c r="AA331" s="56"/>
      <c r="AB331" s="56"/>
      <c r="AC331" s="56"/>
      <c r="AD331" s="23">
        <f>IFERROR((SUMIFS(COMPRAS_HILO!$H$4:$H$203,COMPRAS_HILO!$B$4:$B$203,A331))*F331/SUMIFS($F$4:$F$503,$A$4:$A$503,A331),0)</f>
        <v>0</v>
      </c>
      <c r="AE331" s="23">
        <f t="shared" si="5"/>
        <v>0</v>
      </c>
      <c r="AF331" s="23">
        <f t="shared" si="6"/>
        <v>0</v>
      </c>
      <c r="AG331" s="25">
        <f t="shared" si="7"/>
        <v>0</v>
      </c>
      <c r="AH331" s="25">
        <f t="shared" si="8"/>
        <v>0</v>
      </c>
      <c r="AI331" s="59"/>
    </row>
    <row r="332" ht="15.75" customHeight="1">
      <c r="A332" s="40"/>
      <c r="B332" s="33"/>
      <c r="C332" s="45" t="str">
        <f>IFERROR(VLOOKUP(B332,COLORES!$A$4:$B$52,2,FALSE()),"")</f>
        <v/>
      </c>
      <c r="D332" s="33"/>
      <c r="E332" s="46"/>
      <c r="F332" s="34"/>
      <c r="G332" s="33"/>
      <c r="H332" s="47"/>
      <c r="I332" s="47"/>
      <c r="J332" s="48">
        <f>IFERROR(VLOOKUP(VLOOKUP(A332,PROGRAMAS!$A$4:$G$103,7,FALSE()),PRECIOS_TEJEDURIA!$A$4:$B$22,2,FALSE()),0)</f>
        <v>0</v>
      </c>
      <c r="K332" s="49"/>
      <c r="L332" s="50"/>
      <c r="M332" s="51">
        <f t="shared" si="1"/>
        <v>0</v>
      </c>
      <c r="N332" s="49"/>
      <c r="O332" s="49"/>
      <c r="P332" s="49"/>
      <c r="Q332" s="52"/>
      <c r="R332" s="53"/>
      <c r="S332" s="53"/>
      <c r="T332" s="54"/>
      <c r="U332" s="19">
        <f t="shared" si="2"/>
        <v>0</v>
      </c>
      <c r="V332" s="20">
        <f t="shared" si="3"/>
        <v>0</v>
      </c>
      <c r="W332" s="55">
        <f t="array" ref="W332">IFERROR(INDEX(PRECIOS_TINTORERIA!$B$4:$U$15,MATCH(D332,PRECIOS_TINTORERIA!$A$4:$A$15,0),MATCH(VLOOKUP(A332,PROGRAMAS!$A$4:$G$103,7,FALSE()),PRECIOS_TINTORERIA!$B$3:$U$3,0)),0)</f>
        <v>0</v>
      </c>
      <c r="X332" s="56"/>
      <c r="Y332" s="57"/>
      <c r="Z332" s="58">
        <f t="shared" si="4"/>
        <v>0</v>
      </c>
      <c r="AA332" s="56"/>
      <c r="AB332" s="56"/>
      <c r="AC332" s="56"/>
      <c r="AD332" s="23">
        <f>IFERROR((SUMIFS(COMPRAS_HILO!$H$4:$H$203,COMPRAS_HILO!$B$4:$B$203,A332))*F332/SUMIFS($F$4:$F$503,$A$4:$A$503,A332),0)</f>
        <v>0</v>
      </c>
      <c r="AE332" s="23">
        <f t="shared" si="5"/>
        <v>0</v>
      </c>
      <c r="AF332" s="23">
        <f t="shared" si="6"/>
        <v>0</v>
      </c>
      <c r="AG332" s="25">
        <f t="shared" si="7"/>
        <v>0</v>
      </c>
      <c r="AH332" s="25">
        <f t="shared" si="8"/>
        <v>0</v>
      </c>
      <c r="AI332" s="59"/>
    </row>
    <row r="333" ht="15.75" customHeight="1">
      <c r="A333" s="40"/>
      <c r="B333" s="33"/>
      <c r="C333" s="45" t="str">
        <f>IFERROR(VLOOKUP(B333,COLORES!$A$4:$B$52,2,FALSE()),"")</f>
        <v/>
      </c>
      <c r="D333" s="33"/>
      <c r="E333" s="46"/>
      <c r="F333" s="34"/>
      <c r="G333" s="33"/>
      <c r="H333" s="47"/>
      <c r="I333" s="47"/>
      <c r="J333" s="48">
        <f>IFERROR(VLOOKUP(VLOOKUP(A333,PROGRAMAS!$A$4:$G$103,7,FALSE()),PRECIOS_TEJEDURIA!$A$4:$B$22,2,FALSE()),0)</f>
        <v>0</v>
      </c>
      <c r="K333" s="49"/>
      <c r="L333" s="50"/>
      <c r="M333" s="51">
        <f t="shared" si="1"/>
        <v>0</v>
      </c>
      <c r="N333" s="49"/>
      <c r="O333" s="49"/>
      <c r="P333" s="49"/>
      <c r="Q333" s="52"/>
      <c r="R333" s="53"/>
      <c r="S333" s="53"/>
      <c r="T333" s="54"/>
      <c r="U333" s="19">
        <f t="shared" si="2"/>
        <v>0</v>
      </c>
      <c r="V333" s="20">
        <f t="shared" si="3"/>
        <v>0</v>
      </c>
      <c r="W333" s="55">
        <f t="array" ref="W333">IFERROR(INDEX(PRECIOS_TINTORERIA!$B$4:$U$15,MATCH(D333,PRECIOS_TINTORERIA!$A$4:$A$15,0),MATCH(VLOOKUP(A333,PROGRAMAS!$A$4:$G$103,7,FALSE()),PRECIOS_TINTORERIA!$B$3:$U$3,0)),0)</f>
        <v>0</v>
      </c>
      <c r="X333" s="56"/>
      <c r="Y333" s="57"/>
      <c r="Z333" s="58">
        <f t="shared" si="4"/>
        <v>0</v>
      </c>
      <c r="AA333" s="56"/>
      <c r="AB333" s="56"/>
      <c r="AC333" s="56"/>
      <c r="AD333" s="23">
        <f>IFERROR((SUMIFS(COMPRAS_HILO!$H$4:$H$203,COMPRAS_HILO!$B$4:$B$203,A333))*F333/SUMIFS($F$4:$F$503,$A$4:$A$503,A333),0)</f>
        <v>0</v>
      </c>
      <c r="AE333" s="23">
        <f t="shared" si="5"/>
        <v>0</v>
      </c>
      <c r="AF333" s="23">
        <f t="shared" si="6"/>
        <v>0</v>
      </c>
      <c r="AG333" s="25">
        <f t="shared" si="7"/>
        <v>0</v>
      </c>
      <c r="AH333" s="25">
        <f t="shared" si="8"/>
        <v>0</v>
      </c>
      <c r="AI333" s="59"/>
    </row>
    <row r="334" ht="15.75" customHeight="1">
      <c r="A334" s="40"/>
      <c r="B334" s="33"/>
      <c r="C334" s="45" t="str">
        <f>IFERROR(VLOOKUP(B334,COLORES!$A$4:$B$52,2,FALSE()),"")</f>
        <v/>
      </c>
      <c r="D334" s="33"/>
      <c r="E334" s="46"/>
      <c r="F334" s="34"/>
      <c r="G334" s="33"/>
      <c r="H334" s="47"/>
      <c r="I334" s="47"/>
      <c r="J334" s="48">
        <f>IFERROR(VLOOKUP(VLOOKUP(A334,PROGRAMAS!$A$4:$G$103,7,FALSE()),PRECIOS_TEJEDURIA!$A$4:$B$22,2,FALSE()),0)</f>
        <v>0</v>
      </c>
      <c r="K334" s="49"/>
      <c r="L334" s="50"/>
      <c r="M334" s="51">
        <f t="shared" si="1"/>
        <v>0</v>
      </c>
      <c r="N334" s="49"/>
      <c r="O334" s="49"/>
      <c r="P334" s="49"/>
      <c r="Q334" s="52"/>
      <c r="R334" s="53"/>
      <c r="S334" s="53"/>
      <c r="T334" s="54"/>
      <c r="U334" s="19">
        <f t="shared" si="2"/>
        <v>0</v>
      </c>
      <c r="V334" s="20">
        <f t="shared" si="3"/>
        <v>0</v>
      </c>
      <c r="W334" s="55">
        <f t="array" ref="W334">IFERROR(INDEX(PRECIOS_TINTORERIA!$B$4:$U$15,MATCH(D334,PRECIOS_TINTORERIA!$A$4:$A$15,0),MATCH(VLOOKUP(A334,PROGRAMAS!$A$4:$G$103,7,FALSE()),PRECIOS_TINTORERIA!$B$3:$U$3,0)),0)</f>
        <v>0</v>
      </c>
      <c r="X334" s="56"/>
      <c r="Y334" s="57"/>
      <c r="Z334" s="58">
        <f t="shared" si="4"/>
        <v>0</v>
      </c>
      <c r="AA334" s="56"/>
      <c r="AB334" s="56"/>
      <c r="AC334" s="56"/>
      <c r="AD334" s="23">
        <f>IFERROR((SUMIFS(COMPRAS_HILO!$H$4:$H$203,COMPRAS_HILO!$B$4:$B$203,A334))*F334/SUMIFS($F$4:$F$503,$A$4:$A$503,A334),0)</f>
        <v>0</v>
      </c>
      <c r="AE334" s="23">
        <f t="shared" si="5"/>
        <v>0</v>
      </c>
      <c r="AF334" s="23">
        <f t="shared" si="6"/>
        <v>0</v>
      </c>
      <c r="AG334" s="25">
        <f t="shared" si="7"/>
        <v>0</v>
      </c>
      <c r="AH334" s="25">
        <f t="shared" si="8"/>
        <v>0</v>
      </c>
      <c r="AI334" s="59"/>
    </row>
    <row r="335" ht="15.75" customHeight="1">
      <c r="A335" s="40"/>
      <c r="B335" s="33"/>
      <c r="C335" s="45" t="str">
        <f>IFERROR(VLOOKUP(B335,COLORES!$A$4:$B$52,2,FALSE()),"")</f>
        <v/>
      </c>
      <c r="D335" s="33"/>
      <c r="E335" s="46"/>
      <c r="F335" s="34"/>
      <c r="G335" s="33"/>
      <c r="H335" s="47"/>
      <c r="I335" s="47"/>
      <c r="J335" s="48">
        <f>IFERROR(VLOOKUP(VLOOKUP(A335,PROGRAMAS!$A$4:$G$103,7,FALSE()),PRECIOS_TEJEDURIA!$A$4:$B$22,2,FALSE()),0)</f>
        <v>0</v>
      </c>
      <c r="K335" s="49"/>
      <c r="L335" s="50"/>
      <c r="M335" s="51">
        <f t="shared" si="1"/>
        <v>0</v>
      </c>
      <c r="N335" s="49"/>
      <c r="O335" s="49"/>
      <c r="P335" s="49"/>
      <c r="Q335" s="52"/>
      <c r="R335" s="53"/>
      <c r="S335" s="53"/>
      <c r="T335" s="54"/>
      <c r="U335" s="19">
        <f t="shared" si="2"/>
        <v>0</v>
      </c>
      <c r="V335" s="20">
        <f t="shared" si="3"/>
        <v>0</v>
      </c>
      <c r="W335" s="55">
        <f t="array" ref="W335">IFERROR(INDEX(PRECIOS_TINTORERIA!$B$4:$U$15,MATCH(D335,PRECIOS_TINTORERIA!$A$4:$A$15,0),MATCH(VLOOKUP(A335,PROGRAMAS!$A$4:$G$103,7,FALSE()),PRECIOS_TINTORERIA!$B$3:$U$3,0)),0)</f>
        <v>0</v>
      </c>
      <c r="X335" s="56"/>
      <c r="Y335" s="57"/>
      <c r="Z335" s="58">
        <f t="shared" si="4"/>
        <v>0</v>
      </c>
      <c r="AA335" s="56"/>
      <c r="AB335" s="56"/>
      <c r="AC335" s="56"/>
      <c r="AD335" s="23">
        <f>IFERROR((SUMIFS(COMPRAS_HILO!$H$4:$H$203,COMPRAS_HILO!$B$4:$B$203,A335))*F335/SUMIFS($F$4:$F$503,$A$4:$A$503,A335),0)</f>
        <v>0</v>
      </c>
      <c r="AE335" s="23">
        <f t="shared" si="5"/>
        <v>0</v>
      </c>
      <c r="AF335" s="23">
        <f t="shared" si="6"/>
        <v>0</v>
      </c>
      <c r="AG335" s="25">
        <f t="shared" si="7"/>
        <v>0</v>
      </c>
      <c r="AH335" s="25">
        <f t="shared" si="8"/>
        <v>0</v>
      </c>
      <c r="AI335" s="59"/>
    </row>
    <row r="336" ht="15.75" customHeight="1">
      <c r="A336" s="40"/>
      <c r="B336" s="33"/>
      <c r="C336" s="45" t="str">
        <f>IFERROR(VLOOKUP(B336,COLORES!$A$4:$B$52,2,FALSE()),"")</f>
        <v/>
      </c>
      <c r="D336" s="33"/>
      <c r="E336" s="46"/>
      <c r="F336" s="34"/>
      <c r="G336" s="33"/>
      <c r="H336" s="47"/>
      <c r="I336" s="47"/>
      <c r="J336" s="48">
        <f>IFERROR(VLOOKUP(VLOOKUP(A336,PROGRAMAS!$A$4:$G$103,7,FALSE()),PRECIOS_TEJEDURIA!$A$4:$B$22,2,FALSE()),0)</f>
        <v>0</v>
      </c>
      <c r="K336" s="49"/>
      <c r="L336" s="50"/>
      <c r="M336" s="51">
        <f t="shared" si="1"/>
        <v>0</v>
      </c>
      <c r="N336" s="49"/>
      <c r="O336" s="49"/>
      <c r="P336" s="49"/>
      <c r="Q336" s="52"/>
      <c r="R336" s="53"/>
      <c r="S336" s="53"/>
      <c r="T336" s="54"/>
      <c r="U336" s="19">
        <f t="shared" si="2"/>
        <v>0</v>
      </c>
      <c r="V336" s="20">
        <f t="shared" si="3"/>
        <v>0</v>
      </c>
      <c r="W336" s="55">
        <f t="array" ref="W336">IFERROR(INDEX(PRECIOS_TINTORERIA!$B$4:$U$15,MATCH(D336,PRECIOS_TINTORERIA!$A$4:$A$15,0),MATCH(VLOOKUP(A336,PROGRAMAS!$A$4:$G$103,7,FALSE()),PRECIOS_TINTORERIA!$B$3:$U$3,0)),0)</f>
        <v>0</v>
      </c>
      <c r="X336" s="56"/>
      <c r="Y336" s="57"/>
      <c r="Z336" s="58">
        <f t="shared" si="4"/>
        <v>0</v>
      </c>
      <c r="AA336" s="56"/>
      <c r="AB336" s="56"/>
      <c r="AC336" s="56"/>
      <c r="AD336" s="23">
        <f>IFERROR((SUMIFS(COMPRAS_HILO!$H$4:$H$203,COMPRAS_HILO!$B$4:$B$203,A336))*F336/SUMIFS($F$4:$F$503,$A$4:$A$503,A336),0)</f>
        <v>0</v>
      </c>
      <c r="AE336" s="23">
        <f t="shared" si="5"/>
        <v>0</v>
      </c>
      <c r="AF336" s="23">
        <f t="shared" si="6"/>
        <v>0</v>
      </c>
      <c r="AG336" s="25">
        <f t="shared" si="7"/>
        <v>0</v>
      </c>
      <c r="AH336" s="25">
        <f t="shared" si="8"/>
        <v>0</v>
      </c>
      <c r="AI336" s="59"/>
    </row>
    <row r="337" ht="15.75" customHeight="1">
      <c r="A337" s="40"/>
      <c r="B337" s="33"/>
      <c r="C337" s="45" t="str">
        <f>IFERROR(VLOOKUP(B337,COLORES!$A$4:$B$52,2,FALSE()),"")</f>
        <v/>
      </c>
      <c r="D337" s="33"/>
      <c r="E337" s="46"/>
      <c r="F337" s="34"/>
      <c r="G337" s="33"/>
      <c r="H337" s="47"/>
      <c r="I337" s="47"/>
      <c r="J337" s="48">
        <f>IFERROR(VLOOKUP(VLOOKUP(A337,PROGRAMAS!$A$4:$G$103,7,FALSE()),PRECIOS_TEJEDURIA!$A$4:$B$22,2,FALSE()),0)</f>
        <v>0</v>
      </c>
      <c r="K337" s="49"/>
      <c r="L337" s="50"/>
      <c r="M337" s="51">
        <f t="shared" si="1"/>
        <v>0</v>
      </c>
      <c r="N337" s="49"/>
      <c r="O337" s="49"/>
      <c r="P337" s="49"/>
      <c r="Q337" s="52"/>
      <c r="R337" s="53"/>
      <c r="S337" s="53"/>
      <c r="T337" s="54"/>
      <c r="U337" s="19">
        <f t="shared" si="2"/>
        <v>0</v>
      </c>
      <c r="V337" s="20">
        <f t="shared" si="3"/>
        <v>0</v>
      </c>
      <c r="W337" s="55">
        <f t="array" ref="W337">IFERROR(INDEX(PRECIOS_TINTORERIA!$B$4:$U$15,MATCH(D337,PRECIOS_TINTORERIA!$A$4:$A$15,0),MATCH(VLOOKUP(A337,PROGRAMAS!$A$4:$G$103,7,FALSE()),PRECIOS_TINTORERIA!$B$3:$U$3,0)),0)</f>
        <v>0</v>
      </c>
      <c r="X337" s="56"/>
      <c r="Y337" s="57"/>
      <c r="Z337" s="58">
        <f t="shared" si="4"/>
        <v>0</v>
      </c>
      <c r="AA337" s="56"/>
      <c r="AB337" s="56"/>
      <c r="AC337" s="56"/>
      <c r="AD337" s="23">
        <f>IFERROR((SUMIFS(COMPRAS_HILO!$H$4:$H$203,COMPRAS_HILO!$B$4:$B$203,A337))*F337/SUMIFS($F$4:$F$503,$A$4:$A$503,A337),0)</f>
        <v>0</v>
      </c>
      <c r="AE337" s="23">
        <f t="shared" si="5"/>
        <v>0</v>
      </c>
      <c r="AF337" s="23">
        <f t="shared" si="6"/>
        <v>0</v>
      </c>
      <c r="AG337" s="25">
        <f t="shared" si="7"/>
        <v>0</v>
      </c>
      <c r="AH337" s="25">
        <f t="shared" si="8"/>
        <v>0</v>
      </c>
      <c r="AI337" s="59"/>
    </row>
    <row r="338" ht="15.75" customHeight="1">
      <c r="A338" s="40"/>
      <c r="B338" s="33"/>
      <c r="C338" s="45" t="str">
        <f>IFERROR(VLOOKUP(B338,COLORES!$A$4:$B$52,2,FALSE()),"")</f>
        <v/>
      </c>
      <c r="D338" s="33"/>
      <c r="E338" s="46"/>
      <c r="F338" s="34"/>
      <c r="G338" s="33"/>
      <c r="H338" s="47"/>
      <c r="I338" s="47"/>
      <c r="J338" s="48">
        <f>IFERROR(VLOOKUP(VLOOKUP(A338,PROGRAMAS!$A$4:$G$103,7,FALSE()),PRECIOS_TEJEDURIA!$A$4:$B$22,2,FALSE()),0)</f>
        <v>0</v>
      </c>
      <c r="K338" s="49"/>
      <c r="L338" s="50"/>
      <c r="M338" s="51">
        <f t="shared" si="1"/>
        <v>0</v>
      </c>
      <c r="N338" s="49"/>
      <c r="O338" s="49"/>
      <c r="P338" s="49"/>
      <c r="Q338" s="52"/>
      <c r="R338" s="53"/>
      <c r="S338" s="53"/>
      <c r="T338" s="54"/>
      <c r="U338" s="19">
        <f t="shared" si="2"/>
        <v>0</v>
      </c>
      <c r="V338" s="20">
        <f t="shared" si="3"/>
        <v>0</v>
      </c>
      <c r="W338" s="55">
        <f t="array" ref="W338">IFERROR(INDEX(PRECIOS_TINTORERIA!$B$4:$U$15,MATCH(D338,PRECIOS_TINTORERIA!$A$4:$A$15,0),MATCH(VLOOKUP(A338,PROGRAMAS!$A$4:$G$103,7,FALSE()),PRECIOS_TINTORERIA!$B$3:$U$3,0)),0)</f>
        <v>0</v>
      </c>
      <c r="X338" s="56"/>
      <c r="Y338" s="57"/>
      <c r="Z338" s="58">
        <f t="shared" si="4"/>
        <v>0</v>
      </c>
      <c r="AA338" s="56"/>
      <c r="AB338" s="56"/>
      <c r="AC338" s="56"/>
      <c r="AD338" s="23">
        <f>IFERROR((SUMIFS(COMPRAS_HILO!$H$4:$H$203,COMPRAS_HILO!$B$4:$B$203,A338))*F338/SUMIFS($F$4:$F$503,$A$4:$A$503,A338),0)</f>
        <v>0</v>
      </c>
      <c r="AE338" s="23">
        <f t="shared" si="5"/>
        <v>0</v>
      </c>
      <c r="AF338" s="23">
        <f t="shared" si="6"/>
        <v>0</v>
      </c>
      <c r="AG338" s="25">
        <f t="shared" si="7"/>
        <v>0</v>
      </c>
      <c r="AH338" s="25">
        <f t="shared" si="8"/>
        <v>0</v>
      </c>
      <c r="AI338" s="59"/>
    </row>
    <row r="339" ht="15.75" customHeight="1">
      <c r="A339" s="40"/>
      <c r="B339" s="33"/>
      <c r="C339" s="45" t="str">
        <f>IFERROR(VLOOKUP(B339,COLORES!$A$4:$B$52,2,FALSE()),"")</f>
        <v/>
      </c>
      <c r="D339" s="33"/>
      <c r="E339" s="46"/>
      <c r="F339" s="34"/>
      <c r="G339" s="33"/>
      <c r="H339" s="47"/>
      <c r="I339" s="47"/>
      <c r="J339" s="48">
        <f>IFERROR(VLOOKUP(VLOOKUP(A339,PROGRAMAS!$A$4:$G$103,7,FALSE()),PRECIOS_TEJEDURIA!$A$4:$B$22,2,FALSE()),0)</f>
        <v>0</v>
      </c>
      <c r="K339" s="49"/>
      <c r="L339" s="50"/>
      <c r="M339" s="51">
        <f t="shared" si="1"/>
        <v>0</v>
      </c>
      <c r="N339" s="49"/>
      <c r="O339" s="49"/>
      <c r="P339" s="49"/>
      <c r="Q339" s="52"/>
      <c r="R339" s="53"/>
      <c r="S339" s="53"/>
      <c r="T339" s="54"/>
      <c r="U339" s="19">
        <f t="shared" si="2"/>
        <v>0</v>
      </c>
      <c r="V339" s="20">
        <f t="shared" si="3"/>
        <v>0</v>
      </c>
      <c r="W339" s="55">
        <f t="array" ref="W339">IFERROR(INDEX(PRECIOS_TINTORERIA!$B$4:$U$15,MATCH(D339,PRECIOS_TINTORERIA!$A$4:$A$15,0),MATCH(VLOOKUP(A339,PROGRAMAS!$A$4:$G$103,7,FALSE()),PRECIOS_TINTORERIA!$B$3:$U$3,0)),0)</f>
        <v>0</v>
      </c>
      <c r="X339" s="56"/>
      <c r="Y339" s="57"/>
      <c r="Z339" s="58">
        <f t="shared" si="4"/>
        <v>0</v>
      </c>
      <c r="AA339" s="56"/>
      <c r="AB339" s="56"/>
      <c r="AC339" s="56"/>
      <c r="AD339" s="23">
        <f>IFERROR((SUMIFS(COMPRAS_HILO!$H$4:$H$203,COMPRAS_HILO!$B$4:$B$203,A339))*F339/SUMIFS($F$4:$F$503,$A$4:$A$503,A339),0)</f>
        <v>0</v>
      </c>
      <c r="AE339" s="23">
        <f t="shared" si="5"/>
        <v>0</v>
      </c>
      <c r="AF339" s="23">
        <f t="shared" si="6"/>
        <v>0</v>
      </c>
      <c r="AG339" s="25">
        <f t="shared" si="7"/>
        <v>0</v>
      </c>
      <c r="AH339" s="25">
        <f t="shared" si="8"/>
        <v>0</v>
      </c>
      <c r="AI339" s="59"/>
    </row>
    <row r="340" ht="15.75" customHeight="1">
      <c r="A340" s="40"/>
      <c r="B340" s="33"/>
      <c r="C340" s="45" t="str">
        <f>IFERROR(VLOOKUP(B340,COLORES!$A$4:$B$52,2,FALSE()),"")</f>
        <v/>
      </c>
      <c r="D340" s="33"/>
      <c r="E340" s="46"/>
      <c r="F340" s="34"/>
      <c r="G340" s="33"/>
      <c r="H340" s="47"/>
      <c r="I340" s="47"/>
      <c r="J340" s="48">
        <f>IFERROR(VLOOKUP(VLOOKUP(A340,PROGRAMAS!$A$4:$G$103,7,FALSE()),PRECIOS_TEJEDURIA!$A$4:$B$22,2,FALSE()),0)</f>
        <v>0</v>
      </c>
      <c r="K340" s="49"/>
      <c r="L340" s="50"/>
      <c r="M340" s="51">
        <f t="shared" si="1"/>
        <v>0</v>
      </c>
      <c r="N340" s="49"/>
      <c r="O340" s="49"/>
      <c r="P340" s="49"/>
      <c r="Q340" s="52"/>
      <c r="R340" s="53"/>
      <c r="S340" s="53"/>
      <c r="T340" s="54"/>
      <c r="U340" s="19">
        <f t="shared" si="2"/>
        <v>0</v>
      </c>
      <c r="V340" s="20">
        <f t="shared" si="3"/>
        <v>0</v>
      </c>
      <c r="W340" s="55">
        <f t="array" ref="W340">IFERROR(INDEX(PRECIOS_TINTORERIA!$B$4:$U$15,MATCH(D340,PRECIOS_TINTORERIA!$A$4:$A$15,0),MATCH(VLOOKUP(A340,PROGRAMAS!$A$4:$G$103,7,FALSE()),PRECIOS_TINTORERIA!$B$3:$U$3,0)),0)</f>
        <v>0</v>
      </c>
      <c r="X340" s="56"/>
      <c r="Y340" s="57"/>
      <c r="Z340" s="58">
        <f t="shared" si="4"/>
        <v>0</v>
      </c>
      <c r="AA340" s="56"/>
      <c r="AB340" s="56"/>
      <c r="AC340" s="56"/>
      <c r="AD340" s="23">
        <f>IFERROR((SUMIFS(COMPRAS_HILO!$H$4:$H$203,COMPRAS_HILO!$B$4:$B$203,A340))*F340/SUMIFS($F$4:$F$503,$A$4:$A$503,A340),0)</f>
        <v>0</v>
      </c>
      <c r="AE340" s="23">
        <f t="shared" si="5"/>
        <v>0</v>
      </c>
      <c r="AF340" s="23">
        <f t="shared" si="6"/>
        <v>0</v>
      </c>
      <c r="AG340" s="25">
        <f t="shared" si="7"/>
        <v>0</v>
      </c>
      <c r="AH340" s="25">
        <f t="shared" si="8"/>
        <v>0</v>
      </c>
      <c r="AI340" s="59"/>
    </row>
    <row r="341" ht="15.75" customHeight="1">
      <c r="A341" s="40"/>
      <c r="B341" s="33"/>
      <c r="C341" s="45" t="str">
        <f>IFERROR(VLOOKUP(B341,COLORES!$A$4:$B$52,2,FALSE()),"")</f>
        <v/>
      </c>
      <c r="D341" s="33"/>
      <c r="E341" s="46"/>
      <c r="F341" s="34"/>
      <c r="G341" s="33"/>
      <c r="H341" s="47"/>
      <c r="I341" s="47"/>
      <c r="J341" s="48">
        <f>IFERROR(VLOOKUP(VLOOKUP(A341,PROGRAMAS!$A$4:$G$103,7,FALSE()),PRECIOS_TEJEDURIA!$A$4:$B$22,2,FALSE()),0)</f>
        <v>0</v>
      </c>
      <c r="K341" s="49"/>
      <c r="L341" s="50"/>
      <c r="M341" s="51">
        <f t="shared" si="1"/>
        <v>0</v>
      </c>
      <c r="N341" s="49"/>
      <c r="O341" s="49"/>
      <c r="P341" s="49"/>
      <c r="Q341" s="52"/>
      <c r="R341" s="53"/>
      <c r="S341" s="53"/>
      <c r="T341" s="54"/>
      <c r="U341" s="19">
        <f t="shared" si="2"/>
        <v>0</v>
      </c>
      <c r="V341" s="20">
        <f t="shared" si="3"/>
        <v>0</v>
      </c>
      <c r="W341" s="55">
        <f t="array" ref="W341">IFERROR(INDEX(PRECIOS_TINTORERIA!$B$4:$U$15,MATCH(D341,PRECIOS_TINTORERIA!$A$4:$A$15,0),MATCH(VLOOKUP(A341,PROGRAMAS!$A$4:$G$103,7,FALSE()),PRECIOS_TINTORERIA!$B$3:$U$3,0)),0)</f>
        <v>0</v>
      </c>
      <c r="X341" s="56"/>
      <c r="Y341" s="57"/>
      <c r="Z341" s="58">
        <f t="shared" si="4"/>
        <v>0</v>
      </c>
      <c r="AA341" s="56"/>
      <c r="AB341" s="56"/>
      <c r="AC341" s="56"/>
      <c r="AD341" s="23">
        <f>IFERROR((SUMIFS(COMPRAS_HILO!$H$4:$H$203,COMPRAS_HILO!$B$4:$B$203,A341))*F341/SUMIFS($F$4:$F$503,$A$4:$A$503,A341),0)</f>
        <v>0</v>
      </c>
      <c r="AE341" s="23">
        <f t="shared" si="5"/>
        <v>0</v>
      </c>
      <c r="AF341" s="23">
        <f t="shared" si="6"/>
        <v>0</v>
      </c>
      <c r="AG341" s="25">
        <f t="shared" si="7"/>
        <v>0</v>
      </c>
      <c r="AH341" s="25">
        <f t="shared" si="8"/>
        <v>0</v>
      </c>
      <c r="AI341" s="59"/>
    </row>
    <row r="342" ht="15.75" customHeight="1">
      <c r="A342" s="40"/>
      <c r="B342" s="33"/>
      <c r="C342" s="45" t="str">
        <f>IFERROR(VLOOKUP(B342,COLORES!$A$4:$B$52,2,FALSE()),"")</f>
        <v/>
      </c>
      <c r="D342" s="33"/>
      <c r="E342" s="46"/>
      <c r="F342" s="34"/>
      <c r="G342" s="33"/>
      <c r="H342" s="47"/>
      <c r="I342" s="47"/>
      <c r="J342" s="48">
        <f>IFERROR(VLOOKUP(VLOOKUP(A342,PROGRAMAS!$A$4:$G$103,7,FALSE()),PRECIOS_TEJEDURIA!$A$4:$B$22,2,FALSE()),0)</f>
        <v>0</v>
      </c>
      <c r="K342" s="49"/>
      <c r="L342" s="50"/>
      <c r="M342" s="51">
        <f t="shared" si="1"/>
        <v>0</v>
      </c>
      <c r="N342" s="49"/>
      <c r="O342" s="49"/>
      <c r="P342" s="49"/>
      <c r="Q342" s="52"/>
      <c r="R342" s="53"/>
      <c r="S342" s="53"/>
      <c r="T342" s="54"/>
      <c r="U342" s="19">
        <f t="shared" si="2"/>
        <v>0</v>
      </c>
      <c r="V342" s="20">
        <f t="shared" si="3"/>
        <v>0</v>
      </c>
      <c r="W342" s="55">
        <f t="array" ref="W342">IFERROR(INDEX(PRECIOS_TINTORERIA!$B$4:$U$15,MATCH(D342,PRECIOS_TINTORERIA!$A$4:$A$15,0),MATCH(VLOOKUP(A342,PROGRAMAS!$A$4:$G$103,7,FALSE()),PRECIOS_TINTORERIA!$B$3:$U$3,0)),0)</f>
        <v>0</v>
      </c>
      <c r="X342" s="56"/>
      <c r="Y342" s="57"/>
      <c r="Z342" s="58">
        <f t="shared" si="4"/>
        <v>0</v>
      </c>
      <c r="AA342" s="56"/>
      <c r="AB342" s="56"/>
      <c r="AC342" s="56"/>
      <c r="AD342" s="23">
        <f>IFERROR((SUMIFS(COMPRAS_HILO!$H$4:$H$203,COMPRAS_HILO!$B$4:$B$203,A342))*F342/SUMIFS($F$4:$F$503,$A$4:$A$503,A342),0)</f>
        <v>0</v>
      </c>
      <c r="AE342" s="23">
        <f t="shared" si="5"/>
        <v>0</v>
      </c>
      <c r="AF342" s="23">
        <f t="shared" si="6"/>
        <v>0</v>
      </c>
      <c r="AG342" s="25">
        <f t="shared" si="7"/>
        <v>0</v>
      </c>
      <c r="AH342" s="25">
        <f t="shared" si="8"/>
        <v>0</v>
      </c>
      <c r="AI342" s="59"/>
    </row>
    <row r="343" ht="15.75" customHeight="1">
      <c r="A343" s="40"/>
      <c r="B343" s="33"/>
      <c r="C343" s="45" t="str">
        <f>IFERROR(VLOOKUP(B343,COLORES!$A$4:$B$52,2,FALSE()),"")</f>
        <v/>
      </c>
      <c r="D343" s="33"/>
      <c r="E343" s="46"/>
      <c r="F343" s="34"/>
      <c r="G343" s="33"/>
      <c r="H343" s="47"/>
      <c r="I343" s="47"/>
      <c r="J343" s="48">
        <f>IFERROR(VLOOKUP(VLOOKUP(A343,PROGRAMAS!$A$4:$G$103,7,FALSE()),PRECIOS_TEJEDURIA!$A$4:$B$22,2,FALSE()),0)</f>
        <v>0</v>
      </c>
      <c r="K343" s="49"/>
      <c r="L343" s="50"/>
      <c r="M343" s="51">
        <f t="shared" si="1"/>
        <v>0</v>
      </c>
      <c r="N343" s="49"/>
      <c r="O343" s="49"/>
      <c r="P343" s="49"/>
      <c r="Q343" s="52"/>
      <c r="R343" s="53"/>
      <c r="S343" s="53"/>
      <c r="T343" s="54"/>
      <c r="U343" s="19">
        <f t="shared" si="2"/>
        <v>0</v>
      </c>
      <c r="V343" s="20">
        <f t="shared" si="3"/>
        <v>0</v>
      </c>
      <c r="W343" s="55">
        <f t="array" ref="W343">IFERROR(INDEX(PRECIOS_TINTORERIA!$B$4:$U$15,MATCH(D343,PRECIOS_TINTORERIA!$A$4:$A$15,0),MATCH(VLOOKUP(A343,PROGRAMAS!$A$4:$G$103,7,FALSE()),PRECIOS_TINTORERIA!$B$3:$U$3,0)),0)</f>
        <v>0</v>
      </c>
      <c r="X343" s="56"/>
      <c r="Y343" s="57"/>
      <c r="Z343" s="58">
        <f t="shared" si="4"/>
        <v>0</v>
      </c>
      <c r="AA343" s="56"/>
      <c r="AB343" s="56"/>
      <c r="AC343" s="56"/>
      <c r="AD343" s="23">
        <f>IFERROR((SUMIFS(COMPRAS_HILO!$H$4:$H$203,COMPRAS_HILO!$B$4:$B$203,A343))*F343/SUMIFS($F$4:$F$503,$A$4:$A$503,A343),0)</f>
        <v>0</v>
      </c>
      <c r="AE343" s="23">
        <f t="shared" si="5"/>
        <v>0</v>
      </c>
      <c r="AF343" s="23">
        <f t="shared" si="6"/>
        <v>0</v>
      </c>
      <c r="AG343" s="25">
        <f t="shared" si="7"/>
        <v>0</v>
      </c>
      <c r="AH343" s="25">
        <f t="shared" si="8"/>
        <v>0</v>
      </c>
      <c r="AI343" s="59"/>
    </row>
    <row r="344" ht="15.75" customHeight="1">
      <c r="A344" s="40"/>
      <c r="B344" s="33"/>
      <c r="C344" s="45" t="str">
        <f>IFERROR(VLOOKUP(B344,COLORES!$A$4:$B$52,2,FALSE()),"")</f>
        <v/>
      </c>
      <c r="D344" s="33"/>
      <c r="E344" s="46"/>
      <c r="F344" s="34"/>
      <c r="G344" s="33"/>
      <c r="H344" s="47"/>
      <c r="I344" s="47"/>
      <c r="J344" s="48">
        <f>IFERROR(VLOOKUP(VLOOKUP(A344,PROGRAMAS!$A$4:$G$103,7,FALSE()),PRECIOS_TEJEDURIA!$A$4:$B$22,2,FALSE()),0)</f>
        <v>0</v>
      </c>
      <c r="K344" s="49"/>
      <c r="L344" s="50"/>
      <c r="M344" s="51">
        <f t="shared" si="1"/>
        <v>0</v>
      </c>
      <c r="N344" s="49"/>
      <c r="O344" s="49"/>
      <c r="P344" s="49"/>
      <c r="Q344" s="52"/>
      <c r="R344" s="53"/>
      <c r="S344" s="53"/>
      <c r="T344" s="54"/>
      <c r="U344" s="19">
        <f t="shared" si="2"/>
        <v>0</v>
      </c>
      <c r="V344" s="20">
        <f t="shared" si="3"/>
        <v>0</v>
      </c>
      <c r="W344" s="55">
        <f t="array" ref="W344">IFERROR(INDEX(PRECIOS_TINTORERIA!$B$4:$U$15,MATCH(D344,PRECIOS_TINTORERIA!$A$4:$A$15,0),MATCH(VLOOKUP(A344,PROGRAMAS!$A$4:$G$103,7,FALSE()),PRECIOS_TINTORERIA!$B$3:$U$3,0)),0)</f>
        <v>0</v>
      </c>
      <c r="X344" s="56"/>
      <c r="Y344" s="57"/>
      <c r="Z344" s="58">
        <f t="shared" si="4"/>
        <v>0</v>
      </c>
      <c r="AA344" s="56"/>
      <c r="AB344" s="56"/>
      <c r="AC344" s="56"/>
      <c r="AD344" s="23">
        <f>IFERROR((SUMIFS(COMPRAS_HILO!$H$4:$H$203,COMPRAS_HILO!$B$4:$B$203,A344))*F344/SUMIFS($F$4:$F$503,$A$4:$A$503,A344),0)</f>
        <v>0</v>
      </c>
      <c r="AE344" s="23">
        <f t="shared" si="5"/>
        <v>0</v>
      </c>
      <c r="AF344" s="23">
        <f t="shared" si="6"/>
        <v>0</v>
      </c>
      <c r="AG344" s="25">
        <f t="shared" si="7"/>
        <v>0</v>
      </c>
      <c r="AH344" s="25">
        <f t="shared" si="8"/>
        <v>0</v>
      </c>
      <c r="AI344" s="59"/>
    </row>
    <row r="345" ht="15.75" customHeight="1">
      <c r="A345" s="40"/>
      <c r="B345" s="33"/>
      <c r="C345" s="45" t="str">
        <f>IFERROR(VLOOKUP(B345,COLORES!$A$4:$B$52,2,FALSE()),"")</f>
        <v/>
      </c>
      <c r="D345" s="33"/>
      <c r="E345" s="46"/>
      <c r="F345" s="34"/>
      <c r="G345" s="33"/>
      <c r="H345" s="47"/>
      <c r="I345" s="47"/>
      <c r="J345" s="48">
        <f>IFERROR(VLOOKUP(VLOOKUP(A345,PROGRAMAS!$A$4:$G$103,7,FALSE()),PRECIOS_TEJEDURIA!$A$4:$B$22,2,FALSE()),0)</f>
        <v>0</v>
      </c>
      <c r="K345" s="49"/>
      <c r="L345" s="50"/>
      <c r="M345" s="51">
        <f t="shared" si="1"/>
        <v>0</v>
      </c>
      <c r="N345" s="49"/>
      <c r="O345" s="49"/>
      <c r="P345" s="49"/>
      <c r="Q345" s="52"/>
      <c r="R345" s="53"/>
      <c r="S345" s="53"/>
      <c r="T345" s="54"/>
      <c r="U345" s="19">
        <f t="shared" si="2"/>
        <v>0</v>
      </c>
      <c r="V345" s="20">
        <f t="shared" si="3"/>
        <v>0</v>
      </c>
      <c r="W345" s="55">
        <f t="array" ref="W345">IFERROR(INDEX(PRECIOS_TINTORERIA!$B$4:$U$15,MATCH(D345,PRECIOS_TINTORERIA!$A$4:$A$15,0),MATCH(VLOOKUP(A345,PROGRAMAS!$A$4:$G$103,7,FALSE()),PRECIOS_TINTORERIA!$B$3:$U$3,0)),0)</f>
        <v>0</v>
      </c>
      <c r="X345" s="56"/>
      <c r="Y345" s="57"/>
      <c r="Z345" s="58">
        <f t="shared" si="4"/>
        <v>0</v>
      </c>
      <c r="AA345" s="56"/>
      <c r="AB345" s="56"/>
      <c r="AC345" s="56"/>
      <c r="AD345" s="23">
        <f>IFERROR((SUMIFS(COMPRAS_HILO!$H$4:$H$203,COMPRAS_HILO!$B$4:$B$203,A345))*F345/SUMIFS($F$4:$F$503,$A$4:$A$503,A345),0)</f>
        <v>0</v>
      </c>
      <c r="AE345" s="23">
        <f t="shared" si="5"/>
        <v>0</v>
      </c>
      <c r="AF345" s="23">
        <f t="shared" si="6"/>
        <v>0</v>
      </c>
      <c r="AG345" s="25">
        <f t="shared" si="7"/>
        <v>0</v>
      </c>
      <c r="AH345" s="25">
        <f t="shared" si="8"/>
        <v>0</v>
      </c>
      <c r="AI345" s="59"/>
    </row>
    <row r="346" ht="15.75" customHeight="1">
      <c r="A346" s="40"/>
      <c r="B346" s="33"/>
      <c r="C346" s="45" t="str">
        <f>IFERROR(VLOOKUP(B346,COLORES!$A$4:$B$52,2,FALSE()),"")</f>
        <v/>
      </c>
      <c r="D346" s="33"/>
      <c r="E346" s="46"/>
      <c r="F346" s="34"/>
      <c r="G346" s="33"/>
      <c r="H346" s="47"/>
      <c r="I346" s="47"/>
      <c r="J346" s="48">
        <f>IFERROR(VLOOKUP(VLOOKUP(A346,PROGRAMAS!$A$4:$G$103,7,FALSE()),PRECIOS_TEJEDURIA!$A$4:$B$22,2,FALSE()),0)</f>
        <v>0</v>
      </c>
      <c r="K346" s="49"/>
      <c r="L346" s="50"/>
      <c r="M346" s="51">
        <f t="shared" si="1"/>
        <v>0</v>
      </c>
      <c r="N346" s="49"/>
      <c r="O346" s="49"/>
      <c r="P346" s="49"/>
      <c r="Q346" s="52"/>
      <c r="R346" s="53"/>
      <c r="S346" s="53"/>
      <c r="T346" s="54"/>
      <c r="U346" s="19">
        <f t="shared" si="2"/>
        <v>0</v>
      </c>
      <c r="V346" s="20">
        <f t="shared" si="3"/>
        <v>0</v>
      </c>
      <c r="W346" s="55">
        <f t="array" ref="W346">IFERROR(INDEX(PRECIOS_TINTORERIA!$B$4:$U$15,MATCH(D346,PRECIOS_TINTORERIA!$A$4:$A$15,0),MATCH(VLOOKUP(A346,PROGRAMAS!$A$4:$G$103,7,FALSE()),PRECIOS_TINTORERIA!$B$3:$U$3,0)),0)</f>
        <v>0</v>
      </c>
      <c r="X346" s="56"/>
      <c r="Y346" s="57"/>
      <c r="Z346" s="58">
        <f t="shared" si="4"/>
        <v>0</v>
      </c>
      <c r="AA346" s="56"/>
      <c r="AB346" s="56"/>
      <c r="AC346" s="56"/>
      <c r="AD346" s="23">
        <f>IFERROR((SUMIFS(COMPRAS_HILO!$H$4:$H$203,COMPRAS_HILO!$B$4:$B$203,A346))*F346/SUMIFS($F$4:$F$503,$A$4:$A$503,A346),0)</f>
        <v>0</v>
      </c>
      <c r="AE346" s="23">
        <f t="shared" si="5"/>
        <v>0</v>
      </c>
      <c r="AF346" s="23">
        <f t="shared" si="6"/>
        <v>0</v>
      </c>
      <c r="AG346" s="25">
        <f t="shared" si="7"/>
        <v>0</v>
      </c>
      <c r="AH346" s="25">
        <f t="shared" si="8"/>
        <v>0</v>
      </c>
      <c r="AI346" s="59"/>
    </row>
    <row r="347" ht="15.75" customHeight="1">
      <c r="A347" s="40"/>
      <c r="B347" s="33"/>
      <c r="C347" s="45" t="str">
        <f>IFERROR(VLOOKUP(B347,COLORES!$A$4:$B$52,2,FALSE()),"")</f>
        <v/>
      </c>
      <c r="D347" s="33"/>
      <c r="E347" s="46"/>
      <c r="F347" s="34"/>
      <c r="G347" s="33"/>
      <c r="H347" s="47"/>
      <c r="I347" s="47"/>
      <c r="J347" s="48">
        <f>IFERROR(VLOOKUP(VLOOKUP(A347,PROGRAMAS!$A$4:$G$103,7,FALSE()),PRECIOS_TEJEDURIA!$A$4:$B$22,2,FALSE()),0)</f>
        <v>0</v>
      </c>
      <c r="K347" s="49"/>
      <c r="L347" s="50"/>
      <c r="M347" s="51">
        <f t="shared" si="1"/>
        <v>0</v>
      </c>
      <c r="N347" s="49"/>
      <c r="O347" s="49"/>
      <c r="P347" s="49"/>
      <c r="Q347" s="52"/>
      <c r="R347" s="53"/>
      <c r="S347" s="53"/>
      <c r="T347" s="54"/>
      <c r="U347" s="19">
        <f t="shared" si="2"/>
        <v>0</v>
      </c>
      <c r="V347" s="20">
        <f t="shared" si="3"/>
        <v>0</v>
      </c>
      <c r="W347" s="55">
        <f t="array" ref="W347">IFERROR(INDEX(PRECIOS_TINTORERIA!$B$4:$U$15,MATCH(D347,PRECIOS_TINTORERIA!$A$4:$A$15,0),MATCH(VLOOKUP(A347,PROGRAMAS!$A$4:$G$103,7,FALSE()),PRECIOS_TINTORERIA!$B$3:$U$3,0)),0)</f>
        <v>0</v>
      </c>
      <c r="X347" s="56"/>
      <c r="Y347" s="57"/>
      <c r="Z347" s="58">
        <f t="shared" si="4"/>
        <v>0</v>
      </c>
      <c r="AA347" s="56"/>
      <c r="AB347" s="56"/>
      <c r="AC347" s="56"/>
      <c r="AD347" s="23">
        <f>IFERROR((SUMIFS(COMPRAS_HILO!$H$4:$H$203,COMPRAS_HILO!$B$4:$B$203,A347))*F347/SUMIFS($F$4:$F$503,$A$4:$A$503,A347),0)</f>
        <v>0</v>
      </c>
      <c r="AE347" s="23">
        <f t="shared" si="5"/>
        <v>0</v>
      </c>
      <c r="AF347" s="23">
        <f t="shared" si="6"/>
        <v>0</v>
      </c>
      <c r="AG347" s="25">
        <f t="shared" si="7"/>
        <v>0</v>
      </c>
      <c r="AH347" s="25">
        <f t="shared" si="8"/>
        <v>0</v>
      </c>
      <c r="AI347" s="59"/>
    </row>
    <row r="348" ht="15.75" customHeight="1">
      <c r="A348" s="40"/>
      <c r="B348" s="33"/>
      <c r="C348" s="45" t="str">
        <f>IFERROR(VLOOKUP(B348,COLORES!$A$4:$B$52,2,FALSE()),"")</f>
        <v/>
      </c>
      <c r="D348" s="33"/>
      <c r="E348" s="46"/>
      <c r="F348" s="34"/>
      <c r="G348" s="33"/>
      <c r="H348" s="47"/>
      <c r="I348" s="47"/>
      <c r="J348" s="48">
        <f>IFERROR(VLOOKUP(VLOOKUP(A348,PROGRAMAS!$A$4:$G$103,7,FALSE()),PRECIOS_TEJEDURIA!$A$4:$B$22,2,FALSE()),0)</f>
        <v>0</v>
      </c>
      <c r="K348" s="49"/>
      <c r="L348" s="50"/>
      <c r="M348" s="51">
        <f t="shared" si="1"/>
        <v>0</v>
      </c>
      <c r="N348" s="49"/>
      <c r="O348" s="49"/>
      <c r="P348" s="49"/>
      <c r="Q348" s="52"/>
      <c r="R348" s="53"/>
      <c r="S348" s="53"/>
      <c r="T348" s="54"/>
      <c r="U348" s="19">
        <f t="shared" si="2"/>
        <v>0</v>
      </c>
      <c r="V348" s="20">
        <f t="shared" si="3"/>
        <v>0</v>
      </c>
      <c r="W348" s="55">
        <f t="array" ref="W348">IFERROR(INDEX(PRECIOS_TINTORERIA!$B$4:$U$15,MATCH(D348,PRECIOS_TINTORERIA!$A$4:$A$15,0),MATCH(VLOOKUP(A348,PROGRAMAS!$A$4:$G$103,7,FALSE()),PRECIOS_TINTORERIA!$B$3:$U$3,0)),0)</f>
        <v>0</v>
      </c>
      <c r="X348" s="56"/>
      <c r="Y348" s="57"/>
      <c r="Z348" s="58">
        <f t="shared" si="4"/>
        <v>0</v>
      </c>
      <c r="AA348" s="56"/>
      <c r="AB348" s="56"/>
      <c r="AC348" s="56"/>
      <c r="AD348" s="23">
        <f>IFERROR((SUMIFS(COMPRAS_HILO!$H$4:$H$203,COMPRAS_HILO!$B$4:$B$203,A348))*F348/SUMIFS($F$4:$F$503,$A$4:$A$503,A348),0)</f>
        <v>0</v>
      </c>
      <c r="AE348" s="23">
        <f t="shared" si="5"/>
        <v>0</v>
      </c>
      <c r="AF348" s="23">
        <f t="shared" si="6"/>
        <v>0</v>
      </c>
      <c r="AG348" s="25">
        <f t="shared" si="7"/>
        <v>0</v>
      </c>
      <c r="AH348" s="25">
        <f t="shared" si="8"/>
        <v>0</v>
      </c>
      <c r="AI348" s="59"/>
    </row>
    <row r="349" ht="15.75" customHeight="1">
      <c r="A349" s="40"/>
      <c r="B349" s="33"/>
      <c r="C349" s="45" t="str">
        <f>IFERROR(VLOOKUP(B349,COLORES!$A$4:$B$52,2,FALSE()),"")</f>
        <v/>
      </c>
      <c r="D349" s="33"/>
      <c r="E349" s="46"/>
      <c r="F349" s="34"/>
      <c r="G349" s="33"/>
      <c r="H349" s="47"/>
      <c r="I349" s="47"/>
      <c r="J349" s="48">
        <f>IFERROR(VLOOKUP(VLOOKUP(A349,PROGRAMAS!$A$4:$G$103,7,FALSE()),PRECIOS_TEJEDURIA!$A$4:$B$22,2,FALSE()),0)</f>
        <v>0</v>
      </c>
      <c r="K349" s="49"/>
      <c r="L349" s="50"/>
      <c r="M349" s="51">
        <f t="shared" si="1"/>
        <v>0</v>
      </c>
      <c r="N349" s="49"/>
      <c r="O349" s="49"/>
      <c r="P349" s="49"/>
      <c r="Q349" s="52"/>
      <c r="R349" s="53"/>
      <c r="S349" s="53"/>
      <c r="T349" s="54"/>
      <c r="U349" s="19">
        <f t="shared" si="2"/>
        <v>0</v>
      </c>
      <c r="V349" s="20">
        <f t="shared" si="3"/>
        <v>0</v>
      </c>
      <c r="W349" s="55">
        <f t="array" ref="W349">IFERROR(INDEX(PRECIOS_TINTORERIA!$B$4:$U$15,MATCH(D349,PRECIOS_TINTORERIA!$A$4:$A$15,0),MATCH(VLOOKUP(A349,PROGRAMAS!$A$4:$G$103,7,FALSE()),PRECIOS_TINTORERIA!$B$3:$U$3,0)),0)</f>
        <v>0</v>
      </c>
      <c r="X349" s="56"/>
      <c r="Y349" s="57"/>
      <c r="Z349" s="58">
        <f t="shared" si="4"/>
        <v>0</v>
      </c>
      <c r="AA349" s="56"/>
      <c r="AB349" s="56"/>
      <c r="AC349" s="56"/>
      <c r="AD349" s="23">
        <f>IFERROR((SUMIFS(COMPRAS_HILO!$H$4:$H$203,COMPRAS_HILO!$B$4:$B$203,A349))*F349/SUMIFS($F$4:$F$503,$A$4:$A$503,A349),0)</f>
        <v>0</v>
      </c>
      <c r="AE349" s="23">
        <f t="shared" si="5"/>
        <v>0</v>
      </c>
      <c r="AF349" s="23">
        <f t="shared" si="6"/>
        <v>0</v>
      </c>
      <c r="AG349" s="25">
        <f t="shared" si="7"/>
        <v>0</v>
      </c>
      <c r="AH349" s="25">
        <f t="shared" si="8"/>
        <v>0</v>
      </c>
      <c r="AI349" s="59"/>
    </row>
    <row r="350" ht="15.75" customHeight="1">
      <c r="A350" s="40"/>
      <c r="B350" s="33"/>
      <c r="C350" s="45" t="str">
        <f>IFERROR(VLOOKUP(B350,COLORES!$A$4:$B$52,2,FALSE()),"")</f>
        <v/>
      </c>
      <c r="D350" s="33"/>
      <c r="E350" s="46"/>
      <c r="F350" s="34"/>
      <c r="G350" s="33"/>
      <c r="H350" s="47"/>
      <c r="I350" s="47"/>
      <c r="J350" s="48">
        <f>IFERROR(VLOOKUP(VLOOKUP(A350,PROGRAMAS!$A$4:$G$103,7,FALSE()),PRECIOS_TEJEDURIA!$A$4:$B$22,2,FALSE()),0)</f>
        <v>0</v>
      </c>
      <c r="K350" s="49"/>
      <c r="L350" s="50"/>
      <c r="M350" s="51">
        <f t="shared" si="1"/>
        <v>0</v>
      </c>
      <c r="N350" s="49"/>
      <c r="O350" s="49"/>
      <c r="P350" s="49"/>
      <c r="Q350" s="52"/>
      <c r="R350" s="53"/>
      <c r="S350" s="53"/>
      <c r="T350" s="54"/>
      <c r="U350" s="19">
        <f t="shared" si="2"/>
        <v>0</v>
      </c>
      <c r="V350" s="20">
        <f t="shared" si="3"/>
        <v>0</v>
      </c>
      <c r="W350" s="55">
        <f t="array" ref="W350">IFERROR(INDEX(PRECIOS_TINTORERIA!$B$4:$U$15,MATCH(D350,PRECIOS_TINTORERIA!$A$4:$A$15,0),MATCH(VLOOKUP(A350,PROGRAMAS!$A$4:$G$103,7,FALSE()),PRECIOS_TINTORERIA!$B$3:$U$3,0)),0)</f>
        <v>0</v>
      </c>
      <c r="X350" s="56"/>
      <c r="Y350" s="57"/>
      <c r="Z350" s="58">
        <f t="shared" si="4"/>
        <v>0</v>
      </c>
      <c r="AA350" s="56"/>
      <c r="AB350" s="56"/>
      <c r="AC350" s="56"/>
      <c r="AD350" s="23">
        <f>IFERROR((SUMIFS(COMPRAS_HILO!$H$4:$H$203,COMPRAS_HILO!$B$4:$B$203,A350))*F350/SUMIFS($F$4:$F$503,$A$4:$A$503,A350),0)</f>
        <v>0</v>
      </c>
      <c r="AE350" s="23">
        <f t="shared" si="5"/>
        <v>0</v>
      </c>
      <c r="AF350" s="23">
        <f t="shared" si="6"/>
        <v>0</v>
      </c>
      <c r="AG350" s="25">
        <f t="shared" si="7"/>
        <v>0</v>
      </c>
      <c r="AH350" s="25">
        <f t="shared" si="8"/>
        <v>0</v>
      </c>
      <c r="AI350" s="59"/>
    </row>
    <row r="351" ht="15.75" customHeight="1">
      <c r="A351" s="40"/>
      <c r="B351" s="33"/>
      <c r="C351" s="45" t="str">
        <f>IFERROR(VLOOKUP(B351,COLORES!$A$4:$B$52,2,FALSE()),"")</f>
        <v/>
      </c>
      <c r="D351" s="33"/>
      <c r="E351" s="46"/>
      <c r="F351" s="34"/>
      <c r="G351" s="33"/>
      <c r="H351" s="47"/>
      <c r="I351" s="47"/>
      <c r="J351" s="48">
        <f>IFERROR(VLOOKUP(VLOOKUP(A351,PROGRAMAS!$A$4:$G$103,7,FALSE()),PRECIOS_TEJEDURIA!$A$4:$B$22,2,FALSE()),0)</f>
        <v>0</v>
      </c>
      <c r="K351" s="49"/>
      <c r="L351" s="50"/>
      <c r="M351" s="51">
        <f t="shared" si="1"/>
        <v>0</v>
      </c>
      <c r="N351" s="49"/>
      <c r="O351" s="49"/>
      <c r="P351" s="49"/>
      <c r="Q351" s="52"/>
      <c r="R351" s="53"/>
      <c r="S351" s="53"/>
      <c r="T351" s="54"/>
      <c r="U351" s="19">
        <f t="shared" si="2"/>
        <v>0</v>
      </c>
      <c r="V351" s="20">
        <f t="shared" si="3"/>
        <v>0</v>
      </c>
      <c r="W351" s="55">
        <f t="array" ref="W351">IFERROR(INDEX(PRECIOS_TINTORERIA!$B$4:$U$15,MATCH(D351,PRECIOS_TINTORERIA!$A$4:$A$15,0),MATCH(VLOOKUP(A351,PROGRAMAS!$A$4:$G$103,7,FALSE()),PRECIOS_TINTORERIA!$B$3:$U$3,0)),0)</f>
        <v>0</v>
      </c>
      <c r="X351" s="56"/>
      <c r="Y351" s="57"/>
      <c r="Z351" s="58">
        <f t="shared" si="4"/>
        <v>0</v>
      </c>
      <c r="AA351" s="56"/>
      <c r="AB351" s="56"/>
      <c r="AC351" s="56"/>
      <c r="AD351" s="23">
        <f>IFERROR((SUMIFS(COMPRAS_HILO!$H$4:$H$203,COMPRAS_HILO!$B$4:$B$203,A351))*F351/SUMIFS($F$4:$F$503,$A$4:$A$503,A351),0)</f>
        <v>0</v>
      </c>
      <c r="AE351" s="23">
        <f t="shared" si="5"/>
        <v>0</v>
      </c>
      <c r="AF351" s="23">
        <f t="shared" si="6"/>
        <v>0</v>
      </c>
      <c r="AG351" s="25">
        <f t="shared" si="7"/>
        <v>0</v>
      </c>
      <c r="AH351" s="25">
        <f t="shared" si="8"/>
        <v>0</v>
      </c>
      <c r="AI351" s="59"/>
    </row>
    <row r="352" ht="15.75" customHeight="1">
      <c r="A352" s="40"/>
      <c r="B352" s="33"/>
      <c r="C352" s="45" t="str">
        <f>IFERROR(VLOOKUP(B352,COLORES!$A$4:$B$52,2,FALSE()),"")</f>
        <v/>
      </c>
      <c r="D352" s="33"/>
      <c r="E352" s="46"/>
      <c r="F352" s="34"/>
      <c r="G352" s="33"/>
      <c r="H352" s="47"/>
      <c r="I352" s="47"/>
      <c r="J352" s="48">
        <f>IFERROR(VLOOKUP(VLOOKUP(A352,PROGRAMAS!$A$4:$G$103,7,FALSE()),PRECIOS_TEJEDURIA!$A$4:$B$22,2,FALSE()),0)</f>
        <v>0</v>
      </c>
      <c r="K352" s="49"/>
      <c r="L352" s="50"/>
      <c r="M352" s="51">
        <f t="shared" si="1"/>
        <v>0</v>
      </c>
      <c r="N352" s="49"/>
      <c r="O352" s="49"/>
      <c r="P352" s="49"/>
      <c r="Q352" s="52"/>
      <c r="R352" s="53"/>
      <c r="S352" s="53"/>
      <c r="T352" s="54"/>
      <c r="U352" s="19">
        <f t="shared" si="2"/>
        <v>0</v>
      </c>
      <c r="V352" s="20">
        <f t="shared" si="3"/>
        <v>0</v>
      </c>
      <c r="W352" s="55">
        <f t="array" ref="W352">IFERROR(INDEX(PRECIOS_TINTORERIA!$B$4:$U$15,MATCH(D352,PRECIOS_TINTORERIA!$A$4:$A$15,0),MATCH(VLOOKUP(A352,PROGRAMAS!$A$4:$G$103,7,FALSE()),PRECIOS_TINTORERIA!$B$3:$U$3,0)),0)</f>
        <v>0</v>
      </c>
      <c r="X352" s="56"/>
      <c r="Y352" s="57"/>
      <c r="Z352" s="58">
        <f t="shared" si="4"/>
        <v>0</v>
      </c>
      <c r="AA352" s="56"/>
      <c r="AB352" s="56"/>
      <c r="AC352" s="56"/>
      <c r="AD352" s="23">
        <f>IFERROR((SUMIFS(COMPRAS_HILO!$H$4:$H$203,COMPRAS_HILO!$B$4:$B$203,A352))*F352/SUMIFS($F$4:$F$503,$A$4:$A$503,A352),0)</f>
        <v>0</v>
      </c>
      <c r="AE352" s="23">
        <f t="shared" si="5"/>
        <v>0</v>
      </c>
      <c r="AF352" s="23">
        <f t="shared" si="6"/>
        <v>0</v>
      </c>
      <c r="AG352" s="25">
        <f t="shared" si="7"/>
        <v>0</v>
      </c>
      <c r="AH352" s="25">
        <f t="shared" si="8"/>
        <v>0</v>
      </c>
      <c r="AI352" s="59"/>
    </row>
    <row r="353" ht="15.75" customHeight="1">
      <c r="A353" s="40"/>
      <c r="B353" s="33"/>
      <c r="C353" s="45" t="str">
        <f>IFERROR(VLOOKUP(B353,COLORES!$A$4:$B$52,2,FALSE()),"")</f>
        <v/>
      </c>
      <c r="D353" s="33"/>
      <c r="E353" s="46"/>
      <c r="F353" s="34"/>
      <c r="G353" s="33"/>
      <c r="H353" s="47"/>
      <c r="I353" s="47"/>
      <c r="J353" s="48">
        <f>IFERROR(VLOOKUP(VLOOKUP(A353,PROGRAMAS!$A$4:$G$103,7,FALSE()),PRECIOS_TEJEDURIA!$A$4:$B$22,2,FALSE()),0)</f>
        <v>0</v>
      </c>
      <c r="K353" s="49"/>
      <c r="L353" s="50"/>
      <c r="M353" s="51">
        <f t="shared" si="1"/>
        <v>0</v>
      </c>
      <c r="N353" s="49"/>
      <c r="O353" s="49"/>
      <c r="P353" s="49"/>
      <c r="Q353" s="52"/>
      <c r="R353" s="53"/>
      <c r="S353" s="53"/>
      <c r="T353" s="54"/>
      <c r="U353" s="19">
        <f t="shared" si="2"/>
        <v>0</v>
      </c>
      <c r="V353" s="20">
        <f t="shared" si="3"/>
        <v>0</v>
      </c>
      <c r="W353" s="55">
        <f t="array" ref="W353">IFERROR(INDEX(PRECIOS_TINTORERIA!$B$4:$U$15,MATCH(D353,PRECIOS_TINTORERIA!$A$4:$A$15,0),MATCH(VLOOKUP(A353,PROGRAMAS!$A$4:$G$103,7,FALSE()),PRECIOS_TINTORERIA!$B$3:$U$3,0)),0)</f>
        <v>0</v>
      </c>
      <c r="X353" s="56"/>
      <c r="Y353" s="57"/>
      <c r="Z353" s="58">
        <f t="shared" si="4"/>
        <v>0</v>
      </c>
      <c r="AA353" s="56"/>
      <c r="AB353" s="56"/>
      <c r="AC353" s="56"/>
      <c r="AD353" s="23">
        <f>IFERROR((SUMIFS(COMPRAS_HILO!$H$4:$H$203,COMPRAS_HILO!$B$4:$B$203,A353))*F353/SUMIFS($F$4:$F$503,$A$4:$A$503,A353),0)</f>
        <v>0</v>
      </c>
      <c r="AE353" s="23">
        <f t="shared" si="5"/>
        <v>0</v>
      </c>
      <c r="AF353" s="23">
        <f t="shared" si="6"/>
        <v>0</v>
      </c>
      <c r="AG353" s="25">
        <f t="shared" si="7"/>
        <v>0</v>
      </c>
      <c r="AH353" s="25">
        <f t="shared" si="8"/>
        <v>0</v>
      </c>
      <c r="AI353" s="59"/>
    </row>
    <row r="354" ht="15.75" customHeight="1">
      <c r="A354" s="40"/>
      <c r="B354" s="33"/>
      <c r="C354" s="45" t="str">
        <f>IFERROR(VLOOKUP(B354,COLORES!$A$4:$B$52,2,FALSE()),"")</f>
        <v/>
      </c>
      <c r="D354" s="33"/>
      <c r="E354" s="46"/>
      <c r="F354" s="34"/>
      <c r="G354" s="33"/>
      <c r="H354" s="47"/>
      <c r="I354" s="47"/>
      <c r="J354" s="48">
        <f>IFERROR(VLOOKUP(VLOOKUP(A354,PROGRAMAS!$A$4:$G$103,7,FALSE()),PRECIOS_TEJEDURIA!$A$4:$B$22,2,FALSE()),0)</f>
        <v>0</v>
      </c>
      <c r="K354" s="49"/>
      <c r="L354" s="50"/>
      <c r="M354" s="51">
        <f t="shared" si="1"/>
        <v>0</v>
      </c>
      <c r="N354" s="49"/>
      <c r="O354" s="49"/>
      <c r="P354" s="49"/>
      <c r="Q354" s="52"/>
      <c r="R354" s="53"/>
      <c r="S354" s="53"/>
      <c r="T354" s="54"/>
      <c r="U354" s="19">
        <f t="shared" si="2"/>
        <v>0</v>
      </c>
      <c r="V354" s="20">
        <f t="shared" si="3"/>
        <v>0</v>
      </c>
      <c r="W354" s="55">
        <f t="array" ref="W354">IFERROR(INDEX(PRECIOS_TINTORERIA!$B$4:$U$15,MATCH(D354,PRECIOS_TINTORERIA!$A$4:$A$15,0),MATCH(VLOOKUP(A354,PROGRAMAS!$A$4:$G$103,7,FALSE()),PRECIOS_TINTORERIA!$B$3:$U$3,0)),0)</f>
        <v>0</v>
      </c>
      <c r="X354" s="56"/>
      <c r="Y354" s="57"/>
      <c r="Z354" s="58">
        <f t="shared" si="4"/>
        <v>0</v>
      </c>
      <c r="AA354" s="56"/>
      <c r="AB354" s="56"/>
      <c r="AC354" s="56"/>
      <c r="AD354" s="23">
        <f>IFERROR((SUMIFS(COMPRAS_HILO!$H$4:$H$203,COMPRAS_HILO!$B$4:$B$203,A354))*F354/SUMIFS($F$4:$F$503,$A$4:$A$503,A354),0)</f>
        <v>0</v>
      </c>
      <c r="AE354" s="23">
        <f t="shared" si="5"/>
        <v>0</v>
      </c>
      <c r="AF354" s="23">
        <f t="shared" si="6"/>
        <v>0</v>
      </c>
      <c r="AG354" s="25">
        <f t="shared" si="7"/>
        <v>0</v>
      </c>
      <c r="AH354" s="25">
        <f t="shared" si="8"/>
        <v>0</v>
      </c>
      <c r="AI354" s="59"/>
    </row>
    <row r="355" ht="15.75" customHeight="1">
      <c r="A355" s="40"/>
      <c r="B355" s="33"/>
      <c r="C355" s="45" t="str">
        <f>IFERROR(VLOOKUP(B355,COLORES!$A$4:$B$52,2,FALSE()),"")</f>
        <v/>
      </c>
      <c r="D355" s="33"/>
      <c r="E355" s="46"/>
      <c r="F355" s="34"/>
      <c r="G355" s="33"/>
      <c r="H355" s="47"/>
      <c r="I355" s="47"/>
      <c r="J355" s="48">
        <f>IFERROR(VLOOKUP(VLOOKUP(A355,PROGRAMAS!$A$4:$G$103,7,FALSE()),PRECIOS_TEJEDURIA!$A$4:$B$22,2,FALSE()),0)</f>
        <v>0</v>
      </c>
      <c r="K355" s="49"/>
      <c r="L355" s="50"/>
      <c r="M355" s="51">
        <f t="shared" si="1"/>
        <v>0</v>
      </c>
      <c r="N355" s="49"/>
      <c r="O355" s="49"/>
      <c r="P355" s="49"/>
      <c r="Q355" s="52"/>
      <c r="R355" s="53"/>
      <c r="S355" s="53"/>
      <c r="T355" s="54"/>
      <c r="U355" s="19">
        <f t="shared" si="2"/>
        <v>0</v>
      </c>
      <c r="V355" s="20">
        <f t="shared" si="3"/>
        <v>0</v>
      </c>
      <c r="W355" s="55">
        <f t="array" ref="W355">IFERROR(INDEX(PRECIOS_TINTORERIA!$B$4:$U$15,MATCH(D355,PRECIOS_TINTORERIA!$A$4:$A$15,0),MATCH(VLOOKUP(A355,PROGRAMAS!$A$4:$G$103,7,FALSE()),PRECIOS_TINTORERIA!$B$3:$U$3,0)),0)</f>
        <v>0</v>
      </c>
      <c r="X355" s="56"/>
      <c r="Y355" s="57"/>
      <c r="Z355" s="58">
        <f t="shared" si="4"/>
        <v>0</v>
      </c>
      <c r="AA355" s="56"/>
      <c r="AB355" s="56"/>
      <c r="AC355" s="56"/>
      <c r="AD355" s="23">
        <f>IFERROR((SUMIFS(COMPRAS_HILO!$H$4:$H$203,COMPRAS_HILO!$B$4:$B$203,A355))*F355/SUMIFS($F$4:$F$503,$A$4:$A$503,A355),0)</f>
        <v>0</v>
      </c>
      <c r="AE355" s="23">
        <f t="shared" si="5"/>
        <v>0</v>
      </c>
      <c r="AF355" s="23">
        <f t="shared" si="6"/>
        <v>0</v>
      </c>
      <c r="AG355" s="25">
        <f t="shared" si="7"/>
        <v>0</v>
      </c>
      <c r="AH355" s="25">
        <f t="shared" si="8"/>
        <v>0</v>
      </c>
      <c r="AI355" s="59"/>
    </row>
    <row r="356" ht="15.75" customHeight="1">
      <c r="A356" s="40"/>
      <c r="B356" s="33"/>
      <c r="C356" s="45" t="str">
        <f>IFERROR(VLOOKUP(B356,COLORES!$A$4:$B$52,2,FALSE()),"")</f>
        <v/>
      </c>
      <c r="D356" s="33"/>
      <c r="E356" s="46"/>
      <c r="F356" s="34"/>
      <c r="G356" s="33"/>
      <c r="H356" s="47"/>
      <c r="I356" s="47"/>
      <c r="J356" s="48">
        <f>IFERROR(VLOOKUP(VLOOKUP(A356,PROGRAMAS!$A$4:$G$103,7,FALSE()),PRECIOS_TEJEDURIA!$A$4:$B$22,2,FALSE()),0)</f>
        <v>0</v>
      </c>
      <c r="K356" s="49"/>
      <c r="L356" s="50"/>
      <c r="M356" s="51">
        <f t="shared" si="1"/>
        <v>0</v>
      </c>
      <c r="N356" s="49"/>
      <c r="O356" s="49"/>
      <c r="P356" s="49"/>
      <c r="Q356" s="52"/>
      <c r="R356" s="53"/>
      <c r="S356" s="53"/>
      <c r="T356" s="54"/>
      <c r="U356" s="19">
        <f t="shared" si="2"/>
        <v>0</v>
      </c>
      <c r="V356" s="20">
        <f t="shared" si="3"/>
        <v>0</v>
      </c>
      <c r="W356" s="55">
        <f t="array" ref="W356">IFERROR(INDEX(PRECIOS_TINTORERIA!$B$4:$U$15,MATCH(D356,PRECIOS_TINTORERIA!$A$4:$A$15,0),MATCH(VLOOKUP(A356,PROGRAMAS!$A$4:$G$103,7,FALSE()),PRECIOS_TINTORERIA!$B$3:$U$3,0)),0)</f>
        <v>0</v>
      </c>
      <c r="X356" s="56"/>
      <c r="Y356" s="57"/>
      <c r="Z356" s="58">
        <f t="shared" si="4"/>
        <v>0</v>
      </c>
      <c r="AA356" s="56"/>
      <c r="AB356" s="56"/>
      <c r="AC356" s="56"/>
      <c r="AD356" s="23">
        <f>IFERROR((SUMIFS(COMPRAS_HILO!$H$4:$H$203,COMPRAS_HILO!$B$4:$B$203,A356))*F356/SUMIFS($F$4:$F$503,$A$4:$A$503,A356),0)</f>
        <v>0</v>
      </c>
      <c r="AE356" s="23">
        <f t="shared" si="5"/>
        <v>0</v>
      </c>
      <c r="AF356" s="23">
        <f t="shared" si="6"/>
        <v>0</v>
      </c>
      <c r="AG356" s="25">
        <f t="shared" si="7"/>
        <v>0</v>
      </c>
      <c r="AH356" s="25">
        <f t="shared" si="8"/>
        <v>0</v>
      </c>
      <c r="AI356" s="59"/>
    </row>
    <row r="357" ht="15.75" customHeight="1">
      <c r="A357" s="40"/>
      <c r="B357" s="33"/>
      <c r="C357" s="45" t="str">
        <f>IFERROR(VLOOKUP(B357,COLORES!$A$4:$B$52,2,FALSE()),"")</f>
        <v/>
      </c>
      <c r="D357" s="33"/>
      <c r="E357" s="46"/>
      <c r="F357" s="34"/>
      <c r="G357" s="33"/>
      <c r="H357" s="47"/>
      <c r="I357" s="47"/>
      <c r="J357" s="48">
        <f>IFERROR(VLOOKUP(VLOOKUP(A357,PROGRAMAS!$A$4:$G$103,7,FALSE()),PRECIOS_TEJEDURIA!$A$4:$B$22,2,FALSE()),0)</f>
        <v>0</v>
      </c>
      <c r="K357" s="49"/>
      <c r="L357" s="50"/>
      <c r="M357" s="51">
        <f t="shared" si="1"/>
        <v>0</v>
      </c>
      <c r="N357" s="49"/>
      <c r="O357" s="49"/>
      <c r="P357" s="49"/>
      <c r="Q357" s="52"/>
      <c r="R357" s="53"/>
      <c r="S357" s="53"/>
      <c r="T357" s="54"/>
      <c r="U357" s="19">
        <f t="shared" si="2"/>
        <v>0</v>
      </c>
      <c r="V357" s="20">
        <f t="shared" si="3"/>
        <v>0</v>
      </c>
      <c r="W357" s="55">
        <f t="array" ref="W357">IFERROR(INDEX(PRECIOS_TINTORERIA!$B$4:$U$15,MATCH(D357,PRECIOS_TINTORERIA!$A$4:$A$15,0),MATCH(VLOOKUP(A357,PROGRAMAS!$A$4:$G$103,7,FALSE()),PRECIOS_TINTORERIA!$B$3:$U$3,0)),0)</f>
        <v>0</v>
      </c>
      <c r="X357" s="56"/>
      <c r="Y357" s="57"/>
      <c r="Z357" s="58">
        <f t="shared" si="4"/>
        <v>0</v>
      </c>
      <c r="AA357" s="56"/>
      <c r="AB357" s="56"/>
      <c r="AC357" s="56"/>
      <c r="AD357" s="23">
        <f>IFERROR((SUMIFS(COMPRAS_HILO!$H$4:$H$203,COMPRAS_HILO!$B$4:$B$203,A357))*F357/SUMIFS($F$4:$F$503,$A$4:$A$503,A357),0)</f>
        <v>0</v>
      </c>
      <c r="AE357" s="23">
        <f t="shared" si="5"/>
        <v>0</v>
      </c>
      <c r="AF357" s="23">
        <f t="shared" si="6"/>
        <v>0</v>
      </c>
      <c r="AG357" s="25">
        <f t="shared" si="7"/>
        <v>0</v>
      </c>
      <c r="AH357" s="25">
        <f t="shared" si="8"/>
        <v>0</v>
      </c>
      <c r="AI357" s="59"/>
    </row>
    <row r="358" ht="15.75" customHeight="1">
      <c r="A358" s="40"/>
      <c r="B358" s="33"/>
      <c r="C358" s="45" t="str">
        <f>IFERROR(VLOOKUP(B358,COLORES!$A$4:$B$52,2,FALSE()),"")</f>
        <v/>
      </c>
      <c r="D358" s="33"/>
      <c r="E358" s="46"/>
      <c r="F358" s="34"/>
      <c r="G358" s="33"/>
      <c r="H358" s="47"/>
      <c r="I358" s="47"/>
      <c r="J358" s="48">
        <f>IFERROR(VLOOKUP(VLOOKUP(A358,PROGRAMAS!$A$4:$G$103,7,FALSE()),PRECIOS_TEJEDURIA!$A$4:$B$22,2,FALSE()),0)</f>
        <v>0</v>
      </c>
      <c r="K358" s="49"/>
      <c r="L358" s="50"/>
      <c r="M358" s="51">
        <f t="shared" si="1"/>
        <v>0</v>
      </c>
      <c r="N358" s="49"/>
      <c r="O358" s="49"/>
      <c r="P358" s="49"/>
      <c r="Q358" s="52"/>
      <c r="R358" s="53"/>
      <c r="S358" s="53"/>
      <c r="T358" s="54"/>
      <c r="U358" s="19">
        <f t="shared" si="2"/>
        <v>0</v>
      </c>
      <c r="V358" s="20">
        <f t="shared" si="3"/>
        <v>0</v>
      </c>
      <c r="W358" s="55">
        <f t="array" ref="W358">IFERROR(INDEX(PRECIOS_TINTORERIA!$B$4:$U$15,MATCH(D358,PRECIOS_TINTORERIA!$A$4:$A$15,0),MATCH(VLOOKUP(A358,PROGRAMAS!$A$4:$G$103,7,FALSE()),PRECIOS_TINTORERIA!$B$3:$U$3,0)),0)</f>
        <v>0</v>
      </c>
      <c r="X358" s="56"/>
      <c r="Y358" s="57"/>
      <c r="Z358" s="58">
        <f t="shared" si="4"/>
        <v>0</v>
      </c>
      <c r="AA358" s="56"/>
      <c r="AB358" s="56"/>
      <c r="AC358" s="56"/>
      <c r="AD358" s="23">
        <f>IFERROR((SUMIFS(COMPRAS_HILO!$H$4:$H$203,COMPRAS_HILO!$B$4:$B$203,A358))*F358/SUMIFS($F$4:$F$503,$A$4:$A$503,A358),0)</f>
        <v>0</v>
      </c>
      <c r="AE358" s="23">
        <f t="shared" si="5"/>
        <v>0</v>
      </c>
      <c r="AF358" s="23">
        <f t="shared" si="6"/>
        <v>0</v>
      </c>
      <c r="AG358" s="25">
        <f t="shared" si="7"/>
        <v>0</v>
      </c>
      <c r="AH358" s="25">
        <f t="shared" si="8"/>
        <v>0</v>
      </c>
      <c r="AI358" s="59"/>
    </row>
    <row r="359" ht="15.75" customHeight="1">
      <c r="A359" s="40"/>
      <c r="B359" s="33"/>
      <c r="C359" s="45" t="str">
        <f>IFERROR(VLOOKUP(B359,COLORES!$A$4:$B$52,2,FALSE()),"")</f>
        <v/>
      </c>
      <c r="D359" s="33"/>
      <c r="E359" s="46"/>
      <c r="F359" s="34"/>
      <c r="G359" s="33"/>
      <c r="H359" s="47"/>
      <c r="I359" s="47"/>
      <c r="J359" s="48">
        <f>IFERROR(VLOOKUP(VLOOKUP(A359,PROGRAMAS!$A$4:$G$103,7,FALSE()),PRECIOS_TEJEDURIA!$A$4:$B$22,2,FALSE()),0)</f>
        <v>0</v>
      </c>
      <c r="K359" s="49"/>
      <c r="L359" s="50"/>
      <c r="M359" s="51">
        <f t="shared" si="1"/>
        <v>0</v>
      </c>
      <c r="N359" s="49"/>
      <c r="O359" s="49"/>
      <c r="P359" s="49"/>
      <c r="Q359" s="52"/>
      <c r="R359" s="53"/>
      <c r="S359" s="53"/>
      <c r="T359" s="54"/>
      <c r="U359" s="19">
        <f t="shared" si="2"/>
        <v>0</v>
      </c>
      <c r="V359" s="20">
        <f t="shared" si="3"/>
        <v>0</v>
      </c>
      <c r="W359" s="55">
        <f t="array" ref="W359">IFERROR(INDEX(PRECIOS_TINTORERIA!$B$4:$U$15,MATCH(D359,PRECIOS_TINTORERIA!$A$4:$A$15,0),MATCH(VLOOKUP(A359,PROGRAMAS!$A$4:$G$103,7,FALSE()),PRECIOS_TINTORERIA!$B$3:$U$3,0)),0)</f>
        <v>0</v>
      </c>
      <c r="X359" s="56"/>
      <c r="Y359" s="57"/>
      <c r="Z359" s="58">
        <f t="shared" si="4"/>
        <v>0</v>
      </c>
      <c r="AA359" s="56"/>
      <c r="AB359" s="56"/>
      <c r="AC359" s="56"/>
      <c r="AD359" s="23">
        <f>IFERROR((SUMIFS(COMPRAS_HILO!$H$4:$H$203,COMPRAS_HILO!$B$4:$B$203,A359))*F359/SUMIFS($F$4:$F$503,$A$4:$A$503,A359),0)</f>
        <v>0</v>
      </c>
      <c r="AE359" s="23">
        <f t="shared" si="5"/>
        <v>0</v>
      </c>
      <c r="AF359" s="23">
        <f t="shared" si="6"/>
        <v>0</v>
      </c>
      <c r="AG359" s="25">
        <f t="shared" si="7"/>
        <v>0</v>
      </c>
      <c r="AH359" s="25">
        <f t="shared" si="8"/>
        <v>0</v>
      </c>
      <c r="AI359" s="59"/>
    </row>
    <row r="360" ht="15.75" customHeight="1">
      <c r="A360" s="40"/>
      <c r="B360" s="33"/>
      <c r="C360" s="45" t="str">
        <f>IFERROR(VLOOKUP(B360,COLORES!$A$4:$B$52,2,FALSE()),"")</f>
        <v/>
      </c>
      <c r="D360" s="33"/>
      <c r="E360" s="46"/>
      <c r="F360" s="34"/>
      <c r="G360" s="33"/>
      <c r="H360" s="47"/>
      <c r="I360" s="47"/>
      <c r="J360" s="48">
        <f>IFERROR(VLOOKUP(VLOOKUP(A360,PROGRAMAS!$A$4:$G$103,7,FALSE()),PRECIOS_TEJEDURIA!$A$4:$B$22,2,FALSE()),0)</f>
        <v>0</v>
      </c>
      <c r="K360" s="49"/>
      <c r="L360" s="50"/>
      <c r="M360" s="51">
        <f t="shared" si="1"/>
        <v>0</v>
      </c>
      <c r="N360" s="49"/>
      <c r="O360" s="49"/>
      <c r="P360" s="49"/>
      <c r="Q360" s="52"/>
      <c r="R360" s="53"/>
      <c r="S360" s="53"/>
      <c r="T360" s="54"/>
      <c r="U360" s="19">
        <f t="shared" si="2"/>
        <v>0</v>
      </c>
      <c r="V360" s="20">
        <f t="shared" si="3"/>
        <v>0</v>
      </c>
      <c r="W360" s="55">
        <f t="array" ref="W360">IFERROR(INDEX(PRECIOS_TINTORERIA!$B$4:$U$15,MATCH(D360,PRECIOS_TINTORERIA!$A$4:$A$15,0),MATCH(VLOOKUP(A360,PROGRAMAS!$A$4:$G$103,7,FALSE()),PRECIOS_TINTORERIA!$B$3:$U$3,0)),0)</f>
        <v>0</v>
      </c>
      <c r="X360" s="56"/>
      <c r="Y360" s="57"/>
      <c r="Z360" s="58">
        <f t="shared" si="4"/>
        <v>0</v>
      </c>
      <c r="AA360" s="56"/>
      <c r="AB360" s="56"/>
      <c r="AC360" s="56"/>
      <c r="AD360" s="23">
        <f>IFERROR((SUMIFS(COMPRAS_HILO!$H$4:$H$203,COMPRAS_HILO!$B$4:$B$203,A360))*F360/SUMIFS($F$4:$F$503,$A$4:$A$503,A360),0)</f>
        <v>0</v>
      </c>
      <c r="AE360" s="23">
        <f t="shared" si="5"/>
        <v>0</v>
      </c>
      <c r="AF360" s="23">
        <f t="shared" si="6"/>
        <v>0</v>
      </c>
      <c r="AG360" s="25">
        <f t="shared" si="7"/>
        <v>0</v>
      </c>
      <c r="AH360" s="25">
        <f t="shared" si="8"/>
        <v>0</v>
      </c>
      <c r="AI360" s="59"/>
    </row>
    <row r="361" ht="15.75" customHeight="1">
      <c r="A361" s="40"/>
      <c r="B361" s="33"/>
      <c r="C361" s="45" t="str">
        <f>IFERROR(VLOOKUP(B361,COLORES!$A$4:$B$52,2,FALSE()),"")</f>
        <v/>
      </c>
      <c r="D361" s="33"/>
      <c r="E361" s="46"/>
      <c r="F361" s="34"/>
      <c r="G361" s="33"/>
      <c r="H361" s="47"/>
      <c r="I361" s="47"/>
      <c r="J361" s="48">
        <f>IFERROR(VLOOKUP(VLOOKUP(A361,PROGRAMAS!$A$4:$G$103,7,FALSE()),PRECIOS_TEJEDURIA!$A$4:$B$22,2,FALSE()),0)</f>
        <v>0</v>
      </c>
      <c r="K361" s="49"/>
      <c r="L361" s="50"/>
      <c r="M361" s="51">
        <f t="shared" si="1"/>
        <v>0</v>
      </c>
      <c r="N361" s="49"/>
      <c r="O361" s="49"/>
      <c r="P361" s="49"/>
      <c r="Q361" s="52"/>
      <c r="R361" s="53"/>
      <c r="S361" s="53"/>
      <c r="T361" s="54"/>
      <c r="U361" s="19">
        <f t="shared" si="2"/>
        <v>0</v>
      </c>
      <c r="V361" s="20">
        <f t="shared" si="3"/>
        <v>0</v>
      </c>
      <c r="W361" s="55">
        <f t="array" ref="W361">IFERROR(INDEX(PRECIOS_TINTORERIA!$B$4:$U$15,MATCH(D361,PRECIOS_TINTORERIA!$A$4:$A$15,0),MATCH(VLOOKUP(A361,PROGRAMAS!$A$4:$G$103,7,FALSE()),PRECIOS_TINTORERIA!$B$3:$U$3,0)),0)</f>
        <v>0</v>
      </c>
      <c r="X361" s="56"/>
      <c r="Y361" s="57"/>
      <c r="Z361" s="58">
        <f t="shared" si="4"/>
        <v>0</v>
      </c>
      <c r="AA361" s="56"/>
      <c r="AB361" s="56"/>
      <c r="AC361" s="56"/>
      <c r="AD361" s="23">
        <f>IFERROR((SUMIFS(COMPRAS_HILO!$H$4:$H$203,COMPRAS_HILO!$B$4:$B$203,A361))*F361/SUMIFS($F$4:$F$503,$A$4:$A$503,A361),0)</f>
        <v>0</v>
      </c>
      <c r="AE361" s="23">
        <f t="shared" si="5"/>
        <v>0</v>
      </c>
      <c r="AF361" s="23">
        <f t="shared" si="6"/>
        <v>0</v>
      </c>
      <c r="AG361" s="25">
        <f t="shared" si="7"/>
        <v>0</v>
      </c>
      <c r="AH361" s="25">
        <f t="shared" si="8"/>
        <v>0</v>
      </c>
      <c r="AI361" s="59"/>
    </row>
    <row r="362" ht="15.75" customHeight="1">
      <c r="A362" s="40"/>
      <c r="B362" s="33"/>
      <c r="C362" s="45" t="str">
        <f>IFERROR(VLOOKUP(B362,COLORES!$A$4:$B$52,2,FALSE()),"")</f>
        <v/>
      </c>
      <c r="D362" s="33"/>
      <c r="E362" s="46"/>
      <c r="F362" s="34"/>
      <c r="G362" s="33"/>
      <c r="H362" s="47"/>
      <c r="I362" s="47"/>
      <c r="J362" s="48">
        <f>IFERROR(VLOOKUP(VLOOKUP(A362,PROGRAMAS!$A$4:$G$103,7,FALSE()),PRECIOS_TEJEDURIA!$A$4:$B$22,2,FALSE()),0)</f>
        <v>0</v>
      </c>
      <c r="K362" s="49"/>
      <c r="L362" s="50"/>
      <c r="M362" s="51">
        <f t="shared" si="1"/>
        <v>0</v>
      </c>
      <c r="N362" s="49"/>
      <c r="O362" s="49"/>
      <c r="P362" s="49"/>
      <c r="Q362" s="52"/>
      <c r="R362" s="53"/>
      <c r="S362" s="53"/>
      <c r="T362" s="54"/>
      <c r="U362" s="19">
        <f t="shared" si="2"/>
        <v>0</v>
      </c>
      <c r="V362" s="20">
        <f t="shared" si="3"/>
        <v>0</v>
      </c>
      <c r="W362" s="55">
        <f t="array" ref="W362">IFERROR(INDEX(PRECIOS_TINTORERIA!$B$4:$U$15,MATCH(D362,PRECIOS_TINTORERIA!$A$4:$A$15,0),MATCH(VLOOKUP(A362,PROGRAMAS!$A$4:$G$103,7,FALSE()),PRECIOS_TINTORERIA!$B$3:$U$3,0)),0)</f>
        <v>0</v>
      </c>
      <c r="X362" s="56"/>
      <c r="Y362" s="57"/>
      <c r="Z362" s="58">
        <f t="shared" si="4"/>
        <v>0</v>
      </c>
      <c r="AA362" s="56"/>
      <c r="AB362" s="56"/>
      <c r="AC362" s="56"/>
      <c r="AD362" s="23">
        <f>IFERROR((SUMIFS(COMPRAS_HILO!$H$4:$H$203,COMPRAS_HILO!$B$4:$B$203,A362))*F362/SUMIFS($F$4:$F$503,$A$4:$A$503,A362),0)</f>
        <v>0</v>
      </c>
      <c r="AE362" s="23">
        <f t="shared" si="5"/>
        <v>0</v>
      </c>
      <c r="AF362" s="23">
        <f t="shared" si="6"/>
        <v>0</v>
      </c>
      <c r="AG362" s="25">
        <f t="shared" si="7"/>
        <v>0</v>
      </c>
      <c r="AH362" s="25">
        <f t="shared" si="8"/>
        <v>0</v>
      </c>
      <c r="AI362" s="59"/>
    </row>
    <row r="363" ht="15.75" customHeight="1">
      <c r="A363" s="40"/>
      <c r="B363" s="33"/>
      <c r="C363" s="45" t="str">
        <f>IFERROR(VLOOKUP(B363,COLORES!$A$4:$B$52,2,FALSE()),"")</f>
        <v/>
      </c>
      <c r="D363" s="33"/>
      <c r="E363" s="46"/>
      <c r="F363" s="34"/>
      <c r="G363" s="33"/>
      <c r="H363" s="47"/>
      <c r="I363" s="47"/>
      <c r="J363" s="48">
        <f>IFERROR(VLOOKUP(VLOOKUP(A363,PROGRAMAS!$A$4:$G$103,7,FALSE()),PRECIOS_TEJEDURIA!$A$4:$B$22,2,FALSE()),0)</f>
        <v>0</v>
      </c>
      <c r="K363" s="49"/>
      <c r="L363" s="50"/>
      <c r="M363" s="51">
        <f t="shared" si="1"/>
        <v>0</v>
      </c>
      <c r="N363" s="49"/>
      <c r="O363" s="49"/>
      <c r="P363" s="49"/>
      <c r="Q363" s="52"/>
      <c r="R363" s="53"/>
      <c r="S363" s="53"/>
      <c r="T363" s="54"/>
      <c r="U363" s="19">
        <f t="shared" si="2"/>
        <v>0</v>
      </c>
      <c r="V363" s="20">
        <f t="shared" si="3"/>
        <v>0</v>
      </c>
      <c r="W363" s="55">
        <f t="array" ref="W363">IFERROR(INDEX(PRECIOS_TINTORERIA!$B$4:$U$15,MATCH(D363,PRECIOS_TINTORERIA!$A$4:$A$15,0),MATCH(VLOOKUP(A363,PROGRAMAS!$A$4:$G$103,7,FALSE()),PRECIOS_TINTORERIA!$B$3:$U$3,0)),0)</f>
        <v>0</v>
      </c>
      <c r="X363" s="56"/>
      <c r="Y363" s="57"/>
      <c r="Z363" s="58">
        <f t="shared" si="4"/>
        <v>0</v>
      </c>
      <c r="AA363" s="56"/>
      <c r="AB363" s="56"/>
      <c r="AC363" s="56"/>
      <c r="AD363" s="23">
        <f>IFERROR((SUMIFS(COMPRAS_HILO!$H$4:$H$203,COMPRAS_HILO!$B$4:$B$203,A363))*F363/SUMIFS($F$4:$F$503,$A$4:$A$503,A363),0)</f>
        <v>0</v>
      </c>
      <c r="AE363" s="23">
        <f t="shared" si="5"/>
        <v>0</v>
      </c>
      <c r="AF363" s="23">
        <f t="shared" si="6"/>
        <v>0</v>
      </c>
      <c r="AG363" s="25">
        <f t="shared" si="7"/>
        <v>0</v>
      </c>
      <c r="AH363" s="25">
        <f t="shared" si="8"/>
        <v>0</v>
      </c>
      <c r="AI363" s="59"/>
    </row>
    <row r="364" ht="15.75" customHeight="1">
      <c r="A364" s="40"/>
      <c r="B364" s="33"/>
      <c r="C364" s="45" t="str">
        <f>IFERROR(VLOOKUP(B364,COLORES!$A$4:$B$52,2,FALSE()),"")</f>
        <v/>
      </c>
      <c r="D364" s="33"/>
      <c r="E364" s="46"/>
      <c r="F364" s="34"/>
      <c r="G364" s="33"/>
      <c r="H364" s="47"/>
      <c r="I364" s="47"/>
      <c r="J364" s="48">
        <f>IFERROR(VLOOKUP(VLOOKUP(A364,PROGRAMAS!$A$4:$G$103,7,FALSE()),PRECIOS_TEJEDURIA!$A$4:$B$22,2,FALSE()),0)</f>
        <v>0</v>
      </c>
      <c r="K364" s="49"/>
      <c r="L364" s="50"/>
      <c r="M364" s="51">
        <f t="shared" si="1"/>
        <v>0</v>
      </c>
      <c r="N364" s="49"/>
      <c r="O364" s="49"/>
      <c r="P364" s="49"/>
      <c r="Q364" s="52"/>
      <c r="R364" s="53"/>
      <c r="S364" s="53"/>
      <c r="T364" s="54"/>
      <c r="U364" s="19">
        <f t="shared" si="2"/>
        <v>0</v>
      </c>
      <c r="V364" s="20">
        <f t="shared" si="3"/>
        <v>0</v>
      </c>
      <c r="W364" s="55">
        <f t="array" ref="W364">IFERROR(INDEX(PRECIOS_TINTORERIA!$B$4:$U$15,MATCH(D364,PRECIOS_TINTORERIA!$A$4:$A$15,0),MATCH(VLOOKUP(A364,PROGRAMAS!$A$4:$G$103,7,FALSE()),PRECIOS_TINTORERIA!$B$3:$U$3,0)),0)</f>
        <v>0</v>
      </c>
      <c r="X364" s="56"/>
      <c r="Y364" s="57"/>
      <c r="Z364" s="58">
        <f t="shared" si="4"/>
        <v>0</v>
      </c>
      <c r="AA364" s="56"/>
      <c r="AB364" s="56"/>
      <c r="AC364" s="56"/>
      <c r="AD364" s="23">
        <f>IFERROR((SUMIFS(COMPRAS_HILO!$H$4:$H$203,COMPRAS_HILO!$B$4:$B$203,A364))*F364/SUMIFS($F$4:$F$503,$A$4:$A$503,A364),0)</f>
        <v>0</v>
      </c>
      <c r="AE364" s="23">
        <f t="shared" si="5"/>
        <v>0</v>
      </c>
      <c r="AF364" s="23">
        <f t="shared" si="6"/>
        <v>0</v>
      </c>
      <c r="AG364" s="25">
        <f t="shared" si="7"/>
        <v>0</v>
      </c>
      <c r="AH364" s="25">
        <f t="shared" si="8"/>
        <v>0</v>
      </c>
      <c r="AI364" s="59"/>
    </row>
    <row r="365" ht="15.75" customHeight="1">
      <c r="A365" s="40"/>
      <c r="B365" s="33"/>
      <c r="C365" s="45" t="str">
        <f>IFERROR(VLOOKUP(B365,COLORES!$A$4:$B$52,2,FALSE()),"")</f>
        <v/>
      </c>
      <c r="D365" s="33"/>
      <c r="E365" s="46"/>
      <c r="F365" s="34"/>
      <c r="G365" s="33"/>
      <c r="H365" s="47"/>
      <c r="I365" s="47"/>
      <c r="J365" s="48">
        <f>IFERROR(VLOOKUP(VLOOKUP(A365,PROGRAMAS!$A$4:$G$103,7,FALSE()),PRECIOS_TEJEDURIA!$A$4:$B$22,2,FALSE()),0)</f>
        <v>0</v>
      </c>
      <c r="K365" s="49"/>
      <c r="L365" s="50"/>
      <c r="M365" s="51">
        <f t="shared" si="1"/>
        <v>0</v>
      </c>
      <c r="N365" s="49"/>
      <c r="O365" s="49"/>
      <c r="P365" s="49"/>
      <c r="Q365" s="52"/>
      <c r="R365" s="53"/>
      <c r="S365" s="53"/>
      <c r="T365" s="54"/>
      <c r="U365" s="19">
        <f t="shared" si="2"/>
        <v>0</v>
      </c>
      <c r="V365" s="20">
        <f t="shared" si="3"/>
        <v>0</v>
      </c>
      <c r="W365" s="55">
        <f t="array" ref="W365">IFERROR(INDEX(PRECIOS_TINTORERIA!$B$4:$U$15,MATCH(D365,PRECIOS_TINTORERIA!$A$4:$A$15,0),MATCH(VLOOKUP(A365,PROGRAMAS!$A$4:$G$103,7,FALSE()),PRECIOS_TINTORERIA!$B$3:$U$3,0)),0)</f>
        <v>0</v>
      </c>
      <c r="X365" s="56"/>
      <c r="Y365" s="57"/>
      <c r="Z365" s="58">
        <f t="shared" si="4"/>
        <v>0</v>
      </c>
      <c r="AA365" s="56"/>
      <c r="AB365" s="56"/>
      <c r="AC365" s="56"/>
      <c r="AD365" s="23">
        <f>IFERROR((SUMIFS(COMPRAS_HILO!$H$4:$H$203,COMPRAS_HILO!$B$4:$B$203,A365))*F365/SUMIFS($F$4:$F$503,$A$4:$A$503,A365),0)</f>
        <v>0</v>
      </c>
      <c r="AE365" s="23">
        <f t="shared" si="5"/>
        <v>0</v>
      </c>
      <c r="AF365" s="23">
        <f t="shared" si="6"/>
        <v>0</v>
      </c>
      <c r="AG365" s="25">
        <f t="shared" si="7"/>
        <v>0</v>
      </c>
      <c r="AH365" s="25">
        <f t="shared" si="8"/>
        <v>0</v>
      </c>
      <c r="AI365" s="59"/>
    </row>
    <row r="366" ht="15.75" customHeight="1">
      <c r="A366" s="40"/>
      <c r="B366" s="33"/>
      <c r="C366" s="45" t="str">
        <f>IFERROR(VLOOKUP(B366,COLORES!$A$4:$B$52,2,FALSE()),"")</f>
        <v/>
      </c>
      <c r="D366" s="33"/>
      <c r="E366" s="46"/>
      <c r="F366" s="34"/>
      <c r="G366" s="33"/>
      <c r="H366" s="47"/>
      <c r="I366" s="47"/>
      <c r="J366" s="48">
        <f>IFERROR(VLOOKUP(VLOOKUP(A366,PROGRAMAS!$A$4:$G$103,7,FALSE()),PRECIOS_TEJEDURIA!$A$4:$B$22,2,FALSE()),0)</f>
        <v>0</v>
      </c>
      <c r="K366" s="49"/>
      <c r="L366" s="50"/>
      <c r="M366" s="51">
        <f t="shared" si="1"/>
        <v>0</v>
      </c>
      <c r="N366" s="49"/>
      <c r="O366" s="49"/>
      <c r="P366" s="49"/>
      <c r="Q366" s="52"/>
      <c r="R366" s="53"/>
      <c r="S366" s="53"/>
      <c r="T366" s="54"/>
      <c r="U366" s="19">
        <f t="shared" si="2"/>
        <v>0</v>
      </c>
      <c r="V366" s="20">
        <f t="shared" si="3"/>
        <v>0</v>
      </c>
      <c r="W366" s="55">
        <f t="array" ref="W366">IFERROR(INDEX(PRECIOS_TINTORERIA!$B$4:$U$15,MATCH(D366,PRECIOS_TINTORERIA!$A$4:$A$15,0),MATCH(VLOOKUP(A366,PROGRAMAS!$A$4:$G$103,7,FALSE()),PRECIOS_TINTORERIA!$B$3:$U$3,0)),0)</f>
        <v>0</v>
      </c>
      <c r="X366" s="56"/>
      <c r="Y366" s="57"/>
      <c r="Z366" s="58">
        <f t="shared" si="4"/>
        <v>0</v>
      </c>
      <c r="AA366" s="56"/>
      <c r="AB366" s="56"/>
      <c r="AC366" s="56"/>
      <c r="AD366" s="23">
        <f>IFERROR((SUMIFS(COMPRAS_HILO!$H$4:$H$203,COMPRAS_HILO!$B$4:$B$203,A366))*F366/SUMIFS($F$4:$F$503,$A$4:$A$503,A366),0)</f>
        <v>0</v>
      </c>
      <c r="AE366" s="23">
        <f t="shared" si="5"/>
        <v>0</v>
      </c>
      <c r="AF366" s="23">
        <f t="shared" si="6"/>
        <v>0</v>
      </c>
      <c r="AG366" s="25">
        <f t="shared" si="7"/>
        <v>0</v>
      </c>
      <c r="AH366" s="25">
        <f t="shared" si="8"/>
        <v>0</v>
      </c>
      <c r="AI366" s="59"/>
    </row>
    <row r="367" ht="15.75" customHeight="1">
      <c r="A367" s="40"/>
      <c r="B367" s="33"/>
      <c r="C367" s="45" t="str">
        <f>IFERROR(VLOOKUP(B367,COLORES!$A$4:$B$52,2,FALSE()),"")</f>
        <v/>
      </c>
      <c r="D367" s="33"/>
      <c r="E367" s="46"/>
      <c r="F367" s="34"/>
      <c r="G367" s="33"/>
      <c r="H367" s="47"/>
      <c r="I367" s="47"/>
      <c r="J367" s="48">
        <f>IFERROR(VLOOKUP(VLOOKUP(A367,PROGRAMAS!$A$4:$G$103,7,FALSE()),PRECIOS_TEJEDURIA!$A$4:$B$22,2,FALSE()),0)</f>
        <v>0</v>
      </c>
      <c r="K367" s="49"/>
      <c r="L367" s="50"/>
      <c r="M367" s="51">
        <f t="shared" si="1"/>
        <v>0</v>
      </c>
      <c r="N367" s="49"/>
      <c r="O367" s="49"/>
      <c r="P367" s="49"/>
      <c r="Q367" s="52"/>
      <c r="R367" s="53"/>
      <c r="S367" s="53"/>
      <c r="T367" s="54"/>
      <c r="U367" s="19">
        <f t="shared" si="2"/>
        <v>0</v>
      </c>
      <c r="V367" s="20">
        <f t="shared" si="3"/>
        <v>0</v>
      </c>
      <c r="W367" s="55">
        <f t="array" ref="W367">IFERROR(INDEX(PRECIOS_TINTORERIA!$B$4:$U$15,MATCH(D367,PRECIOS_TINTORERIA!$A$4:$A$15,0),MATCH(VLOOKUP(A367,PROGRAMAS!$A$4:$G$103,7,FALSE()),PRECIOS_TINTORERIA!$B$3:$U$3,0)),0)</f>
        <v>0</v>
      </c>
      <c r="X367" s="56"/>
      <c r="Y367" s="57"/>
      <c r="Z367" s="58">
        <f t="shared" si="4"/>
        <v>0</v>
      </c>
      <c r="AA367" s="56"/>
      <c r="AB367" s="56"/>
      <c r="AC367" s="56"/>
      <c r="AD367" s="23">
        <f>IFERROR((SUMIFS(COMPRAS_HILO!$H$4:$H$203,COMPRAS_HILO!$B$4:$B$203,A367))*F367/SUMIFS($F$4:$F$503,$A$4:$A$503,A367),0)</f>
        <v>0</v>
      </c>
      <c r="AE367" s="23">
        <f t="shared" si="5"/>
        <v>0</v>
      </c>
      <c r="AF367" s="23">
        <f t="shared" si="6"/>
        <v>0</v>
      </c>
      <c r="AG367" s="25">
        <f t="shared" si="7"/>
        <v>0</v>
      </c>
      <c r="AH367" s="25">
        <f t="shared" si="8"/>
        <v>0</v>
      </c>
      <c r="AI367" s="59"/>
    </row>
    <row r="368" ht="15.75" customHeight="1">
      <c r="A368" s="40"/>
      <c r="B368" s="33"/>
      <c r="C368" s="45" t="str">
        <f>IFERROR(VLOOKUP(B368,COLORES!$A$4:$B$52,2,FALSE()),"")</f>
        <v/>
      </c>
      <c r="D368" s="33"/>
      <c r="E368" s="46"/>
      <c r="F368" s="34"/>
      <c r="G368" s="33"/>
      <c r="H368" s="47"/>
      <c r="I368" s="47"/>
      <c r="J368" s="48">
        <f>IFERROR(VLOOKUP(VLOOKUP(A368,PROGRAMAS!$A$4:$G$103,7,FALSE()),PRECIOS_TEJEDURIA!$A$4:$B$22,2,FALSE()),0)</f>
        <v>0</v>
      </c>
      <c r="K368" s="49"/>
      <c r="L368" s="50"/>
      <c r="M368" s="51">
        <f t="shared" si="1"/>
        <v>0</v>
      </c>
      <c r="N368" s="49"/>
      <c r="O368" s="49"/>
      <c r="P368" s="49"/>
      <c r="Q368" s="52"/>
      <c r="R368" s="53"/>
      <c r="S368" s="53"/>
      <c r="T368" s="54"/>
      <c r="U368" s="19">
        <f t="shared" si="2"/>
        <v>0</v>
      </c>
      <c r="V368" s="20">
        <f t="shared" si="3"/>
        <v>0</v>
      </c>
      <c r="W368" s="55">
        <f t="array" ref="W368">IFERROR(INDEX(PRECIOS_TINTORERIA!$B$4:$U$15,MATCH(D368,PRECIOS_TINTORERIA!$A$4:$A$15,0),MATCH(VLOOKUP(A368,PROGRAMAS!$A$4:$G$103,7,FALSE()),PRECIOS_TINTORERIA!$B$3:$U$3,0)),0)</f>
        <v>0</v>
      </c>
      <c r="X368" s="56"/>
      <c r="Y368" s="57"/>
      <c r="Z368" s="58">
        <f t="shared" si="4"/>
        <v>0</v>
      </c>
      <c r="AA368" s="56"/>
      <c r="AB368" s="56"/>
      <c r="AC368" s="56"/>
      <c r="AD368" s="23">
        <f>IFERROR((SUMIFS(COMPRAS_HILO!$H$4:$H$203,COMPRAS_HILO!$B$4:$B$203,A368))*F368/SUMIFS($F$4:$F$503,$A$4:$A$503,A368),0)</f>
        <v>0</v>
      </c>
      <c r="AE368" s="23">
        <f t="shared" si="5"/>
        <v>0</v>
      </c>
      <c r="AF368" s="23">
        <f t="shared" si="6"/>
        <v>0</v>
      </c>
      <c r="AG368" s="25">
        <f t="shared" si="7"/>
        <v>0</v>
      </c>
      <c r="AH368" s="25">
        <f t="shared" si="8"/>
        <v>0</v>
      </c>
      <c r="AI368" s="59"/>
    </row>
    <row r="369" ht="15.75" customHeight="1">
      <c r="A369" s="40"/>
      <c r="B369" s="33"/>
      <c r="C369" s="45" t="str">
        <f>IFERROR(VLOOKUP(B369,COLORES!$A$4:$B$52,2,FALSE()),"")</f>
        <v/>
      </c>
      <c r="D369" s="33"/>
      <c r="E369" s="46"/>
      <c r="F369" s="34"/>
      <c r="G369" s="33"/>
      <c r="H369" s="47"/>
      <c r="I369" s="47"/>
      <c r="J369" s="48">
        <f>IFERROR(VLOOKUP(VLOOKUP(A369,PROGRAMAS!$A$4:$G$103,7,FALSE()),PRECIOS_TEJEDURIA!$A$4:$B$22,2,FALSE()),0)</f>
        <v>0</v>
      </c>
      <c r="K369" s="49"/>
      <c r="L369" s="50"/>
      <c r="M369" s="51">
        <f t="shared" si="1"/>
        <v>0</v>
      </c>
      <c r="N369" s="49"/>
      <c r="O369" s="49"/>
      <c r="P369" s="49"/>
      <c r="Q369" s="52"/>
      <c r="R369" s="53"/>
      <c r="S369" s="53"/>
      <c r="T369" s="54"/>
      <c r="U369" s="19">
        <f t="shared" si="2"/>
        <v>0</v>
      </c>
      <c r="V369" s="20">
        <f t="shared" si="3"/>
        <v>0</v>
      </c>
      <c r="W369" s="55">
        <f t="array" ref="W369">IFERROR(INDEX(PRECIOS_TINTORERIA!$B$4:$U$15,MATCH(D369,PRECIOS_TINTORERIA!$A$4:$A$15,0),MATCH(VLOOKUP(A369,PROGRAMAS!$A$4:$G$103,7,FALSE()),PRECIOS_TINTORERIA!$B$3:$U$3,0)),0)</f>
        <v>0</v>
      </c>
      <c r="X369" s="56"/>
      <c r="Y369" s="57"/>
      <c r="Z369" s="58">
        <f t="shared" si="4"/>
        <v>0</v>
      </c>
      <c r="AA369" s="56"/>
      <c r="AB369" s="56"/>
      <c r="AC369" s="56"/>
      <c r="AD369" s="23">
        <f>IFERROR((SUMIFS(COMPRAS_HILO!$H$4:$H$203,COMPRAS_HILO!$B$4:$B$203,A369))*F369/SUMIFS($F$4:$F$503,$A$4:$A$503,A369),0)</f>
        <v>0</v>
      </c>
      <c r="AE369" s="23">
        <f t="shared" si="5"/>
        <v>0</v>
      </c>
      <c r="AF369" s="23">
        <f t="shared" si="6"/>
        <v>0</v>
      </c>
      <c r="AG369" s="25">
        <f t="shared" si="7"/>
        <v>0</v>
      </c>
      <c r="AH369" s="25">
        <f t="shared" si="8"/>
        <v>0</v>
      </c>
      <c r="AI369" s="59"/>
    </row>
    <row r="370" ht="15.75" customHeight="1">
      <c r="A370" s="40"/>
      <c r="B370" s="33"/>
      <c r="C370" s="45" t="str">
        <f>IFERROR(VLOOKUP(B370,COLORES!$A$4:$B$52,2,FALSE()),"")</f>
        <v/>
      </c>
      <c r="D370" s="33"/>
      <c r="E370" s="46"/>
      <c r="F370" s="34"/>
      <c r="G370" s="33"/>
      <c r="H370" s="47"/>
      <c r="I370" s="47"/>
      <c r="J370" s="48">
        <f>IFERROR(VLOOKUP(VLOOKUP(A370,PROGRAMAS!$A$4:$G$103,7,FALSE()),PRECIOS_TEJEDURIA!$A$4:$B$22,2,FALSE()),0)</f>
        <v>0</v>
      </c>
      <c r="K370" s="49"/>
      <c r="L370" s="50"/>
      <c r="M370" s="51">
        <f t="shared" si="1"/>
        <v>0</v>
      </c>
      <c r="N370" s="49"/>
      <c r="O370" s="49"/>
      <c r="P370" s="49"/>
      <c r="Q370" s="52"/>
      <c r="R370" s="53"/>
      <c r="S370" s="53"/>
      <c r="T370" s="54"/>
      <c r="U370" s="19">
        <f t="shared" si="2"/>
        <v>0</v>
      </c>
      <c r="V370" s="20">
        <f t="shared" si="3"/>
        <v>0</v>
      </c>
      <c r="W370" s="55">
        <f t="array" ref="W370">IFERROR(INDEX(PRECIOS_TINTORERIA!$B$4:$U$15,MATCH(D370,PRECIOS_TINTORERIA!$A$4:$A$15,0),MATCH(VLOOKUP(A370,PROGRAMAS!$A$4:$G$103,7,FALSE()),PRECIOS_TINTORERIA!$B$3:$U$3,0)),0)</f>
        <v>0</v>
      </c>
      <c r="X370" s="56"/>
      <c r="Y370" s="57"/>
      <c r="Z370" s="58">
        <f t="shared" si="4"/>
        <v>0</v>
      </c>
      <c r="AA370" s="56"/>
      <c r="AB370" s="56"/>
      <c r="AC370" s="56"/>
      <c r="AD370" s="23">
        <f>IFERROR((SUMIFS(COMPRAS_HILO!$H$4:$H$203,COMPRAS_HILO!$B$4:$B$203,A370))*F370/SUMIFS($F$4:$F$503,$A$4:$A$503,A370),0)</f>
        <v>0</v>
      </c>
      <c r="AE370" s="23">
        <f t="shared" si="5"/>
        <v>0</v>
      </c>
      <c r="AF370" s="23">
        <f t="shared" si="6"/>
        <v>0</v>
      </c>
      <c r="AG370" s="25">
        <f t="shared" si="7"/>
        <v>0</v>
      </c>
      <c r="AH370" s="25">
        <f t="shared" si="8"/>
        <v>0</v>
      </c>
      <c r="AI370" s="59"/>
    </row>
    <row r="371" ht="15.75" customHeight="1">
      <c r="A371" s="40"/>
      <c r="B371" s="33"/>
      <c r="C371" s="45" t="str">
        <f>IFERROR(VLOOKUP(B371,COLORES!$A$4:$B$52,2,FALSE()),"")</f>
        <v/>
      </c>
      <c r="D371" s="33"/>
      <c r="E371" s="46"/>
      <c r="F371" s="34"/>
      <c r="G371" s="33"/>
      <c r="H371" s="47"/>
      <c r="I371" s="47"/>
      <c r="J371" s="48">
        <f>IFERROR(VLOOKUP(VLOOKUP(A371,PROGRAMAS!$A$4:$G$103,7,FALSE()),PRECIOS_TEJEDURIA!$A$4:$B$22,2,FALSE()),0)</f>
        <v>0</v>
      </c>
      <c r="K371" s="49"/>
      <c r="L371" s="50"/>
      <c r="M371" s="51">
        <f t="shared" si="1"/>
        <v>0</v>
      </c>
      <c r="N371" s="49"/>
      <c r="O371" s="49"/>
      <c r="P371" s="49"/>
      <c r="Q371" s="52"/>
      <c r="R371" s="53"/>
      <c r="S371" s="53"/>
      <c r="T371" s="54"/>
      <c r="U371" s="19">
        <f t="shared" si="2"/>
        <v>0</v>
      </c>
      <c r="V371" s="20">
        <f t="shared" si="3"/>
        <v>0</v>
      </c>
      <c r="W371" s="55">
        <f t="array" ref="W371">IFERROR(INDEX(PRECIOS_TINTORERIA!$B$4:$U$15,MATCH(D371,PRECIOS_TINTORERIA!$A$4:$A$15,0),MATCH(VLOOKUP(A371,PROGRAMAS!$A$4:$G$103,7,FALSE()),PRECIOS_TINTORERIA!$B$3:$U$3,0)),0)</f>
        <v>0</v>
      </c>
      <c r="X371" s="56"/>
      <c r="Y371" s="57"/>
      <c r="Z371" s="58">
        <f t="shared" si="4"/>
        <v>0</v>
      </c>
      <c r="AA371" s="56"/>
      <c r="AB371" s="56"/>
      <c r="AC371" s="56"/>
      <c r="AD371" s="23">
        <f>IFERROR((SUMIFS(COMPRAS_HILO!$H$4:$H$203,COMPRAS_HILO!$B$4:$B$203,A371))*F371/SUMIFS($F$4:$F$503,$A$4:$A$503,A371),0)</f>
        <v>0</v>
      </c>
      <c r="AE371" s="23">
        <f t="shared" si="5"/>
        <v>0</v>
      </c>
      <c r="AF371" s="23">
        <f t="shared" si="6"/>
        <v>0</v>
      </c>
      <c r="AG371" s="25">
        <f t="shared" si="7"/>
        <v>0</v>
      </c>
      <c r="AH371" s="25">
        <f t="shared" si="8"/>
        <v>0</v>
      </c>
      <c r="AI371" s="59"/>
    </row>
    <row r="372" ht="15.75" customHeight="1">
      <c r="A372" s="40"/>
      <c r="B372" s="33"/>
      <c r="C372" s="45" t="str">
        <f>IFERROR(VLOOKUP(B372,COLORES!$A$4:$B$52,2,FALSE()),"")</f>
        <v/>
      </c>
      <c r="D372" s="33"/>
      <c r="E372" s="46"/>
      <c r="F372" s="34"/>
      <c r="G372" s="33"/>
      <c r="H372" s="47"/>
      <c r="I372" s="47"/>
      <c r="J372" s="48">
        <f>IFERROR(VLOOKUP(VLOOKUP(A372,PROGRAMAS!$A$4:$G$103,7,FALSE()),PRECIOS_TEJEDURIA!$A$4:$B$22,2,FALSE()),0)</f>
        <v>0</v>
      </c>
      <c r="K372" s="49"/>
      <c r="L372" s="50"/>
      <c r="M372" s="51">
        <f t="shared" si="1"/>
        <v>0</v>
      </c>
      <c r="N372" s="49"/>
      <c r="O372" s="49"/>
      <c r="P372" s="49"/>
      <c r="Q372" s="52"/>
      <c r="R372" s="53"/>
      <c r="S372" s="53"/>
      <c r="T372" s="54"/>
      <c r="U372" s="19">
        <f t="shared" si="2"/>
        <v>0</v>
      </c>
      <c r="V372" s="20">
        <f t="shared" si="3"/>
        <v>0</v>
      </c>
      <c r="W372" s="55">
        <f t="array" ref="W372">IFERROR(INDEX(PRECIOS_TINTORERIA!$B$4:$U$15,MATCH(D372,PRECIOS_TINTORERIA!$A$4:$A$15,0),MATCH(VLOOKUP(A372,PROGRAMAS!$A$4:$G$103,7,FALSE()),PRECIOS_TINTORERIA!$B$3:$U$3,0)),0)</f>
        <v>0</v>
      </c>
      <c r="X372" s="56"/>
      <c r="Y372" s="57"/>
      <c r="Z372" s="58">
        <f t="shared" si="4"/>
        <v>0</v>
      </c>
      <c r="AA372" s="56"/>
      <c r="AB372" s="56"/>
      <c r="AC372" s="56"/>
      <c r="AD372" s="23">
        <f>IFERROR((SUMIFS(COMPRAS_HILO!$H$4:$H$203,COMPRAS_HILO!$B$4:$B$203,A372))*F372/SUMIFS($F$4:$F$503,$A$4:$A$503,A372),0)</f>
        <v>0</v>
      </c>
      <c r="AE372" s="23">
        <f t="shared" si="5"/>
        <v>0</v>
      </c>
      <c r="AF372" s="23">
        <f t="shared" si="6"/>
        <v>0</v>
      </c>
      <c r="AG372" s="25">
        <f t="shared" si="7"/>
        <v>0</v>
      </c>
      <c r="AH372" s="25">
        <f t="shared" si="8"/>
        <v>0</v>
      </c>
      <c r="AI372" s="59"/>
    </row>
    <row r="373" ht="15.75" customHeight="1">
      <c r="A373" s="40"/>
      <c r="B373" s="33"/>
      <c r="C373" s="45" t="str">
        <f>IFERROR(VLOOKUP(B373,COLORES!$A$4:$B$52,2,FALSE()),"")</f>
        <v/>
      </c>
      <c r="D373" s="33"/>
      <c r="E373" s="46"/>
      <c r="F373" s="34"/>
      <c r="G373" s="33"/>
      <c r="H373" s="47"/>
      <c r="I373" s="47"/>
      <c r="J373" s="48">
        <f>IFERROR(VLOOKUP(VLOOKUP(A373,PROGRAMAS!$A$4:$G$103,7,FALSE()),PRECIOS_TEJEDURIA!$A$4:$B$22,2,FALSE()),0)</f>
        <v>0</v>
      </c>
      <c r="K373" s="49"/>
      <c r="L373" s="50"/>
      <c r="M373" s="51">
        <f t="shared" si="1"/>
        <v>0</v>
      </c>
      <c r="N373" s="49"/>
      <c r="O373" s="49"/>
      <c r="P373" s="49"/>
      <c r="Q373" s="52"/>
      <c r="R373" s="53"/>
      <c r="S373" s="53"/>
      <c r="T373" s="54"/>
      <c r="U373" s="19">
        <f t="shared" si="2"/>
        <v>0</v>
      </c>
      <c r="V373" s="20">
        <f t="shared" si="3"/>
        <v>0</v>
      </c>
      <c r="W373" s="55">
        <f t="array" ref="W373">IFERROR(INDEX(PRECIOS_TINTORERIA!$B$4:$U$15,MATCH(D373,PRECIOS_TINTORERIA!$A$4:$A$15,0),MATCH(VLOOKUP(A373,PROGRAMAS!$A$4:$G$103,7,FALSE()),PRECIOS_TINTORERIA!$B$3:$U$3,0)),0)</f>
        <v>0</v>
      </c>
      <c r="X373" s="56"/>
      <c r="Y373" s="57"/>
      <c r="Z373" s="58">
        <f t="shared" si="4"/>
        <v>0</v>
      </c>
      <c r="AA373" s="56"/>
      <c r="AB373" s="56"/>
      <c r="AC373" s="56"/>
      <c r="AD373" s="23">
        <f>IFERROR((SUMIFS(COMPRAS_HILO!$H$4:$H$203,COMPRAS_HILO!$B$4:$B$203,A373))*F373/SUMIFS($F$4:$F$503,$A$4:$A$503,A373),0)</f>
        <v>0</v>
      </c>
      <c r="AE373" s="23">
        <f t="shared" si="5"/>
        <v>0</v>
      </c>
      <c r="AF373" s="23">
        <f t="shared" si="6"/>
        <v>0</v>
      </c>
      <c r="AG373" s="25">
        <f t="shared" si="7"/>
        <v>0</v>
      </c>
      <c r="AH373" s="25">
        <f t="shared" si="8"/>
        <v>0</v>
      </c>
      <c r="AI373" s="59"/>
    </row>
    <row r="374" ht="15.75" customHeight="1">
      <c r="A374" s="40"/>
      <c r="B374" s="33"/>
      <c r="C374" s="45" t="str">
        <f>IFERROR(VLOOKUP(B374,COLORES!$A$4:$B$52,2,FALSE()),"")</f>
        <v/>
      </c>
      <c r="D374" s="33"/>
      <c r="E374" s="46"/>
      <c r="F374" s="34"/>
      <c r="G374" s="33"/>
      <c r="H374" s="47"/>
      <c r="I374" s="47"/>
      <c r="J374" s="48">
        <f>IFERROR(VLOOKUP(VLOOKUP(A374,PROGRAMAS!$A$4:$G$103,7,FALSE()),PRECIOS_TEJEDURIA!$A$4:$B$22,2,FALSE()),0)</f>
        <v>0</v>
      </c>
      <c r="K374" s="49"/>
      <c r="L374" s="50"/>
      <c r="M374" s="51">
        <f t="shared" si="1"/>
        <v>0</v>
      </c>
      <c r="N374" s="49"/>
      <c r="O374" s="49"/>
      <c r="P374" s="49"/>
      <c r="Q374" s="52"/>
      <c r="R374" s="53"/>
      <c r="S374" s="53"/>
      <c r="T374" s="54"/>
      <c r="U374" s="19">
        <f t="shared" si="2"/>
        <v>0</v>
      </c>
      <c r="V374" s="20">
        <f t="shared" si="3"/>
        <v>0</v>
      </c>
      <c r="W374" s="55">
        <f t="array" ref="W374">IFERROR(INDEX(PRECIOS_TINTORERIA!$B$4:$U$15,MATCH(D374,PRECIOS_TINTORERIA!$A$4:$A$15,0),MATCH(VLOOKUP(A374,PROGRAMAS!$A$4:$G$103,7,FALSE()),PRECIOS_TINTORERIA!$B$3:$U$3,0)),0)</f>
        <v>0</v>
      </c>
      <c r="X374" s="56"/>
      <c r="Y374" s="57"/>
      <c r="Z374" s="58">
        <f t="shared" si="4"/>
        <v>0</v>
      </c>
      <c r="AA374" s="56"/>
      <c r="AB374" s="56"/>
      <c r="AC374" s="56"/>
      <c r="AD374" s="23">
        <f>IFERROR((SUMIFS(COMPRAS_HILO!$H$4:$H$203,COMPRAS_HILO!$B$4:$B$203,A374))*F374/SUMIFS($F$4:$F$503,$A$4:$A$503,A374),0)</f>
        <v>0</v>
      </c>
      <c r="AE374" s="23">
        <f t="shared" si="5"/>
        <v>0</v>
      </c>
      <c r="AF374" s="23">
        <f t="shared" si="6"/>
        <v>0</v>
      </c>
      <c r="AG374" s="25">
        <f t="shared" si="7"/>
        <v>0</v>
      </c>
      <c r="AH374" s="25">
        <f t="shared" si="8"/>
        <v>0</v>
      </c>
      <c r="AI374" s="59"/>
    </row>
    <row r="375" ht="15.75" customHeight="1">
      <c r="A375" s="40"/>
      <c r="B375" s="33"/>
      <c r="C375" s="45" t="str">
        <f>IFERROR(VLOOKUP(B375,COLORES!$A$4:$B$52,2,FALSE()),"")</f>
        <v/>
      </c>
      <c r="D375" s="33"/>
      <c r="E375" s="46"/>
      <c r="F375" s="34"/>
      <c r="G375" s="33"/>
      <c r="H375" s="47"/>
      <c r="I375" s="47"/>
      <c r="J375" s="48">
        <f>IFERROR(VLOOKUP(VLOOKUP(A375,PROGRAMAS!$A$4:$G$103,7,FALSE()),PRECIOS_TEJEDURIA!$A$4:$B$22,2,FALSE()),0)</f>
        <v>0</v>
      </c>
      <c r="K375" s="49"/>
      <c r="L375" s="50"/>
      <c r="M375" s="51">
        <f t="shared" si="1"/>
        <v>0</v>
      </c>
      <c r="N375" s="49"/>
      <c r="O375" s="49"/>
      <c r="P375" s="49"/>
      <c r="Q375" s="52"/>
      <c r="R375" s="53"/>
      <c r="S375" s="53"/>
      <c r="T375" s="54"/>
      <c r="U375" s="19">
        <f t="shared" si="2"/>
        <v>0</v>
      </c>
      <c r="V375" s="20">
        <f t="shared" si="3"/>
        <v>0</v>
      </c>
      <c r="W375" s="55">
        <f t="array" ref="W375">IFERROR(INDEX(PRECIOS_TINTORERIA!$B$4:$U$15,MATCH(D375,PRECIOS_TINTORERIA!$A$4:$A$15,0),MATCH(VLOOKUP(A375,PROGRAMAS!$A$4:$G$103,7,FALSE()),PRECIOS_TINTORERIA!$B$3:$U$3,0)),0)</f>
        <v>0</v>
      </c>
      <c r="X375" s="56"/>
      <c r="Y375" s="57"/>
      <c r="Z375" s="58">
        <f t="shared" si="4"/>
        <v>0</v>
      </c>
      <c r="AA375" s="56"/>
      <c r="AB375" s="56"/>
      <c r="AC375" s="56"/>
      <c r="AD375" s="23">
        <f>IFERROR((SUMIFS(COMPRAS_HILO!$H$4:$H$203,COMPRAS_HILO!$B$4:$B$203,A375))*F375/SUMIFS($F$4:$F$503,$A$4:$A$503,A375),0)</f>
        <v>0</v>
      </c>
      <c r="AE375" s="23">
        <f t="shared" si="5"/>
        <v>0</v>
      </c>
      <c r="AF375" s="23">
        <f t="shared" si="6"/>
        <v>0</v>
      </c>
      <c r="AG375" s="25">
        <f t="shared" si="7"/>
        <v>0</v>
      </c>
      <c r="AH375" s="25">
        <f t="shared" si="8"/>
        <v>0</v>
      </c>
      <c r="AI375" s="59"/>
    </row>
    <row r="376" ht="15.75" customHeight="1">
      <c r="A376" s="40"/>
      <c r="B376" s="33"/>
      <c r="C376" s="45" t="str">
        <f>IFERROR(VLOOKUP(B376,COLORES!$A$4:$B$52,2,FALSE()),"")</f>
        <v/>
      </c>
      <c r="D376" s="33"/>
      <c r="E376" s="46"/>
      <c r="F376" s="34"/>
      <c r="G376" s="33"/>
      <c r="H376" s="47"/>
      <c r="I376" s="47"/>
      <c r="J376" s="48">
        <f>IFERROR(VLOOKUP(VLOOKUP(A376,PROGRAMAS!$A$4:$G$103,7,FALSE()),PRECIOS_TEJEDURIA!$A$4:$B$22,2,FALSE()),0)</f>
        <v>0</v>
      </c>
      <c r="K376" s="49"/>
      <c r="L376" s="50"/>
      <c r="M376" s="51">
        <f t="shared" si="1"/>
        <v>0</v>
      </c>
      <c r="N376" s="49"/>
      <c r="O376" s="49"/>
      <c r="P376" s="49"/>
      <c r="Q376" s="52"/>
      <c r="R376" s="53"/>
      <c r="S376" s="53"/>
      <c r="T376" s="54"/>
      <c r="U376" s="19">
        <f t="shared" si="2"/>
        <v>0</v>
      </c>
      <c r="V376" s="20">
        <f t="shared" si="3"/>
        <v>0</v>
      </c>
      <c r="W376" s="55">
        <f t="array" ref="W376">IFERROR(INDEX(PRECIOS_TINTORERIA!$B$4:$U$15,MATCH(D376,PRECIOS_TINTORERIA!$A$4:$A$15,0),MATCH(VLOOKUP(A376,PROGRAMAS!$A$4:$G$103,7,FALSE()),PRECIOS_TINTORERIA!$B$3:$U$3,0)),0)</f>
        <v>0</v>
      </c>
      <c r="X376" s="56"/>
      <c r="Y376" s="57"/>
      <c r="Z376" s="58">
        <f t="shared" si="4"/>
        <v>0</v>
      </c>
      <c r="AA376" s="56"/>
      <c r="AB376" s="56"/>
      <c r="AC376" s="56"/>
      <c r="AD376" s="23">
        <f>IFERROR((SUMIFS(COMPRAS_HILO!$H$4:$H$203,COMPRAS_HILO!$B$4:$B$203,A376))*F376/SUMIFS($F$4:$F$503,$A$4:$A$503,A376),0)</f>
        <v>0</v>
      </c>
      <c r="AE376" s="23">
        <f t="shared" si="5"/>
        <v>0</v>
      </c>
      <c r="AF376" s="23">
        <f t="shared" si="6"/>
        <v>0</v>
      </c>
      <c r="AG376" s="25">
        <f t="shared" si="7"/>
        <v>0</v>
      </c>
      <c r="AH376" s="25">
        <f t="shared" si="8"/>
        <v>0</v>
      </c>
      <c r="AI376" s="59"/>
    </row>
    <row r="377" ht="15.75" customHeight="1">
      <c r="A377" s="40"/>
      <c r="B377" s="33"/>
      <c r="C377" s="45" t="str">
        <f>IFERROR(VLOOKUP(B377,COLORES!$A$4:$B$52,2,FALSE()),"")</f>
        <v/>
      </c>
      <c r="D377" s="33"/>
      <c r="E377" s="46"/>
      <c r="F377" s="34"/>
      <c r="G377" s="33"/>
      <c r="H377" s="47"/>
      <c r="I377" s="47"/>
      <c r="J377" s="48">
        <f>IFERROR(VLOOKUP(VLOOKUP(A377,PROGRAMAS!$A$4:$G$103,7,FALSE()),PRECIOS_TEJEDURIA!$A$4:$B$22,2,FALSE()),0)</f>
        <v>0</v>
      </c>
      <c r="K377" s="49"/>
      <c r="L377" s="50"/>
      <c r="M377" s="51">
        <f t="shared" si="1"/>
        <v>0</v>
      </c>
      <c r="N377" s="49"/>
      <c r="O377" s="49"/>
      <c r="P377" s="49"/>
      <c r="Q377" s="52"/>
      <c r="R377" s="53"/>
      <c r="S377" s="53"/>
      <c r="T377" s="54"/>
      <c r="U377" s="19">
        <f t="shared" si="2"/>
        <v>0</v>
      </c>
      <c r="V377" s="20">
        <f t="shared" si="3"/>
        <v>0</v>
      </c>
      <c r="W377" s="55">
        <f t="array" ref="W377">IFERROR(INDEX(PRECIOS_TINTORERIA!$B$4:$U$15,MATCH(D377,PRECIOS_TINTORERIA!$A$4:$A$15,0),MATCH(VLOOKUP(A377,PROGRAMAS!$A$4:$G$103,7,FALSE()),PRECIOS_TINTORERIA!$B$3:$U$3,0)),0)</f>
        <v>0</v>
      </c>
      <c r="X377" s="56"/>
      <c r="Y377" s="57"/>
      <c r="Z377" s="58">
        <f t="shared" si="4"/>
        <v>0</v>
      </c>
      <c r="AA377" s="56"/>
      <c r="AB377" s="56"/>
      <c r="AC377" s="56"/>
      <c r="AD377" s="23">
        <f>IFERROR((SUMIFS(COMPRAS_HILO!$H$4:$H$203,COMPRAS_HILO!$B$4:$B$203,A377))*F377/SUMIFS($F$4:$F$503,$A$4:$A$503,A377),0)</f>
        <v>0</v>
      </c>
      <c r="AE377" s="23">
        <f t="shared" si="5"/>
        <v>0</v>
      </c>
      <c r="AF377" s="23">
        <f t="shared" si="6"/>
        <v>0</v>
      </c>
      <c r="AG377" s="25">
        <f t="shared" si="7"/>
        <v>0</v>
      </c>
      <c r="AH377" s="25">
        <f t="shared" si="8"/>
        <v>0</v>
      </c>
      <c r="AI377" s="59"/>
    </row>
    <row r="378" ht="15.75" customHeight="1">
      <c r="A378" s="40"/>
      <c r="B378" s="33"/>
      <c r="C378" s="45" t="str">
        <f>IFERROR(VLOOKUP(B378,COLORES!$A$4:$B$52,2,FALSE()),"")</f>
        <v/>
      </c>
      <c r="D378" s="33"/>
      <c r="E378" s="46"/>
      <c r="F378" s="34"/>
      <c r="G378" s="33"/>
      <c r="H378" s="47"/>
      <c r="I378" s="47"/>
      <c r="J378" s="48">
        <f>IFERROR(VLOOKUP(VLOOKUP(A378,PROGRAMAS!$A$4:$G$103,7,FALSE()),PRECIOS_TEJEDURIA!$A$4:$B$22,2,FALSE()),0)</f>
        <v>0</v>
      </c>
      <c r="K378" s="49"/>
      <c r="L378" s="50"/>
      <c r="M378" s="51">
        <f t="shared" si="1"/>
        <v>0</v>
      </c>
      <c r="N378" s="49"/>
      <c r="O378" s="49"/>
      <c r="P378" s="49"/>
      <c r="Q378" s="52"/>
      <c r="R378" s="53"/>
      <c r="S378" s="53"/>
      <c r="T378" s="54"/>
      <c r="U378" s="19">
        <f t="shared" si="2"/>
        <v>0</v>
      </c>
      <c r="V378" s="20">
        <f t="shared" si="3"/>
        <v>0</v>
      </c>
      <c r="W378" s="55">
        <f t="array" ref="W378">IFERROR(INDEX(PRECIOS_TINTORERIA!$B$4:$U$15,MATCH(D378,PRECIOS_TINTORERIA!$A$4:$A$15,0),MATCH(VLOOKUP(A378,PROGRAMAS!$A$4:$G$103,7,FALSE()),PRECIOS_TINTORERIA!$B$3:$U$3,0)),0)</f>
        <v>0</v>
      </c>
      <c r="X378" s="56"/>
      <c r="Y378" s="57"/>
      <c r="Z378" s="58">
        <f t="shared" si="4"/>
        <v>0</v>
      </c>
      <c r="AA378" s="56"/>
      <c r="AB378" s="56"/>
      <c r="AC378" s="56"/>
      <c r="AD378" s="23">
        <f>IFERROR((SUMIFS(COMPRAS_HILO!$H$4:$H$203,COMPRAS_HILO!$B$4:$B$203,A378))*F378/SUMIFS($F$4:$F$503,$A$4:$A$503,A378),0)</f>
        <v>0</v>
      </c>
      <c r="AE378" s="23">
        <f t="shared" si="5"/>
        <v>0</v>
      </c>
      <c r="AF378" s="23">
        <f t="shared" si="6"/>
        <v>0</v>
      </c>
      <c r="AG378" s="25">
        <f t="shared" si="7"/>
        <v>0</v>
      </c>
      <c r="AH378" s="25">
        <f t="shared" si="8"/>
        <v>0</v>
      </c>
      <c r="AI378" s="59"/>
    </row>
    <row r="379" ht="15.75" customHeight="1">
      <c r="A379" s="40"/>
      <c r="B379" s="33"/>
      <c r="C379" s="45" t="str">
        <f>IFERROR(VLOOKUP(B379,COLORES!$A$4:$B$52,2,FALSE()),"")</f>
        <v/>
      </c>
      <c r="D379" s="33"/>
      <c r="E379" s="46"/>
      <c r="F379" s="34"/>
      <c r="G379" s="33"/>
      <c r="H379" s="47"/>
      <c r="I379" s="47"/>
      <c r="J379" s="48">
        <f>IFERROR(VLOOKUP(VLOOKUP(A379,PROGRAMAS!$A$4:$G$103,7,FALSE()),PRECIOS_TEJEDURIA!$A$4:$B$22,2,FALSE()),0)</f>
        <v>0</v>
      </c>
      <c r="K379" s="49"/>
      <c r="L379" s="50"/>
      <c r="M379" s="51">
        <f t="shared" si="1"/>
        <v>0</v>
      </c>
      <c r="N379" s="49"/>
      <c r="O379" s="49"/>
      <c r="P379" s="49"/>
      <c r="Q379" s="52"/>
      <c r="R379" s="53"/>
      <c r="S379" s="53"/>
      <c r="T379" s="54"/>
      <c r="U379" s="19">
        <f t="shared" si="2"/>
        <v>0</v>
      </c>
      <c r="V379" s="20">
        <f t="shared" si="3"/>
        <v>0</v>
      </c>
      <c r="W379" s="55">
        <f t="array" ref="W379">IFERROR(INDEX(PRECIOS_TINTORERIA!$B$4:$U$15,MATCH(D379,PRECIOS_TINTORERIA!$A$4:$A$15,0),MATCH(VLOOKUP(A379,PROGRAMAS!$A$4:$G$103,7,FALSE()),PRECIOS_TINTORERIA!$B$3:$U$3,0)),0)</f>
        <v>0</v>
      </c>
      <c r="X379" s="56"/>
      <c r="Y379" s="57"/>
      <c r="Z379" s="58">
        <f t="shared" si="4"/>
        <v>0</v>
      </c>
      <c r="AA379" s="56"/>
      <c r="AB379" s="56"/>
      <c r="AC379" s="56"/>
      <c r="AD379" s="23">
        <f>IFERROR((SUMIFS(COMPRAS_HILO!$H$4:$H$203,COMPRAS_HILO!$B$4:$B$203,A379))*F379/SUMIFS($F$4:$F$503,$A$4:$A$503,A379),0)</f>
        <v>0</v>
      </c>
      <c r="AE379" s="23">
        <f t="shared" si="5"/>
        <v>0</v>
      </c>
      <c r="AF379" s="23">
        <f t="shared" si="6"/>
        <v>0</v>
      </c>
      <c r="AG379" s="25">
        <f t="shared" si="7"/>
        <v>0</v>
      </c>
      <c r="AH379" s="25">
        <f t="shared" si="8"/>
        <v>0</v>
      </c>
      <c r="AI379" s="59"/>
    </row>
    <row r="380" ht="15.75" customHeight="1">
      <c r="A380" s="40"/>
      <c r="B380" s="33"/>
      <c r="C380" s="45" t="str">
        <f>IFERROR(VLOOKUP(B380,COLORES!$A$4:$B$52,2,FALSE()),"")</f>
        <v/>
      </c>
      <c r="D380" s="33"/>
      <c r="E380" s="46"/>
      <c r="F380" s="34"/>
      <c r="G380" s="33"/>
      <c r="H380" s="47"/>
      <c r="I380" s="47"/>
      <c r="J380" s="48">
        <f>IFERROR(VLOOKUP(VLOOKUP(A380,PROGRAMAS!$A$4:$G$103,7,FALSE()),PRECIOS_TEJEDURIA!$A$4:$B$22,2,FALSE()),0)</f>
        <v>0</v>
      </c>
      <c r="K380" s="49"/>
      <c r="L380" s="50"/>
      <c r="M380" s="51">
        <f t="shared" si="1"/>
        <v>0</v>
      </c>
      <c r="N380" s="49"/>
      <c r="O380" s="49"/>
      <c r="P380" s="49"/>
      <c r="Q380" s="52"/>
      <c r="R380" s="53"/>
      <c r="S380" s="53"/>
      <c r="T380" s="54"/>
      <c r="U380" s="19">
        <f t="shared" si="2"/>
        <v>0</v>
      </c>
      <c r="V380" s="20">
        <f t="shared" si="3"/>
        <v>0</v>
      </c>
      <c r="W380" s="55">
        <f t="array" ref="W380">IFERROR(INDEX(PRECIOS_TINTORERIA!$B$4:$U$15,MATCH(D380,PRECIOS_TINTORERIA!$A$4:$A$15,0),MATCH(VLOOKUP(A380,PROGRAMAS!$A$4:$G$103,7,FALSE()),PRECIOS_TINTORERIA!$B$3:$U$3,0)),0)</f>
        <v>0</v>
      </c>
      <c r="X380" s="56"/>
      <c r="Y380" s="57"/>
      <c r="Z380" s="58">
        <f t="shared" si="4"/>
        <v>0</v>
      </c>
      <c r="AA380" s="56"/>
      <c r="AB380" s="56"/>
      <c r="AC380" s="56"/>
      <c r="AD380" s="23">
        <f>IFERROR((SUMIFS(COMPRAS_HILO!$H$4:$H$203,COMPRAS_HILO!$B$4:$B$203,A380))*F380/SUMIFS($F$4:$F$503,$A$4:$A$503,A380),0)</f>
        <v>0</v>
      </c>
      <c r="AE380" s="23">
        <f t="shared" si="5"/>
        <v>0</v>
      </c>
      <c r="AF380" s="23">
        <f t="shared" si="6"/>
        <v>0</v>
      </c>
      <c r="AG380" s="25">
        <f t="shared" si="7"/>
        <v>0</v>
      </c>
      <c r="AH380" s="25">
        <f t="shared" si="8"/>
        <v>0</v>
      </c>
      <c r="AI380" s="59"/>
    </row>
    <row r="381" ht="15.75" customHeight="1">
      <c r="A381" s="40"/>
      <c r="B381" s="33"/>
      <c r="C381" s="45" t="str">
        <f>IFERROR(VLOOKUP(B381,COLORES!$A$4:$B$52,2,FALSE()),"")</f>
        <v/>
      </c>
      <c r="D381" s="33"/>
      <c r="E381" s="46"/>
      <c r="F381" s="34"/>
      <c r="G381" s="33"/>
      <c r="H381" s="47"/>
      <c r="I381" s="47"/>
      <c r="J381" s="48">
        <f>IFERROR(VLOOKUP(VLOOKUP(A381,PROGRAMAS!$A$4:$G$103,7,FALSE()),PRECIOS_TEJEDURIA!$A$4:$B$22,2,FALSE()),0)</f>
        <v>0</v>
      </c>
      <c r="K381" s="49"/>
      <c r="L381" s="50"/>
      <c r="M381" s="51">
        <f t="shared" si="1"/>
        <v>0</v>
      </c>
      <c r="N381" s="49"/>
      <c r="O381" s="49"/>
      <c r="P381" s="49"/>
      <c r="Q381" s="52"/>
      <c r="R381" s="53"/>
      <c r="S381" s="53"/>
      <c r="T381" s="54"/>
      <c r="U381" s="19">
        <f t="shared" si="2"/>
        <v>0</v>
      </c>
      <c r="V381" s="20">
        <f t="shared" si="3"/>
        <v>0</v>
      </c>
      <c r="W381" s="55">
        <f t="array" ref="W381">IFERROR(INDEX(PRECIOS_TINTORERIA!$B$4:$U$15,MATCH(D381,PRECIOS_TINTORERIA!$A$4:$A$15,0),MATCH(VLOOKUP(A381,PROGRAMAS!$A$4:$G$103,7,FALSE()),PRECIOS_TINTORERIA!$B$3:$U$3,0)),0)</f>
        <v>0</v>
      </c>
      <c r="X381" s="56"/>
      <c r="Y381" s="57"/>
      <c r="Z381" s="58">
        <f t="shared" si="4"/>
        <v>0</v>
      </c>
      <c r="AA381" s="56"/>
      <c r="AB381" s="56"/>
      <c r="AC381" s="56"/>
      <c r="AD381" s="23">
        <f>IFERROR((SUMIFS(COMPRAS_HILO!$H$4:$H$203,COMPRAS_HILO!$B$4:$B$203,A381))*F381/SUMIFS($F$4:$F$503,$A$4:$A$503,A381),0)</f>
        <v>0</v>
      </c>
      <c r="AE381" s="23">
        <f t="shared" si="5"/>
        <v>0</v>
      </c>
      <c r="AF381" s="23">
        <f t="shared" si="6"/>
        <v>0</v>
      </c>
      <c r="AG381" s="25">
        <f t="shared" si="7"/>
        <v>0</v>
      </c>
      <c r="AH381" s="25">
        <f t="shared" si="8"/>
        <v>0</v>
      </c>
      <c r="AI381" s="59"/>
    </row>
    <row r="382" ht="15.75" customHeight="1">
      <c r="A382" s="40"/>
      <c r="B382" s="33"/>
      <c r="C382" s="45" t="str">
        <f>IFERROR(VLOOKUP(B382,COLORES!$A$4:$B$52,2,FALSE()),"")</f>
        <v/>
      </c>
      <c r="D382" s="33"/>
      <c r="E382" s="46"/>
      <c r="F382" s="34"/>
      <c r="G382" s="33"/>
      <c r="H382" s="47"/>
      <c r="I382" s="47"/>
      <c r="J382" s="48">
        <f>IFERROR(VLOOKUP(VLOOKUP(A382,PROGRAMAS!$A$4:$G$103,7,FALSE()),PRECIOS_TEJEDURIA!$A$4:$B$22,2,FALSE()),0)</f>
        <v>0</v>
      </c>
      <c r="K382" s="49"/>
      <c r="L382" s="50"/>
      <c r="M382" s="51">
        <f t="shared" si="1"/>
        <v>0</v>
      </c>
      <c r="N382" s="49"/>
      <c r="O382" s="49"/>
      <c r="P382" s="49"/>
      <c r="Q382" s="52"/>
      <c r="R382" s="53"/>
      <c r="S382" s="53"/>
      <c r="T382" s="54"/>
      <c r="U382" s="19">
        <f t="shared" si="2"/>
        <v>0</v>
      </c>
      <c r="V382" s="20">
        <f t="shared" si="3"/>
        <v>0</v>
      </c>
      <c r="W382" s="55">
        <f t="array" ref="W382">IFERROR(INDEX(PRECIOS_TINTORERIA!$B$4:$U$15,MATCH(D382,PRECIOS_TINTORERIA!$A$4:$A$15,0),MATCH(VLOOKUP(A382,PROGRAMAS!$A$4:$G$103,7,FALSE()),PRECIOS_TINTORERIA!$B$3:$U$3,0)),0)</f>
        <v>0</v>
      </c>
      <c r="X382" s="56"/>
      <c r="Y382" s="57"/>
      <c r="Z382" s="58">
        <f t="shared" si="4"/>
        <v>0</v>
      </c>
      <c r="AA382" s="56"/>
      <c r="AB382" s="56"/>
      <c r="AC382" s="56"/>
      <c r="AD382" s="23">
        <f>IFERROR((SUMIFS(COMPRAS_HILO!$H$4:$H$203,COMPRAS_HILO!$B$4:$B$203,A382))*F382/SUMIFS($F$4:$F$503,$A$4:$A$503,A382),0)</f>
        <v>0</v>
      </c>
      <c r="AE382" s="23">
        <f t="shared" si="5"/>
        <v>0</v>
      </c>
      <c r="AF382" s="23">
        <f t="shared" si="6"/>
        <v>0</v>
      </c>
      <c r="AG382" s="25">
        <f t="shared" si="7"/>
        <v>0</v>
      </c>
      <c r="AH382" s="25">
        <f t="shared" si="8"/>
        <v>0</v>
      </c>
      <c r="AI382" s="59"/>
    </row>
    <row r="383" ht="15.75" customHeight="1">
      <c r="A383" s="40"/>
      <c r="B383" s="33"/>
      <c r="C383" s="45" t="str">
        <f>IFERROR(VLOOKUP(B383,COLORES!$A$4:$B$52,2,FALSE()),"")</f>
        <v/>
      </c>
      <c r="D383" s="33"/>
      <c r="E383" s="46"/>
      <c r="F383" s="34"/>
      <c r="G383" s="33"/>
      <c r="H383" s="47"/>
      <c r="I383" s="47"/>
      <c r="J383" s="48">
        <f>IFERROR(VLOOKUP(VLOOKUP(A383,PROGRAMAS!$A$4:$G$103,7,FALSE()),PRECIOS_TEJEDURIA!$A$4:$B$22,2,FALSE()),0)</f>
        <v>0</v>
      </c>
      <c r="K383" s="49"/>
      <c r="L383" s="50"/>
      <c r="M383" s="51">
        <f t="shared" si="1"/>
        <v>0</v>
      </c>
      <c r="N383" s="49"/>
      <c r="O383" s="49"/>
      <c r="P383" s="49"/>
      <c r="Q383" s="52"/>
      <c r="R383" s="53"/>
      <c r="S383" s="53"/>
      <c r="T383" s="54"/>
      <c r="U383" s="19">
        <f t="shared" si="2"/>
        <v>0</v>
      </c>
      <c r="V383" s="20">
        <f t="shared" si="3"/>
        <v>0</v>
      </c>
      <c r="W383" s="55">
        <f t="array" ref="W383">IFERROR(INDEX(PRECIOS_TINTORERIA!$B$4:$U$15,MATCH(D383,PRECIOS_TINTORERIA!$A$4:$A$15,0),MATCH(VLOOKUP(A383,PROGRAMAS!$A$4:$G$103,7,FALSE()),PRECIOS_TINTORERIA!$B$3:$U$3,0)),0)</f>
        <v>0</v>
      </c>
      <c r="X383" s="56"/>
      <c r="Y383" s="57"/>
      <c r="Z383" s="58">
        <f t="shared" si="4"/>
        <v>0</v>
      </c>
      <c r="AA383" s="56"/>
      <c r="AB383" s="56"/>
      <c r="AC383" s="56"/>
      <c r="AD383" s="23">
        <f>IFERROR((SUMIFS(COMPRAS_HILO!$H$4:$H$203,COMPRAS_HILO!$B$4:$B$203,A383))*F383/SUMIFS($F$4:$F$503,$A$4:$A$503,A383),0)</f>
        <v>0</v>
      </c>
      <c r="AE383" s="23">
        <f t="shared" si="5"/>
        <v>0</v>
      </c>
      <c r="AF383" s="23">
        <f t="shared" si="6"/>
        <v>0</v>
      </c>
      <c r="AG383" s="25">
        <f t="shared" si="7"/>
        <v>0</v>
      </c>
      <c r="AH383" s="25">
        <f t="shared" si="8"/>
        <v>0</v>
      </c>
      <c r="AI383" s="59"/>
    </row>
    <row r="384" ht="15.75" customHeight="1">
      <c r="A384" s="40"/>
      <c r="B384" s="33"/>
      <c r="C384" s="45" t="str">
        <f>IFERROR(VLOOKUP(B384,COLORES!$A$4:$B$52,2,FALSE()),"")</f>
        <v/>
      </c>
      <c r="D384" s="33"/>
      <c r="E384" s="46"/>
      <c r="F384" s="34"/>
      <c r="G384" s="33"/>
      <c r="H384" s="47"/>
      <c r="I384" s="47"/>
      <c r="J384" s="48">
        <f>IFERROR(VLOOKUP(VLOOKUP(A384,PROGRAMAS!$A$4:$G$103,7,FALSE()),PRECIOS_TEJEDURIA!$A$4:$B$22,2,FALSE()),0)</f>
        <v>0</v>
      </c>
      <c r="K384" s="49"/>
      <c r="L384" s="50"/>
      <c r="M384" s="51">
        <f t="shared" si="1"/>
        <v>0</v>
      </c>
      <c r="N384" s="49"/>
      <c r="O384" s="49"/>
      <c r="P384" s="49"/>
      <c r="Q384" s="52"/>
      <c r="R384" s="53"/>
      <c r="S384" s="53"/>
      <c r="T384" s="54"/>
      <c r="U384" s="19">
        <f t="shared" si="2"/>
        <v>0</v>
      </c>
      <c r="V384" s="20">
        <f t="shared" si="3"/>
        <v>0</v>
      </c>
      <c r="W384" s="55">
        <f t="array" ref="W384">IFERROR(INDEX(PRECIOS_TINTORERIA!$B$4:$U$15,MATCH(D384,PRECIOS_TINTORERIA!$A$4:$A$15,0),MATCH(VLOOKUP(A384,PROGRAMAS!$A$4:$G$103,7,FALSE()),PRECIOS_TINTORERIA!$B$3:$U$3,0)),0)</f>
        <v>0</v>
      </c>
      <c r="X384" s="56"/>
      <c r="Y384" s="57"/>
      <c r="Z384" s="58">
        <f t="shared" si="4"/>
        <v>0</v>
      </c>
      <c r="AA384" s="56"/>
      <c r="AB384" s="56"/>
      <c r="AC384" s="56"/>
      <c r="AD384" s="23">
        <f>IFERROR((SUMIFS(COMPRAS_HILO!$H$4:$H$203,COMPRAS_HILO!$B$4:$B$203,A384))*F384/SUMIFS($F$4:$F$503,$A$4:$A$503,A384),0)</f>
        <v>0</v>
      </c>
      <c r="AE384" s="23">
        <f t="shared" si="5"/>
        <v>0</v>
      </c>
      <c r="AF384" s="23">
        <f t="shared" si="6"/>
        <v>0</v>
      </c>
      <c r="AG384" s="25">
        <f t="shared" si="7"/>
        <v>0</v>
      </c>
      <c r="AH384" s="25">
        <f t="shared" si="8"/>
        <v>0</v>
      </c>
      <c r="AI384" s="59"/>
    </row>
    <row r="385" ht="15.75" customHeight="1">
      <c r="A385" s="40"/>
      <c r="B385" s="33"/>
      <c r="C385" s="45" t="str">
        <f>IFERROR(VLOOKUP(B385,COLORES!$A$4:$B$52,2,FALSE()),"")</f>
        <v/>
      </c>
      <c r="D385" s="33"/>
      <c r="E385" s="46"/>
      <c r="F385" s="34"/>
      <c r="G385" s="33"/>
      <c r="H385" s="47"/>
      <c r="I385" s="47"/>
      <c r="J385" s="48">
        <f>IFERROR(VLOOKUP(VLOOKUP(A385,PROGRAMAS!$A$4:$G$103,7,FALSE()),PRECIOS_TEJEDURIA!$A$4:$B$22,2,FALSE()),0)</f>
        <v>0</v>
      </c>
      <c r="K385" s="49"/>
      <c r="L385" s="50"/>
      <c r="M385" s="51">
        <f t="shared" si="1"/>
        <v>0</v>
      </c>
      <c r="N385" s="49"/>
      <c r="O385" s="49"/>
      <c r="P385" s="49"/>
      <c r="Q385" s="52"/>
      <c r="R385" s="53"/>
      <c r="S385" s="53"/>
      <c r="T385" s="54"/>
      <c r="U385" s="19">
        <f t="shared" si="2"/>
        <v>0</v>
      </c>
      <c r="V385" s="20">
        <f t="shared" si="3"/>
        <v>0</v>
      </c>
      <c r="W385" s="55">
        <f t="array" ref="W385">IFERROR(INDEX(PRECIOS_TINTORERIA!$B$4:$U$15,MATCH(D385,PRECIOS_TINTORERIA!$A$4:$A$15,0),MATCH(VLOOKUP(A385,PROGRAMAS!$A$4:$G$103,7,FALSE()),PRECIOS_TINTORERIA!$B$3:$U$3,0)),0)</f>
        <v>0</v>
      </c>
      <c r="X385" s="56"/>
      <c r="Y385" s="57"/>
      <c r="Z385" s="58">
        <f t="shared" si="4"/>
        <v>0</v>
      </c>
      <c r="AA385" s="56"/>
      <c r="AB385" s="56"/>
      <c r="AC385" s="56"/>
      <c r="AD385" s="23">
        <f>IFERROR((SUMIFS(COMPRAS_HILO!$H$4:$H$203,COMPRAS_HILO!$B$4:$B$203,A385))*F385/SUMIFS($F$4:$F$503,$A$4:$A$503,A385),0)</f>
        <v>0</v>
      </c>
      <c r="AE385" s="23">
        <f t="shared" si="5"/>
        <v>0</v>
      </c>
      <c r="AF385" s="23">
        <f t="shared" si="6"/>
        <v>0</v>
      </c>
      <c r="AG385" s="25">
        <f t="shared" si="7"/>
        <v>0</v>
      </c>
      <c r="AH385" s="25">
        <f t="shared" si="8"/>
        <v>0</v>
      </c>
      <c r="AI385" s="59"/>
    </row>
    <row r="386" ht="15.75" customHeight="1">
      <c r="A386" s="40"/>
      <c r="B386" s="33"/>
      <c r="C386" s="45" t="str">
        <f>IFERROR(VLOOKUP(B386,COLORES!$A$4:$B$52,2,FALSE()),"")</f>
        <v/>
      </c>
      <c r="D386" s="33"/>
      <c r="E386" s="46"/>
      <c r="F386" s="34"/>
      <c r="G386" s="33"/>
      <c r="H386" s="47"/>
      <c r="I386" s="47"/>
      <c r="J386" s="48">
        <f>IFERROR(VLOOKUP(VLOOKUP(A386,PROGRAMAS!$A$4:$G$103,7,FALSE()),PRECIOS_TEJEDURIA!$A$4:$B$22,2,FALSE()),0)</f>
        <v>0</v>
      </c>
      <c r="K386" s="49"/>
      <c r="L386" s="50"/>
      <c r="M386" s="51">
        <f t="shared" si="1"/>
        <v>0</v>
      </c>
      <c r="N386" s="49"/>
      <c r="O386" s="49"/>
      <c r="P386" s="49"/>
      <c r="Q386" s="52"/>
      <c r="R386" s="53"/>
      <c r="S386" s="53"/>
      <c r="T386" s="54"/>
      <c r="U386" s="19">
        <f t="shared" si="2"/>
        <v>0</v>
      </c>
      <c r="V386" s="20">
        <f t="shared" si="3"/>
        <v>0</v>
      </c>
      <c r="W386" s="55">
        <f t="array" ref="W386">IFERROR(INDEX(PRECIOS_TINTORERIA!$B$4:$U$15,MATCH(D386,PRECIOS_TINTORERIA!$A$4:$A$15,0),MATCH(VLOOKUP(A386,PROGRAMAS!$A$4:$G$103,7,FALSE()),PRECIOS_TINTORERIA!$B$3:$U$3,0)),0)</f>
        <v>0</v>
      </c>
      <c r="X386" s="56"/>
      <c r="Y386" s="57"/>
      <c r="Z386" s="58">
        <f t="shared" si="4"/>
        <v>0</v>
      </c>
      <c r="AA386" s="56"/>
      <c r="AB386" s="56"/>
      <c r="AC386" s="56"/>
      <c r="AD386" s="23">
        <f>IFERROR((SUMIFS(COMPRAS_HILO!$H$4:$H$203,COMPRAS_HILO!$B$4:$B$203,A386))*F386/SUMIFS($F$4:$F$503,$A$4:$A$503,A386),0)</f>
        <v>0</v>
      </c>
      <c r="AE386" s="23">
        <f t="shared" si="5"/>
        <v>0</v>
      </c>
      <c r="AF386" s="23">
        <f t="shared" si="6"/>
        <v>0</v>
      </c>
      <c r="AG386" s="25">
        <f t="shared" si="7"/>
        <v>0</v>
      </c>
      <c r="AH386" s="25">
        <f t="shared" si="8"/>
        <v>0</v>
      </c>
      <c r="AI386" s="59"/>
    </row>
    <row r="387" ht="15.75" customHeight="1">
      <c r="A387" s="40"/>
      <c r="B387" s="33"/>
      <c r="C387" s="45" t="str">
        <f>IFERROR(VLOOKUP(B387,COLORES!$A$4:$B$52,2,FALSE()),"")</f>
        <v/>
      </c>
      <c r="D387" s="33"/>
      <c r="E387" s="46"/>
      <c r="F387" s="34"/>
      <c r="G387" s="33"/>
      <c r="H387" s="47"/>
      <c r="I387" s="47"/>
      <c r="J387" s="48">
        <f>IFERROR(VLOOKUP(VLOOKUP(A387,PROGRAMAS!$A$4:$G$103,7,FALSE()),PRECIOS_TEJEDURIA!$A$4:$B$22,2,FALSE()),0)</f>
        <v>0</v>
      </c>
      <c r="K387" s="49"/>
      <c r="L387" s="50"/>
      <c r="M387" s="51">
        <f t="shared" si="1"/>
        <v>0</v>
      </c>
      <c r="N387" s="49"/>
      <c r="O387" s="49"/>
      <c r="P387" s="49"/>
      <c r="Q387" s="52"/>
      <c r="R387" s="53"/>
      <c r="S387" s="53"/>
      <c r="T387" s="54"/>
      <c r="U387" s="19">
        <f t="shared" si="2"/>
        <v>0</v>
      </c>
      <c r="V387" s="20">
        <f t="shared" si="3"/>
        <v>0</v>
      </c>
      <c r="W387" s="55">
        <f t="array" ref="W387">IFERROR(INDEX(PRECIOS_TINTORERIA!$B$4:$U$15,MATCH(D387,PRECIOS_TINTORERIA!$A$4:$A$15,0),MATCH(VLOOKUP(A387,PROGRAMAS!$A$4:$G$103,7,FALSE()),PRECIOS_TINTORERIA!$B$3:$U$3,0)),0)</f>
        <v>0</v>
      </c>
      <c r="X387" s="56"/>
      <c r="Y387" s="57"/>
      <c r="Z387" s="58">
        <f t="shared" si="4"/>
        <v>0</v>
      </c>
      <c r="AA387" s="56"/>
      <c r="AB387" s="56"/>
      <c r="AC387" s="56"/>
      <c r="AD387" s="23">
        <f>IFERROR((SUMIFS(COMPRAS_HILO!$H$4:$H$203,COMPRAS_HILO!$B$4:$B$203,A387))*F387/SUMIFS($F$4:$F$503,$A$4:$A$503,A387),0)</f>
        <v>0</v>
      </c>
      <c r="AE387" s="23">
        <f t="shared" si="5"/>
        <v>0</v>
      </c>
      <c r="AF387" s="23">
        <f t="shared" si="6"/>
        <v>0</v>
      </c>
      <c r="AG387" s="25">
        <f t="shared" si="7"/>
        <v>0</v>
      </c>
      <c r="AH387" s="25">
        <f t="shared" si="8"/>
        <v>0</v>
      </c>
      <c r="AI387" s="59"/>
    </row>
    <row r="388" ht="15.75" customHeight="1">
      <c r="A388" s="40"/>
      <c r="B388" s="33"/>
      <c r="C388" s="45" t="str">
        <f>IFERROR(VLOOKUP(B388,COLORES!$A$4:$B$52,2,FALSE()),"")</f>
        <v/>
      </c>
      <c r="D388" s="33"/>
      <c r="E388" s="46"/>
      <c r="F388" s="34"/>
      <c r="G388" s="33"/>
      <c r="H388" s="47"/>
      <c r="I388" s="47"/>
      <c r="J388" s="48">
        <f>IFERROR(VLOOKUP(VLOOKUP(A388,PROGRAMAS!$A$4:$G$103,7,FALSE()),PRECIOS_TEJEDURIA!$A$4:$B$22,2,FALSE()),0)</f>
        <v>0</v>
      </c>
      <c r="K388" s="49"/>
      <c r="L388" s="50"/>
      <c r="M388" s="51">
        <f t="shared" si="1"/>
        <v>0</v>
      </c>
      <c r="N388" s="49"/>
      <c r="O388" s="49"/>
      <c r="P388" s="49"/>
      <c r="Q388" s="52"/>
      <c r="R388" s="53"/>
      <c r="S388" s="53"/>
      <c r="T388" s="54"/>
      <c r="U388" s="19">
        <f t="shared" si="2"/>
        <v>0</v>
      </c>
      <c r="V388" s="20">
        <f t="shared" si="3"/>
        <v>0</v>
      </c>
      <c r="W388" s="55">
        <f t="array" ref="W388">IFERROR(INDEX(PRECIOS_TINTORERIA!$B$4:$U$15,MATCH(D388,PRECIOS_TINTORERIA!$A$4:$A$15,0),MATCH(VLOOKUP(A388,PROGRAMAS!$A$4:$G$103,7,FALSE()),PRECIOS_TINTORERIA!$B$3:$U$3,0)),0)</f>
        <v>0</v>
      </c>
      <c r="X388" s="56"/>
      <c r="Y388" s="57"/>
      <c r="Z388" s="58">
        <f t="shared" si="4"/>
        <v>0</v>
      </c>
      <c r="AA388" s="56"/>
      <c r="AB388" s="56"/>
      <c r="AC388" s="56"/>
      <c r="AD388" s="23">
        <f>IFERROR((SUMIFS(COMPRAS_HILO!$H$4:$H$203,COMPRAS_HILO!$B$4:$B$203,A388))*F388/SUMIFS($F$4:$F$503,$A$4:$A$503,A388),0)</f>
        <v>0</v>
      </c>
      <c r="AE388" s="23">
        <f t="shared" si="5"/>
        <v>0</v>
      </c>
      <c r="AF388" s="23">
        <f t="shared" si="6"/>
        <v>0</v>
      </c>
      <c r="AG388" s="25">
        <f t="shared" si="7"/>
        <v>0</v>
      </c>
      <c r="AH388" s="25">
        <f t="shared" si="8"/>
        <v>0</v>
      </c>
      <c r="AI388" s="59"/>
    </row>
    <row r="389" ht="15.75" customHeight="1">
      <c r="A389" s="40"/>
      <c r="B389" s="33"/>
      <c r="C389" s="45" t="str">
        <f>IFERROR(VLOOKUP(B389,COLORES!$A$4:$B$52,2,FALSE()),"")</f>
        <v/>
      </c>
      <c r="D389" s="33"/>
      <c r="E389" s="46"/>
      <c r="F389" s="34"/>
      <c r="G389" s="33"/>
      <c r="H389" s="47"/>
      <c r="I389" s="47"/>
      <c r="J389" s="48">
        <f>IFERROR(VLOOKUP(VLOOKUP(A389,PROGRAMAS!$A$4:$G$103,7,FALSE()),PRECIOS_TEJEDURIA!$A$4:$B$22,2,FALSE()),0)</f>
        <v>0</v>
      </c>
      <c r="K389" s="49"/>
      <c r="L389" s="50"/>
      <c r="M389" s="51">
        <f t="shared" si="1"/>
        <v>0</v>
      </c>
      <c r="N389" s="49"/>
      <c r="O389" s="49"/>
      <c r="P389" s="49"/>
      <c r="Q389" s="52"/>
      <c r="R389" s="53"/>
      <c r="S389" s="53"/>
      <c r="T389" s="54"/>
      <c r="U389" s="19">
        <f t="shared" si="2"/>
        <v>0</v>
      </c>
      <c r="V389" s="20">
        <f t="shared" si="3"/>
        <v>0</v>
      </c>
      <c r="W389" s="55">
        <f t="array" ref="W389">IFERROR(INDEX(PRECIOS_TINTORERIA!$B$4:$U$15,MATCH(D389,PRECIOS_TINTORERIA!$A$4:$A$15,0),MATCH(VLOOKUP(A389,PROGRAMAS!$A$4:$G$103,7,FALSE()),PRECIOS_TINTORERIA!$B$3:$U$3,0)),0)</f>
        <v>0</v>
      </c>
      <c r="X389" s="56"/>
      <c r="Y389" s="57"/>
      <c r="Z389" s="58">
        <f t="shared" si="4"/>
        <v>0</v>
      </c>
      <c r="AA389" s="56"/>
      <c r="AB389" s="56"/>
      <c r="AC389" s="56"/>
      <c r="AD389" s="23">
        <f>IFERROR((SUMIFS(COMPRAS_HILO!$H$4:$H$203,COMPRAS_HILO!$B$4:$B$203,A389))*F389/SUMIFS($F$4:$F$503,$A$4:$A$503,A389),0)</f>
        <v>0</v>
      </c>
      <c r="AE389" s="23">
        <f t="shared" si="5"/>
        <v>0</v>
      </c>
      <c r="AF389" s="23">
        <f t="shared" si="6"/>
        <v>0</v>
      </c>
      <c r="AG389" s="25">
        <f t="shared" si="7"/>
        <v>0</v>
      </c>
      <c r="AH389" s="25">
        <f t="shared" si="8"/>
        <v>0</v>
      </c>
      <c r="AI389" s="59"/>
    </row>
    <row r="390" ht="15.75" customHeight="1">
      <c r="A390" s="40"/>
      <c r="B390" s="33"/>
      <c r="C390" s="45" t="str">
        <f>IFERROR(VLOOKUP(B390,COLORES!$A$4:$B$52,2,FALSE()),"")</f>
        <v/>
      </c>
      <c r="D390" s="33"/>
      <c r="E390" s="46"/>
      <c r="F390" s="34"/>
      <c r="G390" s="33"/>
      <c r="H390" s="47"/>
      <c r="I390" s="47"/>
      <c r="J390" s="48">
        <f>IFERROR(VLOOKUP(VLOOKUP(A390,PROGRAMAS!$A$4:$G$103,7,FALSE()),PRECIOS_TEJEDURIA!$A$4:$B$22,2,FALSE()),0)</f>
        <v>0</v>
      </c>
      <c r="K390" s="49"/>
      <c r="L390" s="50"/>
      <c r="M390" s="51">
        <f t="shared" si="1"/>
        <v>0</v>
      </c>
      <c r="N390" s="49"/>
      <c r="O390" s="49"/>
      <c r="P390" s="49"/>
      <c r="Q390" s="52"/>
      <c r="R390" s="53"/>
      <c r="S390" s="53"/>
      <c r="T390" s="54"/>
      <c r="U390" s="19">
        <f t="shared" si="2"/>
        <v>0</v>
      </c>
      <c r="V390" s="20">
        <f t="shared" si="3"/>
        <v>0</v>
      </c>
      <c r="W390" s="55">
        <f t="array" ref="W390">IFERROR(INDEX(PRECIOS_TINTORERIA!$B$4:$U$15,MATCH(D390,PRECIOS_TINTORERIA!$A$4:$A$15,0),MATCH(VLOOKUP(A390,PROGRAMAS!$A$4:$G$103,7,FALSE()),PRECIOS_TINTORERIA!$B$3:$U$3,0)),0)</f>
        <v>0</v>
      </c>
      <c r="X390" s="56"/>
      <c r="Y390" s="57"/>
      <c r="Z390" s="58">
        <f t="shared" si="4"/>
        <v>0</v>
      </c>
      <c r="AA390" s="56"/>
      <c r="AB390" s="56"/>
      <c r="AC390" s="56"/>
      <c r="AD390" s="23">
        <f>IFERROR((SUMIFS(COMPRAS_HILO!$H$4:$H$203,COMPRAS_HILO!$B$4:$B$203,A390))*F390/SUMIFS($F$4:$F$503,$A$4:$A$503,A390),0)</f>
        <v>0</v>
      </c>
      <c r="AE390" s="23">
        <f t="shared" si="5"/>
        <v>0</v>
      </c>
      <c r="AF390" s="23">
        <f t="shared" si="6"/>
        <v>0</v>
      </c>
      <c r="AG390" s="25">
        <f t="shared" si="7"/>
        <v>0</v>
      </c>
      <c r="AH390" s="25">
        <f t="shared" si="8"/>
        <v>0</v>
      </c>
      <c r="AI390" s="59"/>
    </row>
    <row r="391" ht="15.75" customHeight="1">
      <c r="A391" s="40"/>
      <c r="B391" s="33"/>
      <c r="C391" s="45" t="str">
        <f>IFERROR(VLOOKUP(B391,COLORES!$A$4:$B$52,2,FALSE()),"")</f>
        <v/>
      </c>
      <c r="D391" s="33"/>
      <c r="E391" s="46"/>
      <c r="F391" s="34"/>
      <c r="G391" s="33"/>
      <c r="H391" s="47"/>
      <c r="I391" s="47"/>
      <c r="J391" s="48">
        <f>IFERROR(VLOOKUP(VLOOKUP(A391,PROGRAMAS!$A$4:$G$103,7,FALSE()),PRECIOS_TEJEDURIA!$A$4:$B$22,2,FALSE()),0)</f>
        <v>0</v>
      </c>
      <c r="K391" s="49"/>
      <c r="L391" s="50"/>
      <c r="M391" s="51">
        <f t="shared" si="1"/>
        <v>0</v>
      </c>
      <c r="N391" s="49"/>
      <c r="O391" s="49"/>
      <c r="P391" s="49"/>
      <c r="Q391" s="52"/>
      <c r="R391" s="53"/>
      <c r="S391" s="53"/>
      <c r="T391" s="54"/>
      <c r="U391" s="19">
        <f t="shared" si="2"/>
        <v>0</v>
      </c>
      <c r="V391" s="20">
        <f t="shared" si="3"/>
        <v>0</v>
      </c>
      <c r="W391" s="55">
        <f t="array" ref="W391">IFERROR(INDEX(PRECIOS_TINTORERIA!$B$4:$U$15,MATCH(D391,PRECIOS_TINTORERIA!$A$4:$A$15,0),MATCH(VLOOKUP(A391,PROGRAMAS!$A$4:$G$103,7,FALSE()),PRECIOS_TINTORERIA!$B$3:$U$3,0)),0)</f>
        <v>0</v>
      </c>
      <c r="X391" s="56"/>
      <c r="Y391" s="57"/>
      <c r="Z391" s="58">
        <f t="shared" si="4"/>
        <v>0</v>
      </c>
      <c r="AA391" s="56"/>
      <c r="AB391" s="56"/>
      <c r="AC391" s="56"/>
      <c r="AD391" s="23">
        <f>IFERROR((SUMIFS(COMPRAS_HILO!$H$4:$H$203,COMPRAS_HILO!$B$4:$B$203,A391))*F391/SUMIFS($F$4:$F$503,$A$4:$A$503,A391),0)</f>
        <v>0</v>
      </c>
      <c r="AE391" s="23">
        <f t="shared" si="5"/>
        <v>0</v>
      </c>
      <c r="AF391" s="23">
        <f t="shared" si="6"/>
        <v>0</v>
      </c>
      <c r="AG391" s="25">
        <f t="shared" si="7"/>
        <v>0</v>
      </c>
      <c r="AH391" s="25">
        <f t="shared" si="8"/>
        <v>0</v>
      </c>
      <c r="AI391" s="59"/>
    </row>
    <row r="392" ht="15.75" customHeight="1">
      <c r="A392" s="40"/>
      <c r="B392" s="33"/>
      <c r="C392" s="45" t="str">
        <f>IFERROR(VLOOKUP(B392,COLORES!$A$4:$B$52,2,FALSE()),"")</f>
        <v/>
      </c>
      <c r="D392" s="33"/>
      <c r="E392" s="46"/>
      <c r="F392" s="34"/>
      <c r="G392" s="33"/>
      <c r="H392" s="47"/>
      <c r="I392" s="47"/>
      <c r="J392" s="48">
        <f>IFERROR(VLOOKUP(VLOOKUP(A392,PROGRAMAS!$A$4:$G$103,7,FALSE()),PRECIOS_TEJEDURIA!$A$4:$B$22,2,FALSE()),0)</f>
        <v>0</v>
      </c>
      <c r="K392" s="49"/>
      <c r="L392" s="50"/>
      <c r="M392" s="51">
        <f t="shared" si="1"/>
        <v>0</v>
      </c>
      <c r="N392" s="49"/>
      <c r="O392" s="49"/>
      <c r="P392" s="49"/>
      <c r="Q392" s="52"/>
      <c r="R392" s="53"/>
      <c r="S392" s="53"/>
      <c r="T392" s="54"/>
      <c r="U392" s="19">
        <f t="shared" si="2"/>
        <v>0</v>
      </c>
      <c r="V392" s="20">
        <f t="shared" si="3"/>
        <v>0</v>
      </c>
      <c r="W392" s="55">
        <f t="array" ref="W392">IFERROR(INDEX(PRECIOS_TINTORERIA!$B$4:$U$15,MATCH(D392,PRECIOS_TINTORERIA!$A$4:$A$15,0),MATCH(VLOOKUP(A392,PROGRAMAS!$A$4:$G$103,7,FALSE()),PRECIOS_TINTORERIA!$B$3:$U$3,0)),0)</f>
        <v>0</v>
      </c>
      <c r="X392" s="56"/>
      <c r="Y392" s="57"/>
      <c r="Z392" s="58">
        <f t="shared" si="4"/>
        <v>0</v>
      </c>
      <c r="AA392" s="56"/>
      <c r="AB392" s="56"/>
      <c r="AC392" s="56"/>
      <c r="AD392" s="23">
        <f>IFERROR((SUMIFS(COMPRAS_HILO!$H$4:$H$203,COMPRAS_HILO!$B$4:$B$203,A392))*F392/SUMIFS($F$4:$F$503,$A$4:$A$503,A392),0)</f>
        <v>0</v>
      </c>
      <c r="AE392" s="23">
        <f t="shared" si="5"/>
        <v>0</v>
      </c>
      <c r="AF392" s="23">
        <f t="shared" si="6"/>
        <v>0</v>
      </c>
      <c r="AG392" s="25">
        <f t="shared" si="7"/>
        <v>0</v>
      </c>
      <c r="AH392" s="25">
        <f t="shared" si="8"/>
        <v>0</v>
      </c>
      <c r="AI392" s="59"/>
    </row>
    <row r="393" ht="15.75" customHeight="1">
      <c r="A393" s="40"/>
      <c r="B393" s="33"/>
      <c r="C393" s="45" t="str">
        <f>IFERROR(VLOOKUP(B393,COLORES!$A$4:$B$52,2,FALSE()),"")</f>
        <v/>
      </c>
      <c r="D393" s="33"/>
      <c r="E393" s="46"/>
      <c r="F393" s="34"/>
      <c r="G393" s="33"/>
      <c r="H393" s="47"/>
      <c r="I393" s="47"/>
      <c r="J393" s="48">
        <f>IFERROR(VLOOKUP(VLOOKUP(A393,PROGRAMAS!$A$4:$G$103,7,FALSE()),PRECIOS_TEJEDURIA!$A$4:$B$22,2,FALSE()),0)</f>
        <v>0</v>
      </c>
      <c r="K393" s="49"/>
      <c r="L393" s="50"/>
      <c r="M393" s="51">
        <f t="shared" si="1"/>
        <v>0</v>
      </c>
      <c r="N393" s="49"/>
      <c r="O393" s="49"/>
      <c r="P393" s="49"/>
      <c r="Q393" s="52"/>
      <c r="R393" s="53"/>
      <c r="S393" s="53"/>
      <c r="T393" s="54"/>
      <c r="U393" s="19">
        <f t="shared" si="2"/>
        <v>0</v>
      </c>
      <c r="V393" s="20">
        <f t="shared" si="3"/>
        <v>0</v>
      </c>
      <c r="W393" s="55">
        <f t="array" ref="W393">IFERROR(INDEX(PRECIOS_TINTORERIA!$B$4:$U$15,MATCH(D393,PRECIOS_TINTORERIA!$A$4:$A$15,0),MATCH(VLOOKUP(A393,PROGRAMAS!$A$4:$G$103,7,FALSE()),PRECIOS_TINTORERIA!$B$3:$U$3,0)),0)</f>
        <v>0</v>
      </c>
      <c r="X393" s="56"/>
      <c r="Y393" s="57"/>
      <c r="Z393" s="58">
        <f t="shared" si="4"/>
        <v>0</v>
      </c>
      <c r="AA393" s="56"/>
      <c r="AB393" s="56"/>
      <c r="AC393" s="56"/>
      <c r="AD393" s="23">
        <f>IFERROR((SUMIFS(COMPRAS_HILO!$H$4:$H$203,COMPRAS_HILO!$B$4:$B$203,A393))*F393/SUMIFS($F$4:$F$503,$A$4:$A$503,A393),0)</f>
        <v>0</v>
      </c>
      <c r="AE393" s="23">
        <f t="shared" si="5"/>
        <v>0</v>
      </c>
      <c r="AF393" s="23">
        <f t="shared" si="6"/>
        <v>0</v>
      </c>
      <c r="AG393" s="25">
        <f t="shared" si="7"/>
        <v>0</v>
      </c>
      <c r="AH393" s="25">
        <f t="shared" si="8"/>
        <v>0</v>
      </c>
      <c r="AI393" s="59"/>
    </row>
    <row r="394" ht="15.75" customHeight="1">
      <c r="A394" s="40"/>
      <c r="B394" s="33"/>
      <c r="C394" s="45" t="str">
        <f>IFERROR(VLOOKUP(B394,COLORES!$A$4:$B$52,2,FALSE()),"")</f>
        <v/>
      </c>
      <c r="D394" s="33"/>
      <c r="E394" s="46"/>
      <c r="F394" s="34"/>
      <c r="G394" s="33"/>
      <c r="H394" s="47"/>
      <c r="I394" s="47"/>
      <c r="J394" s="48">
        <f>IFERROR(VLOOKUP(VLOOKUP(A394,PROGRAMAS!$A$4:$G$103,7,FALSE()),PRECIOS_TEJEDURIA!$A$4:$B$22,2,FALSE()),0)</f>
        <v>0</v>
      </c>
      <c r="K394" s="49"/>
      <c r="L394" s="50"/>
      <c r="M394" s="51">
        <f t="shared" si="1"/>
        <v>0</v>
      </c>
      <c r="N394" s="49"/>
      <c r="O394" s="49"/>
      <c r="P394" s="49"/>
      <c r="Q394" s="52"/>
      <c r="R394" s="53"/>
      <c r="S394" s="53"/>
      <c r="T394" s="54"/>
      <c r="U394" s="19">
        <f t="shared" si="2"/>
        <v>0</v>
      </c>
      <c r="V394" s="20">
        <f t="shared" si="3"/>
        <v>0</v>
      </c>
      <c r="W394" s="55">
        <f t="array" ref="W394">IFERROR(INDEX(PRECIOS_TINTORERIA!$B$4:$U$15,MATCH(D394,PRECIOS_TINTORERIA!$A$4:$A$15,0),MATCH(VLOOKUP(A394,PROGRAMAS!$A$4:$G$103,7,FALSE()),PRECIOS_TINTORERIA!$B$3:$U$3,0)),0)</f>
        <v>0</v>
      </c>
      <c r="X394" s="56"/>
      <c r="Y394" s="57"/>
      <c r="Z394" s="58">
        <f t="shared" si="4"/>
        <v>0</v>
      </c>
      <c r="AA394" s="56"/>
      <c r="AB394" s="56"/>
      <c r="AC394" s="56"/>
      <c r="AD394" s="23">
        <f>IFERROR((SUMIFS(COMPRAS_HILO!$H$4:$H$203,COMPRAS_HILO!$B$4:$B$203,A394))*F394/SUMIFS($F$4:$F$503,$A$4:$A$503,A394),0)</f>
        <v>0</v>
      </c>
      <c r="AE394" s="23">
        <f t="shared" si="5"/>
        <v>0</v>
      </c>
      <c r="AF394" s="23">
        <f t="shared" si="6"/>
        <v>0</v>
      </c>
      <c r="AG394" s="25">
        <f t="shared" si="7"/>
        <v>0</v>
      </c>
      <c r="AH394" s="25">
        <f t="shared" si="8"/>
        <v>0</v>
      </c>
      <c r="AI394" s="59"/>
    </row>
    <row r="395" ht="15.75" customHeight="1">
      <c r="A395" s="40"/>
      <c r="B395" s="33"/>
      <c r="C395" s="45" t="str">
        <f>IFERROR(VLOOKUP(B395,COLORES!$A$4:$B$52,2,FALSE()),"")</f>
        <v/>
      </c>
      <c r="D395" s="33"/>
      <c r="E395" s="46"/>
      <c r="F395" s="34"/>
      <c r="G395" s="33"/>
      <c r="H395" s="47"/>
      <c r="I395" s="47"/>
      <c r="J395" s="48">
        <f>IFERROR(VLOOKUP(VLOOKUP(A395,PROGRAMAS!$A$4:$G$103,7,FALSE()),PRECIOS_TEJEDURIA!$A$4:$B$22,2,FALSE()),0)</f>
        <v>0</v>
      </c>
      <c r="K395" s="49"/>
      <c r="L395" s="50"/>
      <c r="M395" s="51">
        <f t="shared" si="1"/>
        <v>0</v>
      </c>
      <c r="N395" s="49"/>
      <c r="O395" s="49"/>
      <c r="P395" s="49"/>
      <c r="Q395" s="52"/>
      <c r="R395" s="53"/>
      <c r="S395" s="53"/>
      <c r="T395" s="54"/>
      <c r="U395" s="19">
        <f t="shared" si="2"/>
        <v>0</v>
      </c>
      <c r="V395" s="20">
        <f t="shared" si="3"/>
        <v>0</v>
      </c>
      <c r="W395" s="55">
        <f t="array" ref="W395">IFERROR(INDEX(PRECIOS_TINTORERIA!$B$4:$U$15,MATCH(D395,PRECIOS_TINTORERIA!$A$4:$A$15,0),MATCH(VLOOKUP(A395,PROGRAMAS!$A$4:$G$103,7,FALSE()),PRECIOS_TINTORERIA!$B$3:$U$3,0)),0)</f>
        <v>0</v>
      </c>
      <c r="X395" s="56"/>
      <c r="Y395" s="57"/>
      <c r="Z395" s="58">
        <f t="shared" si="4"/>
        <v>0</v>
      </c>
      <c r="AA395" s="56"/>
      <c r="AB395" s="56"/>
      <c r="AC395" s="56"/>
      <c r="AD395" s="23">
        <f>IFERROR((SUMIFS(COMPRAS_HILO!$H$4:$H$203,COMPRAS_HILO!$B$4:$B$203,A395))*F395/SUMIFS($F$4:$F$503,$A$4:$A$503,A395),0)</f>
        <v>0</v>
      </c>
      <c r="AE395" s="23">
        <f t="shared" si="5"/>
        <v>0</v>
      </c>
      <c r="AF395" s="23">
        <f t="shared" si="6"/>
        <v>0</v>
      </c>
      <c r="AG395" s="25">
        <f t="shared" si="7"/>
        <v>0</v>
      </c>
      <c r="AH395" s="25">
        <f t="shared" si="8"/>
        <v>0</v>
      </c>
      <c r="AI395" s="59"/>
    </row>
    <row r="396" ht="15.75" customHeight="1">
      <c r="A396" s="40"/>
      <c r="B396" s="33"/>
      <c r="C396" s="45" t="str">
        <f>IFERROR(VLOOKUP(B396,COLORES!$A$4:$B$52,2,FALSE()),"")</f>
        <v/>
      </c>
      <c r="D396" s="33"/>
      <c r="E396" s="46"/>
      <c r="F396" s="34"/>
      <c r="G396" s="33"/>
      <c r="H396" s="47"/>
      <c r="I396" s="47"/>
      <c r="J396" s="48">
        <f>IFERROR(VLOOKUP(VLOOKUP(A396,PROGRAMAS!$A$4:$G$103,7,FALSE()),PRECIOS_TEJEDURIA!$A$4:$B$22,2,FALSE()),0)</f>
        <v>0</v>
      </c>
      <c r="K396" s="49"/>
      <c r="L396" s="50"/>
      <c r="M396" s="51">
        <f t="shared" si="1"/>
        <v>0</v>
      </c>
      <c r="N396" s="49"/>
      <c r="O396" s="49"/>
      <c r="P396" s="49"/>
      <c r="Q396" s="52"/>
      <c r="R396" s="53"/>
      <c r="S396" s="53"/>
      <c r="T396" s="54"/>
      <c r="U396" s="19">
        <f t="shared" si="2"/>
        <v>0</v>
      </c>
      <c r="V396" s="20">
        <f t="shared" si="3"/>
        <v>0</v>
      </c>
      <c r="W396" s="55">
        <f t="array" ref="W396">IFERROR(INDEX(PRECIOS_TINTORERIA!$B$4:$U$15,MATCH(D396,PRECIOS_TINTORERIA!$A$4:$A$15,0),MATCH(VLOOKUP(A396,PROGRAMAS!$A$4:$G$103,7,FALSE()),PRECIOS_TINTORERIA!$B$3:$U$3,0)),0)</f>
        <v>0</v>
      </c>
      <c r="X396" s="56"/>
      <c r="Y396" s="57"/>
      <c r="Z396" s="58">
        <f t="shared" si="4"/>
        <v>0</v>
      </c>
      <c r="AA396" s="56"/>
      <c r="AB396" s="56"/>
      <c r="AC396" s="56"/>
      <c r="AD396" s="23">
        <f>IFERROR((SUMIFS(COMPRAS_HILO!$H$4:$H$203,COMPRAS_HILO!$B$4:$B$203,A396))*F396/SUMIFS($F$4:$F$503,$A$4:$A$503,A396),0)</f>
        <v>0</v>
      </c>
      <c r="AE396" s="23">
        <f t="shared" si="5"/>
        <v>0</v>
      </c>
      <c r="AF396" s="23">
        <f t="shared" si="6"/>
        <v>0</v>
      </c>
      <c r="AG396" s="25">
        <f t="shared" si="7"/>
        <v>0</v>
      </c>
      <c r="AH396" s="25">
        <f t="shared" si="8"/>
        <v>0</v>
      </c>
      <c r="AI396" s="59"/>
    </row>
    <row r="397" ht="15.75" customHeight="1">
      <c r="A397" s="40"/>
      <c r="B397" s="33"/>
      <c r="C397" s="45" t="str">
        <f>IFERROR(VLOOKUP(B397,COLORES!$A$4:$B$52,2,FALSE()),"")</f>
        <v/>
      </c>
      <c r="D397" s="33"/>
      <c r="E397" s="46"/>
      <c r="F397" s="34"/>
      <c r="G397" s="33"/>
      <c r="H397" s="47"/>
      <c r="I397" s="47"/>
      <c r="J397" s="48">
        <f>IFERROR(VLOOKUP(VLOOKUP(A397,PROGRAMAS!$A$4:$G$103,7,FALSE()),PRECIOS_TEJEDURIA!$A$4:$B$22,2,FALSE()),0)</f>
        <v>0</v>
      </c>
      <c r="K397" s="49"/>
      <c r="L397" s="50"/>
      <c r="M397" s="51">
        <f t="shared" si="1"/>
        <v>0</v>
      </c>
      <c r="N397" s="49"/>
      <c r="O397" s="49"/>
      <c r="P397" s="49"/>
      <c r="Q397" s="52"/>
      <c r="R397" s="53"/>
      <c r="S397" s="53"/>
      <c r="T397" s="54"/>
      <c r="U397" s="19">
        <f t="shared" si="2"/>
        <v>0</v>
      </c>
      <c r="V397" s="20">
        <f t="shared" si="3"/>
        <v>0</v>
      </c>
      <c r="W397" s="55">
        <f t="array" ref="W397">IFERROR(INDEX(PRECIOS_TINTORERIA!$B$4:$U$15,MATCH(D397,PRECIOS_TINTORERIA!$A$4:$A$15,0),MATCH(VLOOKUP(A397,PROGRAMAS!$A$4:$G$103,7,FALSE()),PRECIOS_TINTORERIA!$B$3:$U$3,0)),0)</f>
        <v>0</v>
      </c>
      <c r="X397" s="56"/>
      <c r="Y397" s="57"/>
      <c r="Z397" s="58">
        <f t="shared" si="4"/>
        <v>0</v>
      </c>
      <c r="AA397" s="56"/>
      <c r="AB397" s="56"/>
      <c r="AC397" s="56"/>
      <c r="AD397" s="23">
        <f>IFERROR((SUMIFS(COMPRAS_HILO!$H$4:$H$203,COMPRAS_HILO!$B$4:$B$203,A397))*F397/SUMIFS($F$4:$F$503,$A$4:$A$503,A397),0)</f>
        <v>0</v>
      </c>
      <c r="AE397" s="23">
        <f t="shared" si="5"/>
        <v>0</v>
      </c>
      <c r="AF397" s="23">
        <f t="shared" si="6"/>
        <v>0</v>
      </c>
      <c r="AG397" s="25">
        <f t="shared" si="7"/>
        <v>0</v>
      </c>
      <c r="AH397" s="25">
        <f t="shared" si="8"/>
        <v>0</v>
      </c>
      <c r="AI397" s="59"/>
    </row>
    <row r="398" ht="15.75" customHeight="1">
      <c r="A398" s="40"/>
      <c r="B398" s="33"/>
      <c r="C398" s="45" t="str">
        <f>IFERROR(VLOOKUP(B398,COLORES!$A$4:$B$52,2,FALSE()),"")</f>
        <v/>
      </c>
      <c r="D398" s="33"/>
      <c r="E398" s="46"/>
      <c r="F398" s="34"/>
      <c r="G398" s="33"/>
      <c r="H398" s="47"/>
      <c r="I398" s="47"/>
      <c r="J398" s="48">
        <f>IFERROR(VLOOKUP(VLOOKUP(A398,PROGRAMAS!$A$4:$G$103,7,FALSE()),PRECIOS_TEJEDURIA!$A$4:$B$22,2,FALSE()),0)</f>
        <v>0</v>
      </c>
      <c r="K398" s="49"/>
      <c r="L398" s="50"/>
      <c r="M398" s="51">
        <f t="shared" si="1"/>
        <v>0</v>
      </c>
      <c r="N398" s="49"/>
      <c r="O398" s="49"/>
      <c r="P398" s="49"/>
      <c r="Q398" s="52"/>
      <c r="R398" s="53"/>
      <c r="S398" s="53"/>
      <c r="T398" s="54"/>
      <c r="U398" s="19">
        <f t="shared" si="2"/>
        <v>0</v>
      </c>
      <c r="V398" s="20">
        <f t="shared" si="3"/>
        <v>0</v>
      </c>
      <c r="W398" s="55">
        <f t="array" ref="W398">IFERROR(INDEX(PRECIOS_TINTORERIA!$B$4:$U$15,MATCH(D398,PRECIOS_TINTORERIA!$A$4:$A$15,0),MATCH(VLOOKUP(A398,PROGRAMAS!$A$4:$G$103,7,FALSE()),PRECIOS_TINTORERIA!$B$3:$U$3,0)),0)</f>
        <v>0</v>
      </c>
      <c r="X398" s="56"/>
      <c r="Y398" s="57"/>
      <c r="Z398" s="58">
        <f t="shared" si="4"/>
        <v>0</v>
      </c>
      <c r="AA398" s="56"/>
      <c r="AB398" s="56"/>
      <c r="AC398" s="56"/>
      <c r="AD398" s="23">
        <f>IFERROR((SUMIFS(COMPRAS_HILO!$H$4:$H$203,COMPRAS_HILO!$B$4:$B$203,A398))*F398/SUMIFS($F$4:$F$503,$A$4:$A$503,A398),0)</f>
        <v>0</v>
      </c>
      <c r="AE398" s="23">
        <f t="shared" si="5"/>
        <v>0</v>
      </c>
      <c r="AF398" s="23">
        <f t="shared" si="6"/>
        <v>0</v>
      </c>
      <c r="AG398" s="25">
        <f t="shared" si="7"/>
        <v>0</v>
      </c>
      <c r="AH398" s="25">
        <f t="shared" si="8"/>
        <v>0</v>
      </c>
      <c r="AI398" s="59"/>
    </row>
    <row r="399" ht="15.75" customHeight="1">
      <c r="A399" s="40"/>
      <c r="B399" s="33"/>
      <c r="C399" s="45" t="str">
        <f>IFERROR(VLOOKUP(B399,COLORES!$A$4:$B$52,2,FALSE()),"")</f>
        <v/>
      </c>
      <c r="D399" s="33"/>
      <c r="E399" s="46"/>
      <c r="F399" s="34"/>
      <c r="G399" s="33"/>
      <c r="H399" s="47"/>
      <c r="I399" s="47"/>
      <c r="J399" s="48">
        <f>IFERROR(VLOOKUP(VLOOKUP(A399,PROGRAMAS!$A$4:$G$103,7,FALSE()),PRECIOS_TEJEDURIA!$A$4:$B$22,2,FALSE()),0)</f>
        <v>0</v>
      </c>
      <c r="K399" s="49"/>
      <c r="L399" s="50"/>
      <c r="M399" s="51">
        <f t="shared" si="1"/>
        <v>0</v>
      </c>
      <c r="N399" s="49"/>
      <c r="O399" s="49"/>
      <c r="P399" s="49"/>
      <c r="Q399" s="52"/>
      <c r="R399" s="53"/>
      <c r="S399" s="53"/>
      <c r="T399" s="54"/>
      <c r="U399" s="19">
        <f t="shared" si="2"/>
        <v>0</v>
      </c>
      <c r="V399" s="20">
        <f t="shared" si="3"/>
        <v>0</v>
      </c>
      <c r="W399" s="55">
        <f t="array" ref="W399">IFERROR(INDEX(PRECIOS_TINTORERIA!$B$4:$U$15,MATCH(D399,PRECIOS_TINTORERIA!$A$4:$A$15,0),MATCH(VLOOKUP(A399,PROGRAMAS!$A$4:$G$103,7,FALSE()),PRECIOS_TINTORERIA!$B$3:$U$3,0)),0)</f>
        <v>0</v>
      </c>
      <c r="X399" s="56"/>
      <c r="Y399" s="57"/>
      <c r="Z399" s="58">
        <f t="shared" si="4"/>
        <v>0</v>
      </c>
      <c r="AA399" s="56"/>
      <c r="AB399" s="56"/>
      <c r="AC399" s="56"/>
      <c r="AD399" s="23">
        <f>IFERROR((SUMIFS(COMPRAS_HILO!$H$4:$H$203,COMPRAS_HILO!$B$4:$B$203,A399))*F399/SUMIFS($F$4:$F$503,$A$4:$A$503,A399),0)</f>
        <v>0</v>
      </c>
      <c r="AE399" s="23">
        <f t="shared" si="5"/>
        <v>0</v>
      </c>
      <c r="AF399" s="23">
        <f t="shared" si="6"/>
        <v>0</v>
      </c>
      <c r="AG399" s="25">
        <f t="shared" si="7"/>
        <v>0</v>
      </c>
      <c r="AH399" s="25">
        <f t="shared" si="8"/>
        <v>0</v>
      </c>
      <c r="AI399" s="59"/>
    </row>
    <row r="400" ht="15.75" customHeight="1">
      <c r="A400" s="40"/>
      <c r="B400" s="33"/>
      <c r="C400" s="45" t="str">
        <f>IFERROR(VLOOKUP(B400,COLORES!$A$4:$B$52,2,FALSE()),"")</f>
        <v/>
      </c>
      <c r="D400" s="33"/>
      <c r="E400" s="46"/>
      <c r="F400" s="34"/>
      <c r="G400" s="33"/>
      <c r="H400" s="47"/>
      <c r="I400" s="47"/>
      <c r="J400" s="48">
        <f>IFERROR(VLOOKUP(VLOOKUP(A400,PROGRAMAS!$A$4:$G$103,7,FALSE()),PRECIOS_TEJEDURIA!$A$4:$B$22,2,FALSE()),0)</f>
        <v>0</v>
      </c>
      <c r="K400" s="49"/>
      <c r="L400" s="50"/>
      <c r="M400" s="51">
        <f t="shared" si="1"/>
        <v>0</v>
      </c>
      <c r="N400" s="49"/>
      <c r="O400" s="49"/>
      <c r="P400" s="49"/>
      <c r="Q400" s="52"/>
      <c r="R400" s="53"/>
      <c r="S400" s="53"/>
      <c r="T400" s="54"/>
      <c r="U400" s="19">
        <f t="shared" si="2"/>
        <v>0</v>
      </c>
      <c r="V400" s="20">
        <f t="shared" si="3"/>
        <v>0</v>
      </c>
      <c r="W400" s="55">
        <f t="array" ref="W400">IFERROR(INDEX(PRECIOS_TINTORERIA!$B$4:$U$15,MATCH(D400,PRECIOS_TINTORERIA!$A$4:$A$15,0),MATCH(VLOOKUP(A400,PROGRAMAS!$A$4:$G$103,7,FALSE()),PRECIOS_TINTORERIA!$B$3:$U$3,0)),0)</f>
        <v>0</v>
      </c>
      <c r="X400" s="56"/>
      <c r="Y400" s="57"/>
      <c r="Z400" s="58">
        <f t="shared" si="4"/>
        <v>0</v>
      </c>
      <c r="AA400" s="56"/>
      <c r="AB400" s="56"/>
      <c r="AC400" s="56"/>
      <c r="AD400" s="23">
        <f>IFERROR((SUMIFS(COMPRAS_HILO!$H$4:$H$203,COMPRAS_HILO!$B$4:$B$203,A400))*F400/SUMIFS($F$4:$F$503,$A$4:$A$503,A400),0)</f>
        <v>0</v>
      </c>
      <c r="AE400" s="23">
        <f t="shared" si="5"/>
        <v>0</v>
      </c>
      <c r="AF400" s="23">
        <f t="shared" si="6"/>
        <v>0</v>
      </c>
      <c r="AG400" s="25">
        <f t="shared" si="7"/>
        <v>0</v>
      </c>
      <c r="AH400" s="25">
        <f t="shared" si="8"/>
        <v>0</v>
      </c>
      <c r="AI400" s="59"/>
    </row>
    <row r="401" ht="15.75" customHeight="1">
      <c r="A401" s="40"/>
      <c r="B401" s="33"/>
      <c r="C401" s="45" t="str">
        <f>IFERROR(VLOOKUP(B401,COLORES!$A$4:$B$52,2,FALSE()),"")</f>
        <v/>
      </c>
      <c r="D401" s="33"/>
      <c r="E401" s="46"/>
      <c r="F401" s="34"/>
      <c r="G401" s="33"/>
      <c r="H401" s="47"/>
      <c r="I401" s="47"/>
      <c r="J401" s="48">
        <f>IFERROR(VLOOKUP(VLOOKUP(A401,PROGRAMAS!$A$4:$G$103,7,FALSE()),PRECIOS_TEJEDURIA!$A$4:$B$22,2,FALSE()),0)</f>
        <v>0</v>
      </c>
      <c r="K401" s="49"/>
      <c r="L401" s="50"/>
      <c r="M401" s="51">
        <f t="shared" si="1"/>
        <v>0</v>
      </c>
      <c r="N401" s="49"/>
      <c r="O401" s="49"/>
      <c r="P401" s="49"/>
      <c r="Q401" s="52"/>
      <c r="R401" s="53"/>
      <c r="S401" s="53"/>
      <c r="T401" s="54"/>
      <c r="U401" s="19">
        <f t="shared" si="2"/>
        <v>0</v>
      </c>
      <c r="V401" s="20">
        <f t="shared" si="3"/>
        <v>0</v>
      </c>
      <c r="W401" s="55">
        <f t="array" ref="W401">IFERROR(INDEX(PRECIOS_TINTORERIA!$B$4:$U$15,MATCH(D401,PRECIOS_TINTORERIA!$A$4:$A$15,0),MATCH(VLOOKUP(A401,PROGRAMAS!$A$4:$G$103,7,FALSE()),PRECIOS_TINTORERIA!$B$3:$U$3,0)),0)</f>
        <v>0</v>
      </c>
      <c r="X401" s="56"/>
      <c r="Y401" s="57"/>
      <c r="Z401" s="58">
        <f t="shared" si="4"/>
        <v>0</v>
      </c>
      <c r="AA401" s="56"/>
      <c r="AB401" s="56"/>
      <c r="AC401" s="56"/>
      <c r="AD401" s="23">
        <f>IFERROR((SUMIFS(COMPRAS_HILO!$H$4:$H$203,COMPRAS_HILO!$B$4:$B$203,A401))*F401/SUMIFS($F$4:$F$503,$A$4:$A$503,A401),0)</f>
        <v>0</v>
      </c>
      <c r="AE401" s="23">
        <f t="shared" si="5"/>
        <v>0</v>
      </c>
      <c r="AF401" s="23">
        <f t="shared" si="6"/>
        <v>0</v>
      </c>
      <c r="AG401" s="25">
        <f t="shared" si="7"/>
        <v>0</v>
      </c>
      <c r="AH401" s="25">
        <f t="shared" si="8"/>
        <v>0</v>
      </c>
      <c r="AI401" s="59"/>
    </row>
    <row r="402" ht="15.75" customHeight="1">
      <c r="A402" s="40"/>
      <c r="B402" s="33"/>
      <c r="C402" s="45" t="str">
        <f>IFERROR(VLOOKUP(B402,COLORES!$A$4:$B$52,2,FALSE()),"")</f>
        <v/>
      </c>
      <c r="D402" s="33"/>
      <c r="E402" s="46"/>
      <c r="F402" s="34"/>
      <c r="G402" s="33"/>
      <c r="H402" s="47"/>
      <c r="I402" s="47"/>
      <c r="J402" s="48">
        <f>IFERROR(VLOOKUP(VLOOKUP(A402,PROGRAMAS!$A$4:$G$103,7,FALSE()),PRECIOS_TEJEDURIA!$A$4:$B$22,2,FALSE()),0)</f>
        <v>0</v>
      </c>
      <c r="K402" s="49"/>
      <c r="L402" s="50"/>
      <c r="M402" s="51">
        <f t="shared" si="1"/>
        <v>0</v>
      </c>
      <c r="N402" s="49"/>
      <c r="O402" s="49"/>
      <c r="P402" s="49"/>
      <c r="Q402" s="52"/>
      <c r="R402" s="53"/>
      <c r="S402" s="53"/>
      <c r="T402" s="54"/>
      <c r="U402" s="19">
        <f t="shared" si="2"/>
        <v>0</v>
      </c>
      <c r="V402" s="20">
        <f t="shared" si="3"/>
        <v>0</v>
      </c>
      <c r="W402" s="55">
        <f t="array" ref="W402">IFERROR(INDEX(PRECIOS_TINTORERIA!$B$4:$U$15,MATCH(D402,PRECIOS_TINTORERIA!$A$4:$A$15,0),MATCH(VLOOKUP(A402,PROGRAMAS!$A$4:$G$103,7,FALSE()),PRECIOS_TINTORERIA!$B$3:$U$3,0)),0)</f>
        <v>0</v>
      </c>
      <c r="X402" s="56"/>
      <c r="Y402" s="57"/>
      <c r="Z402" s="58">
        <f t="shared" si="4"/>
        <v>0</v>
      </c>
      <c r="AA402" s="56"/>
      <c r="AB402" s="56"/>
      <c r="AC402" s="56"/>
      <c r="AD402" s="23">
        <f>IFERROR((SUMIFS(COMPRAS_HILO!$H$4:$H$203,COMPRAS_HILO!$B$4:$B$203,A402))*F402/SUMIFS($F$4:$F$503,$A$4:$A$503,A402),0)</f>
        <v>0</v>
      </c>
      <c r="AE402" s="23">
        <f t="shared" si="5"/>
        <v>0</v>
      </c>
      <c r="AF402" s="23">
        <f t="shared" si="6"/>
        <v>0</v>
      </c>
      <c r="AG402" s="25">
        <f t="shared" si="7"/>
        <v>0</v>
      </c>
      <c r="AH402" s="25">
        <f t="shared" si="8"/>
        <v>0</v>
      </c>
      <c r="AI402" s="59"/>
    </row>
    <row r="403" ht="15.75" customHeight="1">
      <c r="A403" s="40"/>
      <c r="B403" s="33"/>
      <c r="C403" s="45" t="str">
        <f>IFERROR(VLOOKUP(B403,COLORES!$A$4:$B$52,2,FALSE()),"")</f>
        <v/>
      </c>
      <c r="D403" s="33"/>
      <c r="E403" s="46"/>
      <c r="F403" s="34"/>
      <c r="G403" s="33"/>
      <c r="H403" s="47"/>
      <c r="I403" s="47"/>
      <c r="J403" s="48">
        <f>IFERROR(VLOOKUP(VLOOKUP(A403,PROGRAMAS!$A$4:$G$103,7,FALSE()),PRECIOS_TEJEDURIA!$A$4:$B$22,2,FALSE()),0)</f>
        <v>0</v>
      </c>
      <c r="K403" s="49"/>
      <c r="L403" s="50"/>
      <c r="M403" s="51">
        <f t="shared" si="1"/>
        <v>0</v>
      </c>
      <c r="N403" s="49"/>
      <c r="O403" s="49"/>
      <c r="P403" s="49"/>
      <c r="Q403" s="52"/>
      <c r="R403" s="53"/>
      <c r="S403" s="53"/>
      <c r="T403" s="54"/>
      <c r="U403" s="19">
        <f t="shared" si="2"/>
        <v>0</v>
      </c>
      <c r="V403" s="20">
        <f t="shared" si="3"/>
        <v>0</v>
      </c>
      <c r="W403" s="55">
        <f t="array" ref="W403">IFERROR(INDEX(PRECIOS_TINTORERIA!$B$4:$U$15,MATCH(D403,PRECIOS_TINTORERIA!$A$4:$A$15,0),MATCH(VLOOKUP(A403,PROGRAMAS!$A$4:$G$103,7,FALSE()),PRECIOS_TINTORERIA!$B$3:$U$3,0)),0)</f>
        <v>0</v>
      </c>
      <c r="X403" s="56"/>
      <c r="Y403" s="57"/>
      <c r="Z403" s="58">
        <f t="shared" si="4"/>
        <v>0</v>
      </c>
      <c r="AA403" s="56"/>
      <c r="AB403" s="56"/>
      <c r="AC403" s="56"/>
      <c r="AD403" s="23">
        <f>IFERROR((SUMIFS(COMPRAS_HILO!$H$4:$H$203,COMPRAS_HILO!$B$4:$B$203,A403))*F403/SUMIFS($F$4:$F$503,$A$4:$A$503,A403),0)</f>
        <v>0</v>
      </c>
      <c r="AE403" s="23">
        <f t="shared" si="5"/>
        <v>0</v>
      </c>
      <c r="AF403" s="23">
        <f t="shared" si="6"/>
        <v>0</v>
      </c>
      <c r="AG403" s="25">
        <f t="shared" si="7"/>
        <v>0</v>
      </c>
      <c r="AH403" s="25">
        <f t="shared" si="8"/>
        <v>0</v>
      </c>
      <c r="AI403" s="59"/>
    </row>
    <row r="404" ht="15.75" customHeight="1">
      <c r="A404" s="40"/>
      <c r="B404" s="33"/>
      <c r="C404" s="45" t="str">
        <f>IFERROR(VLOOKUP(B404,COLORES!$A$4:$B$52,2,FALSE()),"")</f>
        <v/>
      </c>
      <c r="D404" s="33"/>
      <c r="E404" s="46"/>
      <c r="F404" s="34"/>
      <c r="G404" s="33"/>
      <c r="H404" s="47"/>
      <c r="I404" s="47"/>
      <c r="J404" s="48">
        <f>IFERROR(VLOOKUP(VLOOKUP(A404,PROGRAMAS!$A$4:$G$103,7,FALSE()),PRECIOS_TEJEDURIA!$A$4:$B$22,2,FALSE()),0)</f>
        <v>0</v>
      </c>
      <c r="K404" s="49"/>
      <c r="L404" s="50"/>
      <c r="M404" s="51">
        <f t="shared" si="1"/>
        <v>0</v>
      </c>
      <c r="N404" s="49"/>
      <c r="O404" s="49"/>
      <c r="P404" s="49"/>
      <c r="Q404" s="52"/>
      <c r="R404" s="53"/>
      <c r="S404" s="53"/>
      <c r="T404" s="54"/>
      <c r="U404" s="19">
        <f t="shared" si="2"/>
        <v>0</v>
      </c>
      <c r="V404" s="20">
        <f t="shared" si="3"/>
        <v>0</v>
      </c>
      <c r="W404" s="55">
        <f t="array" ref="W404">IFERROR(INDEX(PRECIOS_TINTORERIA!$B$4:$U$15,MATCH(D404,PRECIOS_TINTORERIA!$A$4:$A$15,0),MATCH(VLOOKUP(A404,PROGRAMAS!$A$4:$G$103,7,FALSE()),PRECIOS_TINTORERIA!$B$3:$U$3,0)),0)</f>
        <v>0</v>
      </c>
      <c r="X404" s="56"/>
      <c r="Y404" s="57"/>
      <c r="Z404" s="58">
        <f t="shared" si="4"/>
        <v>0</v>
      </c>
      <c r="AA404" s="56"/>
      <c r="AB404" s="56"/>
      <c r="AC404" s="56"/>
      <c r="AD404" s="23">
        <f>IFERROR((SUMIFS(COMPRAS_HILO!$H$4:$H$203,COMPRAS_HILO!$B$4:$B$203,A404))*F404/SUMIFS($F$4:$F$503,$A$4:$A$503,A404),0)</f>
        <v>0</v>
      </c>
      <c r="AE404" s="23">
        <f t="shared" si="5"/>
        <v>0</v>
      </c>
      <c r="AF404" s="23">
        <f t="shared" si="6"/>
        <v>0</v>
      </c>
      <c r="AG404" s="25">
        <f t="shared" si="7"/>
        <v>0</v>
      </c>
      <c r="AH404" s="25">
        <f t="shared" si="8"/>
        <v>0</v>
      </c>
      <c r="AI404" s="59"/>
    </row>
    <row r="405" ht="15.75" customHeight="1">
      <c r="A405" s="40"/>
      <c r="B405" s="33"/>
      <c r="C405" s="45" t="str">
        <f>IFERROR(VLOOKUP(B405,COLORES!$A$4:$B$52,2,FALSE()),"")</f>
        <v/>
      </c>
      <c r="D405" s="33"/>
      <c r="E405" s="46"/>
      <c r="F405" s="34"/>
      <c r="G405" s="33"/>
      <c r="H405" s="47"/>
      <c r="I405" s="47"/>
      <c r="J405" s="48">
        <f>IFERROR(VLOOKUP(VLOOKUP(A405,PROGRAMAS!$A$4:$G$103,7,FALSE()),PRECIOS_TEJEDURIA!$A$4:$B$22,2,FALSE()),0)</f>
        <v>0</v>
      </c>
      <c r="K405" s="49"/>
      <c r="L405" s="50"/>
      <c r="M405" s="51">
        <f t="shared" si="1"/>
        <v>0</v>
      </c>
      <c r="N405" s="49"/>
      <c r="O405" s="49"/>
      <c r="P405" s="49"/>
      <c r="Q405" s="52"/>
      <c r="R405" s="53"/>
      <c r="S405" s="53"/>
      <c r="T405" s="54"/>
      <c r="U405" s="19">
        <f t="shared" si="2"/>
        <v>0</v>
      </c>
      <c r="V405" s="20">
        <f t="shared" si="3"/>
        <v>0</v>
      </c>
      <c r="W405" s="55">
        <f t="array" ref="W405">IFERROR(INDEX(PRECIOS_TINTORERIA!$B$4:$U$15,MATCH(D405,PRECIOS_TINTORERIA!$A$4:$A$15,0),MATCH(VLOOKUP(A405,PROGRAMAS!$A$4:$G$103,7,FALSE()),PRECIOS_TINTORERIA!$B$3:$U$3,0)),0)</f>
        <v>0</v>
      </c>
      <c r="X405" s="56"/>
      <c r="Y405" s="57"/>
      <c r="Z405" s="58">
        <f t="shared" si="4"/>
        <v>0</v>
      </c>
      <c r="AA405" s="56"/>
      <c r="AB405" s="56"/>
      <c r="AC405" s="56"/>
      <c r="AD405" s="23">
        <f>IFERROR((SUMIFS(COMPRAS_HILO!$H$4:$H$203,COMPRAS_HILO!$B$4:$B$203,A405))*F405/SUMIFS($F$4:$F$503,$A$4:$A$503,A405),0)</f>
        <v>0</v>
      </c>
      <c r="AE405" s="23">
        <f t="shared" si="5"/>
        <v>0</v>
      </c>
      <c r="AF405" s="23">
        <f t="shared" si="6"/>
        <v>0</v>
      </c>
      <c r="AG405" s="25">
        <f t="shared" si="7"/>
        <v>0</v>
      </c>
      <c r="AH405" s="25">
        <f t="shared" si="8"/>
        <v>0</v>
      </c>
      <c r="AI405" s="59"/>
    </row>
    <row r="406" ht="15.75" customHeight="1">
      <c r="A406" s="40"/>
      <c r="B406" s="33"/>
      <c r="C406" s="45" t="str">
        <f>IFERROR(VLOOKUP(B406,COLORES!$A$4:$B$52,2,FALSE()),"")</f>
        <v/>
      </c>
      <c r="D406" s="33"/>
      <c r="E406" s="46"/>
      <c r="F406" s="34"/>
      <c r="G406" s="33"/>
      <c r="H406" s="47"/>
      <c r="I406" s="47"/>
      <c r="J406" s="48">
        <f>IFERROR(VLOOKUP(VLOOKUP(A406,PROGRAMAS!$A$4:$G$103,7,FALSE()),PRECIOS_TEJEDURIA!$A$4:$B$22,2,FALSE()),0)</f>
        <v>0</v>
      </c>
      <c r="K406" s="49"/>
      <c r="L406" s="50"/>
      <c r="M406" s="51">
        <f t="shared" si="1"/>
        <v>0</v>
      </c>
      <c r="N406" s="49"/>
      <c r="O406" s="49"/>
      <c r="P406" s="49"/>
      <c r="Q406" s="52"/>
      <c r="R406" s="53"/>
      <c r="S406" s="53"/>
      <c r="T406" s="54"/>
      <c r="U406" s="19">
        <f t="shared" si="2"/>
        <v>0</v>
      </c>
      <c r="V406" s="20">
        <f t="shared" si="3"/>
        <v>0</v>
      </c>
      <c r="W406" s="55">
        <f t="array" ref="W406">IFERROR(INDEX(PRECIOS_TINTORERIA!$B$4:$U$15,MATCH(D406,PRECIOS_TINTORERIA!$A$4:$A$15,0),MATCH(VLOOKUP(A406,PROGRAMAS!$A$4:$G$103,7,FALSE()),PRECIOS_TINTORERIA!$B$3:$U$3,0)),0)</f>
        <v>0</v>
      </c>
      <c r="X406" s="56"/>
      <c r="Y406" s="57"/>
      <c r="Z406" s="58">
        <f t="shared" si="4"/>
        <v>0</v>
      </c>
      <c r="AA406" s="56"/>
      <c r="AB406" s="56"/>
      <c r="AC406" s="56"/>
      <c r="AD406" s="23">
        <f>IFERROR((SUMIFS(COMPRAS_HILO!$H$4:$H$203,COMPRAS_HILO!$B$4:$B$203,A406))*F406/SUMIFS($F$4:$F$503,$A$4:$A$503,A406),0)</f>
        <v>0</v>
      </c>
      <c r="AE406" s="23">
        <f t="shared" si="5"/>
        <v>0</v>
      </c>
      <c r="AF406" s="23">
        <f t="shared" si="6"/>
        <v>0</v>
      </c>
      <c r="AG406" s="25">
        <f t="shared" si="7"/>
        <v>0</v>
      </c>
      <c r="AH406" s="25">
        <f t="shared" si="8"/>
        <v>0</v>
      </c>
      <c r="AI406" s="59"/>
    </row>
    <row r="407" ht="15.75" customHeight="1">
      <c r="A407" s="40"/>
      <c r="B407" s="33"/>
      <c r="C407" s="45" t="str">
        <f>IFERROR(VLOOKUP(B407,COLORES!$A$4:$B$52,2,FALSE()),"")</f>
        <v/>
      </c>
      <c r="D407" s="33"/>
      <c r="E407" s="46"/>
      <c r="F407" s="34"/>
      <c r="G407" s="33"/>
      <c r="H407" s="47"/>
      <c r="I407" s="47"/>
      <c r="J407" s="48">
        <f>IFERROR(VLOOKUP(VLOOKUP(A407,PROGRAMAS!$A$4:$G$103,7,FALSE()),PRECIOS_TEJEDURIA!$A$4:$B$22,2,FALSE()),0)</f>
        <v>0</v>
      </c>
      <c r="K407" s="49"/>
      <c r="L407" s="50"/>
      <c r="M407" s="51">
        <f t="shared" si="1"/>
        <v>0</v>
      </c>
      <c r="N407" s="49"/>
      <c r="O407" s="49"/>
      <c r="P407" s="49"/>
      <c r="Q407" s="52"/>
      <c r="R407" s="53"/>
      <c r="S407" s="53"/>
      <c r="T407" s="54"/>
      <c r="U407" s="19">
        <f t="shared" si="2"/>
        <v>0</v>
      </c>
      <c r="V407" s="20">
        <f t="shared" si="3"/>
        <v>0</v>
      </c>
      <c r="W407" s="55">
        <f t="array" ref="W407">IFERROR(INDEX(PRECIOS_TINTORERIA!$B$4:$U$15,MATCH(D407,PRECIOS_TINTORERIA!$A$4:$A$15,0),MATCH(VLOOKUP(A407,PROGRAMAS!$A$4:$G$103,7,FALSE()),PRECIOS_TINTORERIA!$B$3:$U$3,0)),0)</f>
        <v>0</v>
      </c>
      <c r="X407" s="56"/>
      <c r="Y407" s="57"/>
      <c r="Z407" s="58">
        <f t="shared" si="4"/>
        <v>0</v>
      </c>
      <c r="AA407" s="56"/>
      <c r="AB407" s="56"/>
      <c r="AC407" s="56"/>
      <c r="AD407" s="23">
        <f>IFERROR((SUMIFS(COMPRAS_HILO!$H$4:$H$203,COMPRAS_HILO!$B$4:$B$203,A407))*F407/SUMIFS($F$4:$F$503,$A$4:$A$503,A407),0)</f>
        <v>0</v>
      </c>
      <c r="AE407" s="23">
        <f t="shared" si="5"/>
        <v>0</v>
      </c>
      <c r="AF407" s="23">
        <f t="shared" si="6"/>
        <v>0</v>
      </c>
      <c r="AG407" s="25">
        <f t="shared" si="7"/>
        <v>0</v>
      </c>
      <c r="AH407" s="25">
        <f t="shared" si="8"/>
        <v>0</v>
      </c>
      <c r="AI407" s="59"/>
    </row>
    <row r="408" ht="15.75" customHeight="1">
      <c r="A408" s="40"/>
      <c r="B408" s="33"/>
      <c r="C408" s="45" t="str">
        <f>IFERROR(VLOOKUP(B408,COLORES!$A$4:$B$52,2,FALSE()),"")</f>
        <v/>
      </c>
      <c r="D408" s="33"/>
      <c r="E408" s="46"/>
      <c r="F408" s="34"/>
      <c r="G408" s="33"/>
      <c r="H408" s="47"/>
      <c r="I408" s="47"/>
      <c r="J408" s="48">
        <f>IFERROR(VLOOKUP(VLOOKUP(A408,PROGRAMAS!$A$4:$G$103,7,FALSE()),PRECIOS_TEJEDURIA!$A$4:$B$22,2,FALSE()),0)</f>
        <v>0</v>
      </c>
      <c r="K408" s="49"/>
      <c r="L408" s="50"/>
      <c r="M408" s="51">
        <f t="shared" si="1"/>
        <v>0</v>
      </c>
      <c r="N408" s="49"/>
      <c r="O408" s="49"/>
      <c r="P408" s="49"/>
      <c r="Q408" s="52"/>
      <c r="R408" s="53"/>
      <c r="S408" s="53"/>
      <c r="T408" s="54"/>
      <c r="U408" s="19">
        <f t="shared" si="2"/>
        <v>0</v>
      </c>
      <c r="V408" s="20">
        <f t="shared" si="3"/>
        <v>0</v>
      </c>
      <c r="W408" s="55">
        <f t="array" ref="W408">IFERROR(INDEX(PRECIOS_TINTORERIA!$B$4:$U$15,MATCH(D408,PRECIOS_TINTORERIA!$A$4:$A$15,0),MATCH(VLOOKUP(A408,PROGRAMAS!$A$4:$G$103,7,FALSE()),PRECIOS_TINTORERIA!$B$3:$U$3,0)),0)</f>
        <v>0</v>
      </c>
      <c r="X408" s="56"/>
      <c r="Y408" s="57"/>
      <c r="Z408" s="58">
        <f t="shared" si="4"/>
        <v>0</v>
      </c>
      <c r="AA408" s="56"/>
      <c r="AB408" s="56"/>
      <c r="AC408" s="56"/>
      <c r="AD408" s="23">
        <f>IFERROR((SUMIFS(COMPRAS_HILO!$H$4:$H$203,COMPRAS_HILO!$B$4:$B$203,A408))*F408/SUMIFS($F$4:$F$503,$A$4:$A$503,A408),0)</f>
        <v>0</v>
      </c>
      <c r="AE408" s="23">
        <f t="shared" si="5"/>
        <v>0</v>
      </c>
      <c r="AF408" s="23">
        <f t="shared" si="6"/>
        <v>0</v>
      </c>
      <c r="AG408" s="25">
        <f t="shared" si="7"/>
        <v>0</v>
      </c>
      <c r="AH408" s="25">
        <f t="shared" si="8"/>
        <v>0</v>
      </c>
      <c r="AI408" s="59"/>
    </row>
    <row r="409" ht="15.75" customHeight="1">
      <c r="A409" s="40"/>
      <c r="B409" s="33"/>
      <c r="C409" s="45" t="str">
        <f>IFERROR(VLOOKUP(B409,COLORES!$A$4:$B$52,2,FALSE()),"")</f>
        <v/>
      </c>
      <c r="D409" s="33"/>
      <c r="E409" s="46"/>
      <c r="F409" s="34"/>
      <c r="G409" s="33"/>
      <c r="H409" s="47"/>
      <c r="I409" s="47"/>
      <c r="J409" s="48">
        <f>IFERROR(VLOOKUP(VLOOKUP(A409,PROGRAMAS!$A$4:$G$103,7,FALSE()),PRECIOS_TEJEDURIA!$A$4:$B$22,2,FALSE()),0)</f>
        <v>0</v>
      </c>
      <c r="K409" s="49"/>
      <c r="L409" s="50"/>
      <c r="M409" s="51">
        <f t="shared" si="1"/>
        <v>0</v>
      </c>
      <c r="N409" s="49"/>
      <c r="O409" s="49"/>
      <c r="P409" s="49"/>
      <c r="Q409" s="52"/>
      <c r="R409" s="53"/>
      <c r="S409" s="53"/>
      <c r="T409" s="54"/>
      <c r="U409" s="19">
        <f t="shared" si="2"/>
        <v>0</v>
      </c>
      <c r="V409" s="20">
        <f t="shared" si="3"/>
        <v>0</v>
      </c>
      <c r="W409" s="55">
        <f t="array" ref="W409">IFERROR(INDEX(PRECIOS_TINTORERIA!$B$4:$U$15,MATCH(D409,PRECIOS_TINTORERIA!$A$4:$A$15,0),MATCH(VLOOKUP(A409,PROGRAMAS!$A$4:$G$103,7,FALSE()),PRECIOS_TINTORERIA!$B$3:$U$3,0)),0)</f>
        <v>0</v>
      </c>
      <c r="X409" s="56"/>
      <c r="Y409" s="57"/>
      <c r="Z409" s="58">
        <f t="shared" si="4"/>
        <v>0</v>
      </c>
      <c r="AA409" s="56"/>
      <c r="AB409" s="56"/>
      <c r="AC409" s="56"/>
      <c r="AD409" s="23">
        <f>IFERROR((SUMIFS(COMPRAS_HILO!$H$4:$H$203,COMPRAS_HILO!$B$4:$B$203,A409))*F409/SUMIFS($F$4:$F$503,$A$4:$A$503,A409),0)</f>
        <v>0</v>
      </c>
      <c r="AE409" s="23">
        <f t="shared" si="5"/>
        <v>0</v>
      </c>
      <c r="AF409" s="23">
        <f t="shared" si="6"/>
        <v>0</v>
      </c>
      <c r="AG409" s="25">
        <f t="shared" si="7"/>
        <v>0</v>
      </c>
      <c r="AH409" s="25">
        <f t="shared" si="8"/>
        <v>0</v>
      </c>
      <c r="AI409" s="59"/>
    </row>
    <row r="410" ht="15.75" customHeight="1">
      <c r="A410" s="40"/>
      <c r="B410" s="33"/>
      <c r="C410" s="45" t="str">
        <f>IFERROR(VLOOKUP(B410,COLORES!$A$4:$B$52,2,FALSE()),"")</f>
        <v/>
      </c>
      <c r="D410" s="33"/>
      <c r="E410" s="46"/>
      <c r="F410" s="34"/>
      <c r="G410" s="33"/>
      <c r="H410" s="47"/>
      <c r="I410" s="47"/>
      <c r="J410" s="48">
        <f>IFERROR(VLOOKUP(VLOOKUP(A410,PROGRAMAS!$A$4:$G$103,7,FALSE()),PRECIOS_TEJEDURIA!$A$4:$B$22,2,FALSE()),0)</f>
        <v>0</v>
      </c>
      <c r="K410" s="49"/>
      <c r="L410" s="50"/>
      <c r="M410" s="51">
        <f t="shared" si="1"/>
        <v>0</v>
      </c>
      <c r="N410" s="49"/>
      <c r="O410" s="49"/>
      <c r="P410" s="49"/>
      <c r="Q410" s="52"/>
      <c r="R410" s="53"/>
      <c r="S410" s="53"/>
      <c r="T410" s="54"/>
      <c r="U410" s="19">
        <f t="shared" si="2"/>
        <v>0</v>
      </c>
      <c r="V410" s="20">
        <f t="shared" si="3"/>
        <v>0</v>
      </c>
      <c r="W410" s="55">
        <f t="array" ref="W410">IFERROR(INDEX(PRECIOS_TINTORERIA!$B$4:$U$15,MATCH(D410,PRECIOS_TINTORERIA!$A$4:$A$15,0),MATCH(VLOOKUP(A410,PROGRAMAS!$A$4:$G$103,7,FALSE()),PRECIOS_TINTORERIA!$B$3:$U$3,0)),0)</f>
        <v>0</v>
      </c>
      <c r="X410" s="56"/>
      <c r="Y410" s="57"/>
      <c r="Z410" s="58">
        <f t="shared" si="4"/>
        <v>0</v>
      </c>
      <c r="AA410" s="56"/>
      <c r="AB410" s="56"/>
      <c r="AC410" s="56"/>
      <c r="AD410" s="23">
        <f>IFERROR((SUMIFS(COMPRAS_HILO!$H$4:$H$203,COMPRAS_HILO!$B$4:$B$203,A410))*F410/SUMIFS($F$4:$F$503,$A$4:$A$503,A410),0)</f>
        <v>0</v>
      </c>
      <c r="AE410" s="23">
        <f t="shared" si="5"/>
        <v>0</v>
      </c>
      <c r="AF410" s="23">
        <f t="shared" si="6"/>
        <v>0</v>
      </c>
      <c r="AG410" s="25">
        <f t="shared" si="7"/>
        <v>0</v>
      </c>
      <c r="AH410" s="25">
        <f t="shared" si="8"/>
        <v>0</v>
      </c>
      <c r="AI410" s="59"/>
    </row>
    <row r="411" ht="15.75" customHeight="1">
      <c r="A411" s="40"/>
      <c r="B411" s="33"/>
      <c r="C411" s="45" t="str">
        <f>IFERROR(VLOOKUP(B411,COLORES!$A$4:$B$52,2,FALSE()),"")</f>
        <v/>
      </c>
      <c r="D411" s="33"/>
      <c r="E411" s="46"/>
      <c r="F411" s="34"/>
      <c r="G411" s="33"/>
      <c r="H411" s="47"/>
      <c r="I411" s="47"/>
      <c r="J411" s="48">
        <f>IFERROR(VLOOKUP(VLOOKUP(A411,PROGRAMAS!$A$4:$G$103,7,FALSE()),PRECIOS_TEJEDURIA!$A$4:$B$22,2,FALSE()),0)</f>
        <v>0</v>
      </c>
      <c r="K411" s="49"/>
      <c r="L411" s="50"/>
      <c r="M411" s="51">
        <f t="shared" si="1"/>
        <v>0</v>
      </c>
      <c r="N411" s="49"/>
      <c r="O411" s="49"/>
      <c r="P411" s="49"/>
      <c r="Q411" s="52"/>
      <c r="R411" s="53"/>
      <c r="S411" s="53"/>
      <c r="T411" s="54"/>
      <c r="U411" s="19">
        <f t="shared" si="2"/>
        <v>0</v>
      </c>
      <c r="V411" s="20">
        <f t="shared" si="3"/>
        <v>0</v>
      </c>
      <c r="W411" s="55">
        <f t="array" ref="W411">IFERROR(INDEX(PRECIOS_TINTORERIA!$B$4:$U$15,MATCH(D411,PRECIOS_TINTORERIA!$A$4:$A$15,0),MATCH(VLOOKUP(A411,PROGRAMAS!$A$4:$G$103,7,FALSE()),PRECIOS_TINTORERIA!$B$3:$U$3,0)),0)</f>
        <v>0</v>
      </c>
      <c r="X411" s="56"/>
      <c r="Y411" s="57"/>
      <c r="Z411" s="58">
        <f t="shared" si="4"/>
        <v>0</v>
      </c>
      <c r="AA411" s="56"/>
      <c r="AB411" s="56"/>
      <c r="AC411" s="56"/>
      <c r="AD411" s="23">
        <f>IFERROR((SUMIFS(COMPRAS_HILO!$H$4:$H$203,COMPRAS_HILO!$B$4:$B$203,A411))*F411/SUMIFS($F$4:$F$503,$A$4:$A$503,A411),0)</f>
        <v>0</v>
      </c>
      <c r="AE411" s="23">
        <f t="shared" si="5"/>
        <v>0</v>
      </c>
      <c r="AF411" s="23">
        <f t="shared" si="6"/>
        <v>0</v>
      </c>
      <c r="AG411" s="25">
        <f t="shared" si="7"/>
        <v>0</v>
      </c>
      <c r="AH411" s="25">
        <f t="shared" si="8"/>
        <v>0</v>
      </c>
      <c r="AI411" s="59"/>
    </row>
    <row r="412" ht="15.75" customHeight="1">
      <c r="A412" s="40"/>
      <c r="B412" s="33"/>
      <c r="C412" s="45" t="str">
        <f>IFERROR(VLOOKUP(B412,COLORES!$A$4:$B$52,2,FALSE()),"")</f>
        <v/>
      </c>
      <c r="D412" s="33"/>
      <c r="E412" s="46"/>
      <c r="F412" s="34"/>
      <c r="G412" s="33"/>
      <c r="H412" s="47"/>
      <c r="I412" s="47"/>
      <c r="J412" s="48">
        <f>IFERROR(VLOOKUP(VLOOKUP(A412,PROGRAMAS!$A$4:$G$103,7,FALSE()),PRECIOS_TEJEDURIA!$A$4:$B$22,2,FALSE()),0)</f>
        <v>0</v>
      </c>
      <c r="K412" s="49"/>
      <c r="L412" s="50"/>
      <c r="M412" s="51">
        <f t="shared" si="1"/>
        <v>0</v>
      </c>
      <c r="N412" s="49"/>
      <c r="O412" s="49"/>
      <c r="P412" s="49"/>
      <c r="Q412" s="52"/>
      <c r="R412" s="53"/>
      <c r="S412" s="53"/>
      <c r="T412" s="54"/>
      <c r="U412" s="19">
        <f t="shared" si="2"/>
        <v>0</v>
      </c>
      <c r="V412" s="20">
        <f t="shared" si="3"/>
        <v>0</v>
      </c>
      <c r="W412" s="55">
        <f t="array" ref="W412">IFERROR(INDEX(PRECIOS_TINTORERIA!$B$4:$U$15,MATCH(D412,PRECIOS_TINTORERIA!$A$4:$A$15,0),MATCH(VLOOKUP(A412,PROGRAMAS!$A$4:$G$103,7,FALSE()),PRECIOS_TINTORERIA!$B$3:$U$3,0)),0)</f>
        <v>0</v>
      </c>
      <c r="X412" s="56"/>
      <c r="Y412" s="57"/>
      <c r="Z412" s="58">
        <f t="shared" si="4"/>
        <v>0</v>
      </c>
      <c r="AA412" s="56"/>
      <c r="AB412" s="56"/>
      <c r="AC412" s="56"/>
      <c r="AD412" s="23">
        <f>IFERROR((SUMIFS(COMPRAS_HILO!$H$4:$H$203,COMPRAS_HILO!$B$4:$B$203,A412))*F412/SUMIFS($F$4:$F$503,$A$4:$A$503,A412),0)</f>
        <v>0</v>
      </c>
      <c r="AE412" s="23">
        <f t="shared" si="5"/>
        <v>0</v>
      </c>
      <c r="AF412" s="23">
        <f t="shared" si="6"/>
        <v>0</v>
      </c>
      <c r="AG412" s="25">
        <f t="shared" si="7"/>
        <v>0</v>
      </c>
      <c r="AH412" s="25">
        <f t="shared" si="8"/>
        <v>0</v>
      </c>
      <c r="AI412" s="59"/>
    </row>
    <row r="413" ht="15.75" customHeight="1">
      <c r="A413" s="40"/>
      <c r="B413" s="33"/>
      <c r="C413" s="45" t="str">
        <f>IFERROR(VLOOKUP(B413,COLORES!$A$4:$B$52,2,FALSE()),"")</f>
        <v/>
      </c>
      <c r="D413" s="33"/>
      <c r="E413" s="46"/>
      <c r="F413" s="34"/>
      <c r="G413" s="33"/>
      <c r="H413" s="47"/>
      <c r="I413" s="47"/>
      <c r="J413" s="48">
        <f>IFERROR(VLOOKUP(VLOOKUP(A413,PROGRAMAS!$A$4:$G$103,7,FALSE()),PRECIOS_TEJEDURIA!$A$4:$B$22,2,FALSE()),0)</f>
        <v>0</v>
      </c>
      <c r="K413" s="49"/>
      <c r="L413" s="50"/>
      <c r="M413" s="51">
        <f t="shared" si="1"/>
        <v>0</v>
      </c>
      <c r="N413" s="49"/>
      <c r="O413" s="49"/>
      <c r="P413" s="49"/>
      <c r="Q413" s="52"/>
      <c r="R413" s="53"/>
      <c r="S413" s="53"/>
      <c r="T413" s="54"/>
      <c r="U413" s="19">
        <f t="shared" si="2"/>
        <v>0</v>
      </c>
      <c r="V413" s="20">
        <f t="shared" si="3"/>
        <v>0</v>
      </c>
      <c r="W413" s="55">
        <f t="array" ref="W413">IFERROR(INDEX(PRECIOS_TINTORERIA!$B$4:$U$15,MATCH(D413,PRECIOS_TINTORERIA!$A$4:$A$15,0),MATCH(VLOOKUP(A413,PROGRAMAS!$A$4:$G$103,7,FALSE()),PRECIOS_TINTORERIA!$B$3:$U$3,0)),0)</f>
        <v>0</v>
      </c>
      <c r="X413" s="56"/>
      <c r="Y413" s="57"/>
      <c r="Z413" s="58">
        <f t="shared" si="4"/>
        <v>0</v>
      </c>
      <c r="AA413" s="56"/>
      <c r="AB413" s="56"/>
      <c r="AC413" s="56"/>
      <c r="AD413" s="23">
        <f>IFERROR((SUMIFS(COMPRAS_HILO!$H$4:$H$203,COMPRAS_HILO!$B$4:$B$203,A413))*F413/SUMIFS($F$4:$F$503,$A$4:$A$503,A413),0)</f>
        <v>0</v>
      </c>
      <c r="AE413" s="23">
        <f t="shared" si="5"/>
        <v>0</v>
      </c>
      <c r="AF413" s="23">
        <f t="shared" si="6"/>
        <v>0</v>
      </c>
      <c r="AG413" s="25">
        <f t="shared" si="7"/>
        <v>0</v>
      </c>
      <c r="AH413" s="25">
        <f t="shared" si="8"/>
        <v>0</v>
      </c>
      <c r="AI413" s="59"/>
    </row>
    <row r="414" ht="15.75" customHeight="1">
      <c r="A414" s="40"/>
      <c r="B414" s="33"/>
      <c r="C414" s="45" t="str">
        <f>IFERROR(VLOOKUP(B414,COLORES!$A$4:$B$52,2,FALSE()),"")</f>
        <v/>
      </c>
      <c r="D414" s="33"/>
      <c r="E414" s="46"/>
      <c r="F414" s="34"/>
      <c r="G414" s="33"/>
      <c r="H414" s="47"/>
      <c r="I414" s="47"/>
      <c r="J414" s="48">
        <f>IFERROR(VLOOKUP(VLOOKUP(A414,PROGRAMAS!$A$4:$G$103,7,FALSE()),PRECIOS_TEJEDURIA!$A$4:$B$22,2,FALSE()),0)</f>
        <v>0</v>
      </c>
      <c r="K414" s="49"/>
      <c r="L414" s="50"/>
      <c r="M414" s="51">
        <f t="shared" si="1"/>
        <v>0</v>
      </c>
      <c r="N414" s="49"/>
      <c r="O414" s="49"/>
      <c r="P414" s="49"/>
      <c r="Q414" s="52"/>
      <c r="R414" s="53"/>
      <c r="S414" s="53"/>
      <c r="T414" s="54"/>
      <c r="U414" s="19">
        <f t="shared" si="2"/>
        <v>0</v>
      </c>
      <c r="V414" s="20">
        <f t="shared" si="3"/>
        <v>0</v>
      </c>
      <c r="W414" s="55">
        <f t="array" ref="W414">IFERROR(INDEX(PRECIOS_TINTORERIA!$B$4:$U$15,MATCH(D414,PRECIOS_TINTORERIA!$A$4:$A$15,0),MATCH(VLOOKUP(A414,PROGRAMAS!$A$4:$G$103,7,FALSE()),PRECIOS_TINTORERIA!$B$3:$U$3,0)),0)</f>
        <v>0</v>
      </c>
      <c r="X414" s="56"/>
      <c r="Y414" s="57"/>
      <c r="Z414" s="58">
        <f t="shared" si="4"/>
        <v>0</v>
      </c>
      <c r="AA414" s="56"/>
      <c r="AB414" s="56"/>
      <c r="AC414" s="56"/>
      <c r="AD414" s="23">
        <f>IFERROR((SUMIFS(COMPRAS_HILO!$H$4:$H$203,COMPRAS_HILO!$B$4:$B$203,A414))*F414/SUMIFS($F$4:$F$503,$A$4:$A$503,A414),0)</f>
        <v>0</v>
      </c>
      <c r="AE414" s="23">
        <f t="shared" si="5"/>
        <v>0</v>
      </c>
      <c r="AF414" s="23">
        <f t="shared" si="6"/>
        <v>0</v>
      </c>
      <c r="AG414" s="25">
        <f t="shared" si="7"/>
        <v>0</v>
      </c>
      <c r="AH414" s="25">
        <f t="shared" si="8"/>
        <v>0</v>
      </c>
      <c r="AI414" s="59"/>
    </row>
    <row r="415" ht="15.75" customHeight="1">
      <c r="A415" s="40"/>
      <c r="B415" s="33"/>
      <c r="C415" s="45" t="str">
        <f>IFERROR(VLOOKUP(B415,COLORES!$A$4:$B$52,2,FALSE()),"")</f>
        <v/>
      </c>
      <c r="D415" s="33"/>
      <c r="E415" s="46"/>
      <c r="F415" s="34"/>
      <c r="G415" s="33"/>
      <c r="H415" s="47"/>
      <c r="I415" s="47"/>
      <c r="J415" s="48">
        <f>IFERROR(VLOOKUP(VLOOKUP(A415,PROGRAMAS!$A$4:$G$103,7,FALSE()),PRECIOS_TEJEDURIA!$A$4:$B$22,2,FALSE()),0)</f>
        <v>0</v>
      </c>
      <c r="K415" s="49"/>
      <c r="L415" s="50"/>
      <c r="M415" s="51">
        <f t="shared" si="1"/>
        <v>0</v>
      </c>
      <c r="N415" s="49"/>
      <c r="O415" s="49"/>
      <c r="P415" s="49"/>
      <c r="Q415" s="52"/>
      <c r="R415" s="53"/>
      <c r="S415" s="53"/>
      <c r="T415" s="54"/>
      <c r="U415" s="19">
        <f t="shared" si="2"/>
        <v>0</v>
      </c>
      <c r="V415" s="20">
        <f t="shared" si="3"/>
        <v>0</v>
      </c>
      <c r="W415" s="55">
        <f t="array" ref="W415">IFERROR(INDEX(PRECIOS_TINTORERIA!$B$4:$U$15,MATCH(D415,PRECIOS_TINTORERIA!$A$4:$A$15,0),MATCH(VLOOKUP(A415,PROGRAMAS!$A$4:$G$103,7,FALSE()),PRECIOS_TINTORERIA!$B$3:$U$3,0)),0)</f>
        <v>0</v>
      </c>
      <c r="X415" s="56"/>
      <c r="Y415" s="57"/>
      <c r="Z415" s="58">
        <f t="shared" si="4"/>
        <v>0</v>
      </c>
      <c r="AA415" s="56"/>
      <c r="AB415" s="56"/>
      <c r="AC415" s="56"/>
      <c r="AD415" s="23">
        <f>IFERROR((SUMIFS(COMPRAS_HILO!$H$4:$H$203,COMPRAS_HILO!$B$4:$B$203,A415))*F415/SUMIFS($F$4:$F$503,$A$4:$A$503,A415),0)</f>
        <v>0</v>
      </c>
      <c r="AE415" s="23">
        <f t="shared" si="5"/>
        <v>0</v>
      </c>
      <c r="AF415" s="23">
        <f t="shared" si="6"/>
        <v>0</v>
      </c>
      <c r="AG415" s="25">
        <f t="shared" si="7"/>
        <v>0</v>
      </c>
      <c r="AH415" s="25">
        <f t="shared" si="8"/>
        <v>0</v>
      </c>
      <c r="AI415" s="59"/>
    </row>
    <row r="416" ht="15.75" customHeight="1">
      <c r="A416" s="40"/>
      <c r="B416" s="33"/>
      <c r="C416" s="45" t="str">
        <f>IFERROR(VLOOKUP(B416,COLORES!$A$4:$B$52,2,FALSE()),"")</f>
        <v/>
      </c>
      <c r="D416" s="33"/>
      <c r="E416" s="46"/>
      <c r="F416" s="34"/>
      <c r="G416" s="33"/>
      <c r="H416" s="47"/>
      <c r="I416" s="47"/>
      <c r="J416" s="48">
        <f>IFERROR(VLOOKUP(VLOOKUP(A416,PROGRAMAS!$A$4:$G$103,7,FALSE()),PRECIOS_TEJEDURIA!$A$4:$B$22,2,FALSE()),0)</f>
        <v>0</v>
      </c>
      <c r="K416" s="49"/>
      <c r="L416" s="50"/>
      <c r="M416" s="51">
        <f t="shared" si="1"/>
        <v>0</v>
      </c>
      <c r="N416" s="49"/>
      <c r="O416" s="49"/>
      <c r="P416" s="49"/>
      <c r="Q416" s="52"/>
      <c r="R416" s="53"/>
      <c r="S416" s="53"/>
      <c r="T416" s="54"/>
      <c r="U416" s="19">
        <f t="shared" si="2"/>
        <v>0</v>
      </c>
      <c r="V416" s="20">
        <f t="shared" si="3"/>
        <v>0</v>
      </c>
      <c r="W416" s="55">
        <f t="array" ref="W416">IFERROR(INDEX(PRECIOS_TINTORERIA!$B$4:$U$15,MATCH(D416,PRECIOS_TINTORERIA!$A$4:$A$15,0),MATCH(VLOOKUP(A416,PROGRAMAS!$A$4:$G$103,7,FALSE()),PRECIOS_TINTORERIA!$B$3:$U$3,0)),0)</f>
        <v>0</v>
      </c>
      <c r="X416" s="56"/>
      <c r="Y416" s="57"/>
      <c r="Z416" s="58">
        <f t="shared" si="4"/>
        <v>0</v>
      </c>
      <c r="AA416" s="56"/>
      <c r="AB416" s="56"/>
      <c r="AC416" s="56"/>
      <c r="AD416" s="23">
        <f>IFERROR((SUMIFS(COMPRAS_HILO!$H$4:$H$203,COMPRAS_HILO!$B$4:$B$203,A416))*F416/SUMIFS($F$4:$F$503,$A$4:$A$503,A416),0)</f>
        <v>0</v>
      </c>
      <c r="AE416" s="23">
        <f t="shared" si="5"/>
        <v>0</v>
      </c>
      <c r="AF416" s="23">
        <f t="shared" si="6"/>
        <v>0</v>
      </c>
      <c r="AG416" s="25">
        <f t="shared" si="7"/>
        <v>0</v>
      </c>
      <c r="AH416" s="25">
        <f t="shared" si="8"/>
        <v>0</v>
      </c>
      <c r="AI416" s="59"/>
    </row>
    <row r="417" ht="15.75" customHeight="1">
      <c r="A417" s="40"/>
      <c r="B417" s="33"/>
      <c r="C417" s="45" t="str">
        <f>IFERROR(VLOOKUP(B417,COLORES!$A$4:$B$52,2,FALSE()),"")</f>
        <v/>
      </c>
      <c r="D417" s="33"/>
      <c r="E417" s="46"/>
      <c r="F417" s="34"/>
      <c r="G417" s="33"/>
      <c r="H417" s="47"/>
      <c r="I417" s="47"/>
      <c r="J417" s="48">
        <f>IFERROR(VLOOKUP(VLOOKUP(A417,PROGRAMAS!$A$4:$G$103,7,FALSE()),PRECIOS_TEJEDURIA!$A$4:$B$22,2,FALSE()),0)</f>
        <v>0</v>
      </c>
      <c r="K417" s="49"/>
      <c r="L417" s="50"/>
      <c r="M417" s="51">
        <f t="shared" si="1"/>
        <v>0</v>
      </c>
      <c r="N417" s="49"/>
      <c r="O417" s="49"/>
      <c r="P417" s="49"/>
      <c r="Q417" s="52"/>
      <c r="R417" s="53"/>
      <c r="S417" s="53"/>
      <c r="T417" s="54"/>
      <c r="U417" s="19">
        <f t="shared" si="2"/>
        <v>0</v>
      </c>
      <c r="V417" s="20">
        <f t="shared" si="3"/>
        <v>0</v>
      </c>
      <c r="W417" s="55">
        <f t="array" ref="W417">IFERROR(INDEX(PRECIOS_TINTORERIA!$B$4:$U$15,MATCH(D417,PRECIOS_TINTORERIA!$A$4:$A$15,0),MATCH(VLOOKUP(A417,PROGRAMAS!$A$4:$G$103,7,FALSE()),PRECIOS_TINTORERIA!$B$3:$U$3,0)),0)</f>
        <v>0</v>
      </c>
      <c r="X417" s="56"/>
      <c r="Y417" s="57"/>
      <c r="Z417" s="58">
        <f t="shared" si="4"/>
        <v>0</v>
      </c>
      <c r="AA417" s="56"/>
      <c r="AB417" s="56"/>
      <c r="AC417" s="56"/>
      <c r="AD417" s="23">
        <f>IFERROR((SUMIFS(COMPRAS_HILO!$H$4:$H$203,COMPRAS_HILO!$B$4:$B$203,A417))*F417/SUMIFS($F$4:$F$503,$A$4:$A$503,A417),0)</f>
        <v>0</v>
      </c>
      <c r="AE417" s="23">
        <f t="shared" si="5"/>
        <v>0</v>
      </c>
      <c r="AF417" s="23">
        <f t="shared" si="6"/>
        <v>0</v>
      </c>
      <c r="AG417" s="25">
        <f t="shared" si="7"/>
        <v>0</v>
      </c>
      <c r="AH417" s="25">
        <f t="shared" si="8"/>
        <v>0</v>
      </c>
      <c r="AI417" s="59"/>
    </row>
    <row r="418" ht="15.75" customHeight="1">
      <c r="A418" s="40"/>
      <c r="B418" s="33"/>
      <c r="C418" s="45" t="str">
        <f>IFERROR(VLOOKUP(B418,COLORES!$A$4:$B$52,2,FALSE()),"")</f>
        <v/>
      </c>
      <c r="D418" s="33"/>
      <c r="E418" s="46"/>
      <c r="F418" s="34"/>
      <c r="G418" s="33"/>
      <c r="H418" s="47"/>
      <c r="I418" s="47"/>
      <c r="J418" s="48">
        <f>IFERROR(VLOOKUP(VLOOKUP(A418,PROGRAMAS!$A$4:$G$103,7,FALSE()),PRECIOS_TEJEDURIA!$A$4:$B$22,2,FALSE()),0)</f>
        <v>0</v>
      </c>
      <c r="K418" s="49"/>
      <c r="L418" s="50"/>
      <c r="M418" s="51">
        <f t="shared" si="1"/>
        <v>0</v>
      </c>
      <c r="N418" s="49"/>
      <c r="O418" s="49"/>
      <c r="P418" s="49"/>
      <c r="Q418" s="52"/>
      <c r="R418" s="53"/>
      <c r="S418" s="53"/>
      <c r="T418" s="54"/>
      <c r="U418" s="19">
        <f t="shared" si="2"/>
        <v>0</v>
      </c>
      <c r="V418" s="20">
        <f t="shared" si="3"/>
        <v>0</v>
      </c>
      <c r="W418" s="55">
        <f t="array" ref="W418">IFERROR(INDEX(PRECIOS_TINTORERIA!$B$4:$U$15,MATCH(D418,PRECIOS_TINTORERIA!$A$4:$A$15,0),MATCH(VLOOKUP(A418,PROGRAMAS!$A$4:$G$103,7,FALSE()),PRECIOS_TINTORERIA!$B$3:$U$3,0)),0)</f>
        <v>0</v>
      </c>
      <c r="X418" s="56"/>
      <c r="Y418" s="57"/>
      <c r="Z418" s="58">
        <f t="shared" si="4"/>
        <v>0</v>
      </c>
      <c r="AA418" s="56"/>
      <c r="AB418" s="56"/>
      <c r="AC418" s="56"/>
      <c r="AD418" s="23">
        <f>IFERROR((SUMIFS(COMPRAS_HILO!$H$4:$H$203,COMPRAS_HILO!$B$4:$B$203,A418))*F418/SUMIFS($F$4:$F$503,$A$4:$A$503,A418),0)</f>
        <v>0</v>
      </c>
      <c r="AE418" s="23">
        <f t="shared" si="5"/>
        <v>0</v>
      </c>
      <c r="AF418" s="23">
        <f t="shared" si="6"/>
        <v>0</v>
      </c>
      <c r="AG418" s="25">
        <f t="shared" si="7"/>
        <v>0</v>
      </c>
      <c r="AH418" s="25">
        <f t="shared" si="8"/>
        <v>0</v>
      </c>
      <c r="AI418" s="59"/>
    </row>
    <row r="419" ht="15.75" customHeight="1">
      <c r="A419" s="40"/>
      <c r="B419" s="33"/>
      <c r="C419" s="45" t="str">
        <f>IFERROR(VLOOKUP(B419,COLORES!$A$4:$B$52,2,FALSE()),"")</f>
        <v/>
      </c>
      <c r="D419" s="33"/>
      <c r="E419" s="46"/>
      <c r="F419" s="34"/>
      <c r="G419" s="33"/>
      <c r="H419" s="47"/>
      <c r="I419" s="47"/>
      <c r="J419" s="48">
        <f>IFERROR(VLOOKUP(VLOOKUP(A419,PROGRAMAS!$A$4:$G$103,7,FALSE()),PRECIOS_TEJEDURIA!$A$4:$B$22,2,FALSE()),0)</f>
        <v>0</v>
      </c>
      <c r="K419" s="49"/>
      <c r="L419" s="50"/>
      <c r="M419" s="51">
        <f t="shared" si="1"/>
        <v>0</v>
      </c>
      <c r="N419" s="49"/>
      <c r="O419" s="49"/>
      <c r="P419" s="49"/>
      <c r="Q419" s="52"/>
      <c r="R419" s="53"/>
      <c r="S419" s="53"/>
      <c r="T419" s="54"/>
      <c r="U419" s="19">
        <f t="shared" si="2"/>
        <v>0</v>
      </c>
      <c r="V419" s="20">
        <f t="shared" si="3"/>
        <v>0</v>
      </c>
      <c r="W419" s="55">
        <f t="array" ref="W419">IFERROR(INDEX(PRECIOS_TINTORERIA!$B$4:$U$15,MATCH(D419,PRECIOS_TINTORERIA!$A$4:$A$15,0),MATCH(VLOOKUP(A419,PROGRAMAS!$A$4:$G$103,7,FALSE()),PRECIOS_TINTORERIA!$B$3:$U$3,0)),0)</f>
        <v>0</v>
      </c>
      <c r="X419" s="56"/>
      <c r="Y419" s="57"/>
      <c r="Z419" s="58">
        <f t="shared" si="4"/>
        <v>0</v>
      </c>
      <c r="AA419" s="56"/>
      <c r="AB419" s="56"/>
      <c r="AC419" s="56"/>
      <c r="AD419" s="23">
        <f>IFERROR((SUMIFS(COMPRAS_HILO!$H$4:$H$203,COMPRAS_HILO!$B$4:$B$203,A419))*F419/SUMIFS($F$4:$F$503,$A$4:$A$503,A419),0)</f>
        <v>0</v>
      </c>
      <c r="AE419" s="23">
        <f t="shared" si="5"/>
        <v>0</v>
      </c>
      <c r="AF419" s="23">
        <f t="shared" si="6"/>
        <v>0</v>
      </c>
      <c r="AG419" s="25">
        <f t="shared" si="7"/>
        <v>0</v>
      </c>
      <c r="AH419" s="25">
        <f t="shared" si="8"/>
        <v>0</v>
      </c>
      <c r="AI419" s="59"/>
    </row>
    <row r="420" ht="15.75" customHeight="1">
      <c r="A420" s="40"/>
      <c r="B420" s="33"/>
      <c r="C420" s="45" t="str">
        <f>IFERROR(VLOOKUP(B420,COLORES!$A$4:$B$52,2,FALSE()),"")</f>
        <v/>
      </c>
      <c r="D420" s="33"/>
      <c r="E420" s="46"/>
      <c r="F420" s="34"/>
      <c r="G420" s="33"/>
      <c r="H420" s="47"/>
      <c r="I420" s="47"/>
      <c r="J420" s="48">
        <f>IFERROR(VLOOKUP(VLOOKUP(A420,PROGRAMAS!$A$4:$G$103,7,FALSE()),PRECIOS_TEJEDURIA!$A$4:$B$22,2,FALSE()),0)</f>
        <v>0</v>
      </c>
      <c r="K420" s="49"/>
      <c r="L420" s="50"/>
      <c r="M420" s="51">
        <f t="shared" si="1"/>
        <v>0</v>
      </c>
      <c r="N420" s="49"/>
      <c r="O420" s="49"/>
      <c r="P420" s="49"/>
      <c r="Q420" s="52"/>
      <c r="R420" s="53"/>
      <c r="S420" s="53"/>
      <c r="T420" s="54"/>
      <c r="U420" s="19">
        <f t="shared" si="2"/>
        <v>0</v>
      </c>
      <c r="V420" s="20">
        <f t="shared" si="3"/>
        <v>0</v>
      </c>
      <c r="W420" s="55">
        <f t="array" ref="W420">IFERROR(INDEX(PRECIOS_TINTORERIA!$B$4:$U$15,MATCH(D420,PRECIOS_TINTORERIA!$A$4:$A$15,0),MATCH(VLOOKUP(A420,PROGRAMAS!$A$4:$G$103,7,FALSE()),PRECIOS_TINTORERIA!$B$3:$U$3,0)),0)</f>
        <v>0</v>
      </c>
      <c r="X420" s="56"/>
      <c r="Y420" s="57"/>
      <c r="Z420" s="58">
        <f t="shared" si="4"/>
        <v>0</v>
      </c>
      <c r="AA420" s="56"/>
      <c r="AB420" s="56"/>
      <c r="AC420" s="56"/>
      <c r="AD420" s="23">
        <f>IFERROR((SUMIFS(COMPRAS_HILO!$H$4:$H$203,COMPRAS_HILO!$B$4:$B$203,A420))*F420/SUMIFS($F$4:$F$503,$A$4:$A$503,A420),0)</f>
        <v>0</v>
      </c>
      <c r="AE420" s="23">
        <f t="shared" si="5"/>
        <v>0</v>
      </c>
      <c r="AF420" s="23">
        <f t="shared" si="6"/>
        <v>0</v>
      </c>
      <c r="AG420" s="25">
        <f t="shared" si="7"/>
        <v>0</v>
      </c>
      <c r="AH420" s="25">
        <f t="shared" si="8"/>
        <v>0</v>
      </c>
      <c r="AI420" s="59"/>
    </row>
    <row r="421" ht="15.75" customHeight="1">
      <c r="A421" s="40"/>
      <c r="B421" s="33"/>
      <c r="C421" s="45" t="str">
        <f>IFERROR(VLOOKUP(B421,COLORES!$A$4:$B$52,2,FALSE()),"")</f>
        <v/>
      </c>
      <c r="D421" s="33"/>
      <c r="E421" s="46"/>
      <c r="F421" s="34"/>
      <c r="G421" s="33"/>
      <c r="H421" s="47"/>
      <c r="I421" s="47"/>
      <c r="J421" s="48">
        <f>IFERROR(VLOOKUP(VLOOKUP(A421,PROGRAMAS!$A$4:$G$103,7,FALSE()),PRECIOS_TEJEDURIA!$A$4:$B$22,2,FALSE()),0)</f>
        <v>0</v>
      </c>
      <c r="K421" s="49"/>
      <c r="L421" s="50"/>
      <c r="M421" s="51">
        <f t="shared" si="1"/>
        <v>0</v>
      </c>
      <c r="N421" s="49"/>
      <c r="O421" s="49"/>
      <c r="P421" s="49"/>
      <c r="Q421" s="52"/>
      <c r="R421" s="53"/>
      <c r="S421" s="53"/>
      <c r="T421" s="54"/>
      <c r="U421" s="19">
        <f t="shared" si="2"/>
        <v>0</v>
      </c>
      <c r="V421" s="20">
        <f t="shared" si="3"/>
        <v>0</v>
      </c>
      <c r="W421" s="55">
        <f t="array" ref="W421">IFERROR(INDEX(PRECIOS_TINTORERIA!$B$4:$U$15,MATCH(D421,PRECIOS_TINTORERIA!$A$4:$A$15,0),MATCH(VLOOKUP(A421,PROGRAMAS!$A$4:$G$103,7,FALSE()),PRECIOS_TINTORERIA!$B$3:$U$3,0)),0)</f>
        <v>0</v>
      </c>
      <c r="X421" s="56"/>
      <c r="Y421" s="57"/>
      <c r="Z421" s="58">
        <f t="shared" si="4"/>
        <v>0</v>
      </c>
      <c r="AA421" s="56"/>
      <c r="AB421" s="56"/>
      <c r="AC421" s="56"/>
      <c r="AD421" s="23">
        <f>IFERROR((SUMIFS(COMPRAS_HILO!$H$4:$H$203,COMPRAS_HILO!$B$4:$B$203,A421))*F421/SUMIFS($F$4:$F$503,$A$4:$A$503,A421),0)</f>
        <v>0</v>
      </c>
      <c r="AE421" s="23">
        <f t="shared" si="5"/>
        <v>0</v>
      </c>
      <c r="AF421" s="23">
        <f t="shared" si="6"/>
        <v>0</v>
      </c>
      <c r="AG421" s="25">
        <f t="shared" si="7"/>
        <v>0</v>
      </c>
      <c r="AH421" s="25">
        <f t="shared" si="8"/>
        <v>0</v>
      </c>
      <c r="AI421" s="59"/>
    </row>
    <row r="422" ht="15.75" customHeight="1">
      <c r="A422" s="40"/>
      <c r="B422" s="33"/>
      <c r="C422" s="45" t="str">
        <f>IFERROR(VLOOKUP(B422,COLORES!$A$4:$B$52,2,FALSE()),"")</f>
        <v/>
      </c>
      <c r="D422" s="33"/>
      <c r="E422" s="46"/>
      <c r="F422" s="34"/>
      <c r="G422" s="33"/>
      <c r="H422" s="47"/>
      <c r="I422" s="47"/>
      <c r="J422" s="48">
        <f>IFERROR(VLOOKUP(VLOOKUP(A422,PROGRAMAS!$A$4:$G$103,7,FALSE()),PRECIOS_TEJEDURIA!$A$4:$B$22,2,FALSE()),0)</f>
        <v>0</v>
      </c>
      <c r="K422" s="49"/>
      <c r="L422" s="50"/>
      <c r="M422" s="51">
        <f t="shared" si="1"/>
        <v>0</v>
      </c>
      <c r="N422" s="49"/>
      <c r="O422" s="49"/>
      <c r="P422" s="49"/>
      <c r="Q422" s="52"/>
      <c r="R422" s="53"/>
      <c r="S422" s="53"/>
      <c r="T422" s="54"/>
      <c r="U422" s="19">
        <f t="shared" si="2"/>
        <v>0</v>
      </c>
      <c r="V422" s="20">
        <f t="shared" si="3"/>
        <v>0</v>
      </c>
      <c r="W422" s="55">
        <f t="array" ref="W422">IFERROR(INDEX(PRECIOS_TINTORERIA!$B$4:$U$15,MATCH(D422,PRECIOS_TINTORERIA!$A$4:$A$15,0),MATCH(VLOOKUP(A422,PROGRAMAS!$A$4:$G$103,7,FALSE()),PRECIOS_TINTORERIA!$B$3:$U$3,0)),0)</f>
        <v>0</v>
      </c>
      <c r="X422" s="56"/>
      <c r="Y422" s="57"/>
      <c r="Z422" s="58">
        <f t="shared" si="4"/>
        <v>0</v>
      </c>
      <c r="AA422" s="56"/>
      <c r="AB422" s="56"/>
      <c r="AC422" s="56"/>
      <c r="AD422" s="23">
        <f>IFERROR((SUMIFS(COMPRAS_HILO!$H$4:$H$203,COMPRAS_HILO!$B$4:$B$203,A422))*F422/SUMIFS($F$4:$F$503,$A$4:$A$503,A422),0)</f>
        <v>0</v>
      </c>
      <c r="AE422" s="23">
        <f t="shared" si="5"/>
        <v>0</v>
      </c>
      <c r="AF422" s="23">
        <f t="shared" si="6"/>
        <v>0</v>
      </c>
      <c r="AG422" s="25">
        <f t="shared" si="7"/>
        <v>0</v>
      </c>
      <c r="AH422" s="25">
        <f t="shared" si="8"/>
        <v>0</v>
      </c>
      <c r="AI422" s="59"/>
    </row>
    <row r="423" ht="15.75" customHeight="1">
      <c r="A423" s="40"/>
      <c r="B423" s="33"/>
      <c r="C423" s="45" t="str">
        <f>IFERROR(VLOOKUP(B423,COLORES!$A$4:$B$52,2,FALSE()),"")</f>
        <v/>
      </c>
      <c r="D423" s="33"/>
      <c r="E423" s="46"/>
      <c r="F423" s="34"/>
      <c r="G423" s="33"/>
      <c r="H423" s="47"/>
      <c r="I423" s="47"/>
      <c r="J423" s="48">
        <f>IFERROR(VLOOKUP(VLOOKUP(A423,PROGRAMAS!$A$4:$G$103,7,FALSE()),PRECIOS_TEJEDURIA!$A$4:$B$22,2,FALSE()),0)</f>
        <v>0</v>
      </c>
      <c r="K423" s="49"/>
      <c r="L423" s="50"/>
      <c r="M423" s="51">
        <f t="shared" si="1"/>
        <v>0</v>
      </c>
      <c r="N423" s="49"/>
      <c r="O423" s="49"/>
      <c r="P423" s="49"/>
      <c r="Q423" s="52"/>
      <c r="R423" s="53"/>
      <c r="S423" s="53"/>
      <c r="T423" s="54"/>
      <c r="U423" s="19">
        <f t="shared" si="2"/>
        <v>0</v>
      </c>
      <c r="V423" s="20">
        <f t="shared" si="3"/>
        <v>0</v>
      </c>
      <c r="W423" s="55">
        <f t="array" ref="W423">IFERROR(INDEX(PRECIOS_TINTORERIA!$B$4:$U$15,MATCH(D423,PRECIOS_TINTORERIA!$A$4:$A$15,0),MATCH(VLOOKUP(A423,PROGRAMAS!$A$4:$G$103,7,FALSE()),PRECIOS_TINTORERIA!$B$3:$U$3,0)),0)</f>
        <v>0</v>
      </c>
      <c r="X423" s="56"/>
      <c r="Y423" s="57"/>
      <c r="Z423" s="58">
        <f t="shared" si="4"/>
        <v>0</v>
      </c>
      <c r="AA423" s="56"/>
      <c r="AB423" s="56"/>
      <c r="AC423" s="56"/>
      <c r="AD423" s="23">
        <f>IFERROR((SUMIFS(COMPRAS_HILO!$H$4:$H$203,COMPRAS_HILO!$B$4:$B$203,A423))*F423/SUMIFS($F$4:$F$503,$A$4:$A$503,A423),0)</f>
        <v>0</v>
      </c>
      <c r="AE423" s="23">
        <f t="shared" si="5"/>
        <v>0</v>
      </c>
      <c r="AF423" s="23">
        <f t="shared" si="6"/>
        <v>0</v>
      </c>
      <c r="AG423" s="25">
        <f t="shared" si="7"/>
        <v>0</v>
      </c>
      <c r="AH423" s="25">
        <f t="shared" si="8"/>
        <v>0</v>
      </c>
      <c r="AI423" s="59"/>
    </row>
    <row r="424" ht="15.75" customHeight="1">
      <c r="A424" s="40"/>
      <c r="B424" s="33"/>
      <c r="C424" s="45" t="str">
        <f>IFERROR(VLOOKUP(B424,COLORES!$A$4:$B$52,2,FALSE()),"")</f>
        <v/>
      </c>
      <c r="D424" s="33"/>
      <c r="E424" s="46"/>
      <c r="F424" s="34"/>
      <c r="G424" s="33"/>
      <c r="H424" s="47"/>
      <c r="I424" s="47"/>
      <c r="J424" s="48">
        <f>IFERROR(VLOOKUP(VLOOKUP(A424,PROGRAMAS!$A$4:$G$103,7,FALSE()),PRECIOS_TEJEDURIA!$A$4:$B$22,2,FALSE()),0)</f>
        <v>0</v>
      </c>
      <c r="K424" s="49"/>
      <c r="L424" s="50"/>
      <c r="M424" s="51">
        <f t="shared" si="1"/>
        <v>0</v>
      </c>
      <c r="N424" s="49"/>
      <c r="O424" s="49"/>
      <c r="P424" s="49"/>
      <c r="Q424" s="52"/>
      <c r="R424" s="53"/>
      <c r="S424" s="53"/>
      <c r="T424" s="54"/>
      <c r="U424" s="19">
        <f t="shared" si="2"/>
        <v>0</v>
      </c>
      <c r="V424" s="20">
        <f t="shared" si="3"/>
        <v>0</v>
      </c>
      <c r="W424" s="55">
        <f t="array" ref="W424">IFERROR(INDEX(PRECIOS_TINTORERIA!$B$4:$U$15,MATCH(D424,PRECIOS_TINTORERIA!$A$4:$A$15,0),MATCH(VLOOKUP(A424,PROGRAMAS!$A$4:$G$103,7,FALSE()),PRECIOS_TINTORERIA!$B$3:$U$3,0)),0)</f>
        <v>0</v>
      </c>
      <c r="X424" s="56"/>
      <c r="Y424" s="57"/>
      <c r="Z424" s="58">
        <f t="shared" si="4"/>
        <v>0</v>
      </c>
      <c r="AA424" s="56"/>
      <c r="AB424" s="56"/>
      <c r="AC424" s="56"/>
      <c r="AD424" s="23">
        <f>IFERROR((SUMIFS(COMPRAS_HILO!$H$4:$H$203,COMPRAS_HILO!$B$4:$B$203,A424))*F424/SUMIFS($F$4:$F$503,$A$4:$A$503,A424),0)</f>
        <v>0</v>
      </c>
      <c r="AE424" s="23">
        <f t="shared" si="5"/>
        <v>0</v>
      </c>
      <c r="AF424" s="23">
        <f t="shared" si="6"/>
        <v>0</v>
      </c>
      <c r="AG424" s="25">
        <f t="shared" si="7"/>
        <v>0</v>
      </c>
      <c r="AH424" s="25">
        <f t="shared" si="8"/>
        <v>0</v>
      </c>
      <c r="AI424" s="59"/>
    </row>
    <row r="425" ht="15.75" customHeight="1">
      <c r="A425" s="40"/>
      <c r="B425" s="33"/>
      <c r="C425" s="45" t="str">
        <f>IFERROR(VLOOKUP(B425,COLORES!$A$4:$B$52,2,FALSE()),"")</f>
        <v/>
      </c>
      <c r="D425" s="33"/>
      <c r="E425" s="46"/>
      <c r="F425" s="34"/>
      <c r="G425" s="33"/>
      <c r="H425" s="47"/>
      <c r="I425" s="47"/>
      <c r="J425" s="48">
        <f>IFERROR(VLOOKUP(VLOOKUP(A425,PROGRAMAS!$A$4:$G$103,7,FALSE()),PRECIOS_TEJEDURIA!$A$4:$B$22,2,FALSE()),0)</f>
        <v>0</v>
      </c>
      <c r="K425" s="49"/>
      <c r="L425" s="50"/>
      <c r="M425" s="51">
        <f t="shared" si="1"/>
        <v>0</v>
      </c>
      <c r="N425" s="49"/>
      <c r="O425" s="49"/>
      <c r="P425" s="49"/>
      <c r="Q425" s="52"/>
      <c r="R425" s="53"/>
      <c r="S425" s="53"/>
      <c r="T425" s="54"/>
      <c r="U425" s="19">
        <f t="shared" si="2"/>
        <v>0</v>
      </c>
      <c r="V425" s="20">
        <f t="shared" si="3"/>
        <v>0</v>
      </c>
      <c r="W425" s="55">
        <f t="array" ref="W425">IFERROR(INDEX(PRECIOS_TINTORERIA!$B$4:$U$15,MATCH(D425,PRECIOS_TINTORERIA!$A$4:$A$15,0),MATCH(VLOOKUP(A425,PROGRAMAS!$A$4:$G$103,7,FALSE()),PRECIOS_TINTORERIA!$B$3:$U$3,0)),0)</f>
        <v>0</v>
      </c>
      <c r="X425" s="56"/>
      <c r="Y425" s="57"/>
      <c r="Z425" s="58">
        <f t="shared" si="4"/>
        <v>0</v>
      </c>
      <c r="AA425" s="56"/>
      <c r="AB425" s="56"/>
      <c r="AC425" s="56"/>
      <c r="AD425" s="23">
        <f>IFERROR((SUMIFS(COMPRAS_HILO!$H$4:$H$203,COMPRAS_HILO!$B$4:$B$203,A425))*F425/SUMIFS($F$4:$F$503,$A$4:$A$503,A425),0)</f>
        <v>0</v>
      </c>
      <c r="AE425" s="23">
        <f t="shared" si="5"/>
        <v>0</v>
      </c>
      <c r="AF425" s="23">
        <f t="shared" si="6"/>
        <v>0</v>
      </c>
      <c r="AG425" s="25">
        <f t="shared" si="7"/>
        <v>0</v>
      </c>
      <c r="AH425" s="25">
        <f t="shared" si="8"/>
        <v>0</v>
      </c>
      <c r="AI425" s="59"/>
    </row>
    <row r="426" ht="15.75" customHeight="1">
      <c r="A426" s="40"/>
      <c r="B426" s="33"/>
      <c r="C426" s="45" t="str">
        <f>IFERROR(VLOOKUP(B426,COLORES!$A$4:$B$52,2,FALSE()),"")</f>
        <v/>
      </c>
      <c r="D426" s="33"/>
      <c r="E426" s="46"/>
      <c r="F426" s="34"/>
      <c r="G426" s="33"/>
      <c r="H426" s="47"/>
      <c r="I426" s="47"/>
      <c r="J426" s="48">
        <f>IFERROR(VLOOKUP(VLOOKUP(A426,PROGRAMAS!$A$4:$G$103,7,FALSE()),PRECIOS_TEJEDURIA!$A$4:$B$22,2,FALSE()),0)</f>
        <v>0</v>
      </c>
      <c r="K426" s="49"/>
      <c r="L426" s="50"/>
      <c r="M426" s="51">
        <f t="shared" si="1"/>
        <v>0</v>
      </c>
      <c r="N426" s="49"/>
      <c r="O426" s="49"/>
      <c r="P426" s="49"/>
      <c r="Q426" s="52"/>
      <c r="R426" s="53"/>
      <c r="S426" s="53"/>
      <c r="T426" s="54"/>
      <c r="U426" s="19">
        <f t="shared" si="2"/>
        <v>0</v>
      </c>
      <c r="V426" s="20">
        <f t="shared" si="3"/>
        <v>0</v>
      </c>
      <c r="W426" s="55">
        <f t="array" ref="W426">IFERROR(INDEX(PRECIOS_TINTORERIA!$B$4:$U$15,MATCH(D426,PRECIOS_TINTORERIA!$A$4:$A$15,0),MATCH(VLOOKUP(A426,PROGRAMAS!$A$4:$G$103,7,FALSE()),PRECIOS_TINTORERIA!$B$3:$U$3,0)),0)</f>
        <v>0</v>
      </c>
      <c r="X426" s="56"/>
      <c r="Y426" s="57"/>
      <c r="Z426" s="58">
        <f t="shared" si="4"/>
        <v>0</v>
      </c>
      <c r="AA426" s="56"/>
      <c r="AB426" s="56"/>
      <c r="AC426" s="56"/>
      <c r="AD426" s="23">
        <f>IFERROR((SUMIFS(COMPRAS_HILO!$H$4:$H$203,COMPRAS_HILO!$B$4:$B$203,A426))*F426/SUMIFS($F$4:$F$503,$A$4:$A$503,A426),0)</f>
        <v>0</v>
      </c>
      <c r="AE426" s="23">
        <f t="shared" si="5"/>
        <v>0</v>
      </c>
      <c r="AF426" s="23">
        <f t="shared" si="6"/>
        <v>0</v>
      </c>
      <c r="AG426" s="25">
        <f t="shared" si="7"/>
        <v>0</v>
      </c>
      <c r="AH426" s="25">
        <f t="shared" si="8"/>
        <v>0</v>
      </c>
      <c r="AI426" s="59"/>
    </row>
    <row r="427" ht="15.75" customHeight="1">
      <c r="A427" s="40"/>
      <c r="B427" s="33"/>
      <c r="C427" s="45" t="str">
        <f>IFERROR(VLOOKUP(B427,COLORES!$A$4:$B$52,2,FALSE()),"")</f>
        <v/>
      </c>
      <c r="D427" s="33"/>
      <c r="E427" s="46"/>
      <c r="F427" s="34"/>
      <c r="G427" s="33"/>
      <c r="H427" s="47"/>
      <c r="I427" s="47"/>
      <c r="J427" s="48">
        <f>IFERROR(VLOOKUP(VLOOKUP(A427,PROGRAMAS!$A$4:$G$103,7,FALSE()),PRECIOS_TEJEDURIA!$A$4:$B$22,2,FALSE()),0)</f>
        <v>0</v>
      </c>
      <c r="K427" s="49"/>
      <c r="L427" s="50"/>
      <c r="M427" s="51">
        <f t="shared" si="1"/>
        <v>0</v>
      </c>
      <c r="N427" s="49"/>
      <c r="O427" s="49"/>
      <c r="P427" s="49"/>
      <c r="Q427" s="52"/>
      <c r="R427" s="53"/>
      <c r="S427" s="53"/>
      <c r="T427" s="54"/>
      <c r="U427" s="19">
        <f t="shared" si="2"/>
        <v>0</v>
      </c>
      <c r="V427" s="20">
        <f t="shared" si="3"/>
        <v>0</v>
      </c>
      <c r="W427" s="55">
        <f t="array" ref="W427">IFERROR(INDEX(PRECIOS_TINTORERIA!$B$4:$U$15,MATCH(D427,PRECIOS_TINTORERIA!$A$4:$A$15,0),MATCH(VLOOKUP(A427,PROGRAMAS!$A$4:$G$103,7,FALSE()),PRECIOS_TINTORERIA!$B$3:$U$3,0)),0)</f>
        <v>0</v>
      </c>
      <c r="X427" s="56"/>
      <c r="Y427" s="57"/>
      <c r="Z427" s="58">
        <f t="shared" si="4"/>
        <v>0</v>
      </c>
      <c r="AA427" s="56"/>
      <c r="AB427" s="56"/>
      <c r="AC427" s="56"/>
      <c r="AD427" s="23">
        <f>IFERROR((SUMIFS(COMPRAS_HILO!$H$4:$H$203,COMPRAS_HILO!$B$4:$B$203,A427))*F427/SUMIFS($F$4:$F$503,$A$4:$A$503,A427),0)</f>
        <v>0</v>
      </c>
      <c r="AE427" s="23">
        <f t="shared" si="5"/>
        <v>0</v>
      </c>
      <c r="AF427" s="23">
        <f t="shared" si="6"/>
        <v>0</v>
      </c>
      <c r="AG427" s="25">
        <f t="shared" si="7"/>
        <v>0</v>
      </c>
      <c r="AH427" s="25">
        <f t="shared" si="8"/>
        <v>0</v>
      </c>
      <c r="AI427" s="59"/>
    </row>
    <row r="428" ht="15.75" customHeight="1">
      <c r="A428" s="40"/>
      <c r="B428" s="33"/>
      <c r="C428" s="45" t="str">
        <f>IFERROR(VLOOKUP(B428,COLORES!$A$4:$B$52,2,FALSE()),"")</f>
        <v/>
      </c>
      <c r="D428" s="33"/>
      <c r="E428" s="46"/>
      <c r="F428" s="34"/>
      <c r="G428" s="33"/>
      <c r="H428" s="47"/>
      <c r="I428" s="47"/>
      <c r="J428" s="48">
        <f>IFERROR(VLOOKUP(VLOOKUP(A428,PROGRAMAS!$A$4:$G$103,7,FALSE()),PRECIOS_TEJEDURIA!$A$4:$B$22,2,FALSE()),0)</f>
        <v>0</v>
      </c>
      <c r="K428" s="49"/>
      <c r="L428" s="50"/>
      <c r="M428" s="51">
        <f t="shared" si="1"/>
        <v>0</v>
      </c>
      <c r="N428" s="49"/>
      <c r="O428" s="49"/>
      <c r="P428" s="49"/>
      <c r="Q428" s="52"/>
      <c r="R428" s="53"/>
      <c r="S428" s="53"/>
      <c r="T428" s="54"/>
      <c r="U428" s="19">
        <f t="shared" si="2"/>
        <v>0</v>
      </c>
      <c r="V428" s="20">
        <f t="shared" si="3"/>
        <v>0</v>
      </c>
      <c r="W428" s="55">
        <f t="array" ref="W428">IFERROR(INDEX(PRECIOS_TINTORERIA!$B$4:$U$15,MATCH(D428,PRECIOS_TINTORERIA!$A$4:$A$15,0),MATCH(VLOOKUP(A428,PROGRAMAS!$A$4:$G$103,7,FALSE()),PRECIOS_TINTORERIA!$B$3:$U$3,0)),0)</f>
        <v>0</v>
      </c>
      <c r="X428" s="56"/>
      <c r="Y428" s="57"/>
      <c r="Z428" s="58">
        <f t="shared" si="4"/>
        <v>0</v>
      </c>
      <c r="AA428" s="56"/>
      <c r="AB428" s="56"/>
      <c r="AC428" s="56"/>
      <c r="AD428" s="23">
        <f>IFERROR((SUMIFS(COMPRAS_HILO!$H$4:$H$203,COMPRAS_HILO!$B$4:$B$203,A428))*F428/SUMIFS($F$4:$F$503,$A$4:$A$503,A428),0)</f>
        <v>0</v>
      </c>
      <c r="AE428" s="23">
        <f t="shared" si="5"/>
        <v>0</v>
      </c>
      <c r="AF428" s="23">
        <f t="shared" si="6"/>
        <v>0</v>
      </c>
      <c r="AG428" s="25">
        <f t="shared" si="7"/>
        <v>0</v>
      </c>
      <c r="AH428" s="25">
        <f t="shared" si="8"/>
        <v>0</v>
      </c>
      <c r="AI428" s="59"/>
    </row>
    <row r="429" ht="15.75" customHeight="1">
      <c r="A429" s="40"/>
      <c r="B429" s="33"/>
      <c r="C429" s="45" t="str">
        <f>IFERROR(VLOOKUP(B429,COLORES!$A$4:$B$52,2,FALSE()),"")</f>
        <v/>
      </c>
      <c r="D429" s="33"/>
      <c r="E429" s="46"/>
      <c r="F429" s="34"/>
      <c r="G429" s="33"/>
      <c r="H429" s="47"/>
      <c r="I429" s="47"/>
      <c r="J429" s="48">
        <f>IFERROR(VLOOKUP(VLOOKUP(A429,PROGRAMAS!$A$4:$G$103,7,FALSE()),PRECIOS_TEJEDURIA!$A$4:$B$22,2,FALSE()),0)</f>
        <v>0</v>
      </c>
      <c r="K429" s="49"/>
      <c r="L429" s="50"/>
      <c r="M429" s="51">
        <f t="shared" si="1"/>
        <v>0</v>
      </c>
      <c r="N429" s="49"/>
      <c r="O429" s="49"/>
      <c r="P429" s="49"/>
      <c r="Q429" s="52"/>
      <c r="R429" s="53"/>
      <c r="S429" s="53"/>
      <c r="T429" s="54"/>
      <c r="U429" s="19">
        <f t="shared" si="2"/>
        <v>0</v>
      </c>
      <c r="V429" s="20">
        <f t="shared" si="3"/>
        <v>0</v>
      </c>
      <c r="W429" s="55">
        <f t="array" ref="W429">IFERROR(INDEX(PRECIOS_TINTORERIA!$B$4:$U$15,MATCH(D429,PRECIOS_TINTORERIA!$A$4:$A$15,0),MATCH(VLOOKUP(A429,PROGRAMAS!$A$4:$G$103,7,FALSE()),PRECIOS_TINTORERIA!$B$3:$U$3,0)),0)</f>
        <v>0</v>
      </c>
      <c r="X429" s="56"/>
      <c r="Y429" s="57"/>
      <c r="Z429" s="58">
        <f t="shared" si="4"/>
        <v>0</v>
      </c>
      <c r="AA429" s="56"/>
      <c r="AB429" s="56"/>
      <c r="AC429" s="56"/>
      <c r="AD429" s="23">
        <f>IFERROR((SUMIFS(COMPRAS_HILO!$H$4:$H$203,COMPRAS_HILO!$B$4:$B$203,A429))*F429/SUMIFS($F$4:$F$503,$A$4:$A$503,A429),0)</f>
        <v>0</v>
      </c>
      <c r="AE429" s="23">
        <f t="shared" si="5"/>
        <v>0</v>
      </c>
      <c r="AF429" s="23">
        <f t="shared" si="6"/>
        <v>0</v>
      </c>
      <c r="AG429" s="25">
        <f t="shared" si="7"/>
        <v>0</v>
      </c>
      <c r="AH429" s="25">
        <f t="shared" si="8"/>
        <v>0</v>
      </c>
      <c r="AI429" s="59"/>
    </row>
    <row r="430" ht="15.75" customHeight="1">
      <c r="A430" s="40"/>
      <c r="B430" s="33"/>
      <c r="C430" s="45" t="str">
        <f>IFERROR(VLOOKUP(B430,COLORES!$A$4:$B$52,2,FALSE()),"")</f>
        <v/>
      </c>
      <c r="D430" s="33"/>
      <c r="E430" s="46"/>
      <c r="F430" s="34"/>
      <c r="G430" s="33"/>
      <c r="H430" s="47"/>
      <c r="I430" s="47"/>
      <c r="J430" s="48">
        <f>IFERROR(VLOOKUP(VLOOKUP(A430,PROGRAMAS!$A$4:$G$103,7,FALSE()),PRECIOS_TEJEDURIA!$A$4:$B$22,2,FALSE()),0)</f>
        <v>0</v>
      </c>
      <c r="K430" s="49"/>
      <c r="L430" s="50"/>
      <c r="M430" s="51">
        <f t="shared" si="1"/>
        <v>0</v>
      </c>
      <c r="N430" s="49"/>
      <c r="O430" s="49"/>
      <c r="P430" s="49"/>
      <c r="Q430" s="52"/>
      <c r="R430" s="53"/>
      <c r="S430" s="53"/>
      <c r="T430" s="54"/>
      <c r="U430" s="19">
        <f t="shared" si="2"/>
        <v>0</v>
      </c>
      <c r="V430" s="20">
        <f t="shared" si="3"/>
        <v>0</v>
      </c>
      <c r="W430" s="55">
        <f t="array" ref="W430">IFERROR(INDEX(PRECIOS_TINTORERIA!$B$4:$U$15,MATCH(D430,PRECIOS_TINTORERIA!$A$4:$A$15,0),MATCH(VLOOKUP(A430,PROGRAMAS!$A$4:$G$103,7,FALSE()),PRECIOS_TINTORERIA!$B$3:$U$3,0)),0)</f>
        <v>0</v>
      </c>
      <c r="X430" s="56"/>
      <c r="Y430" s="57"/>
      <c r="Z430" s="58">
        <f t="shared" si="4"/>
        <v>0</v>
      </c>
      <c r="AA430" s="56"/>
      <c r="AB430" s="56"/>
      <c r="AC430" s="56"/>
      <c r="AD430" s="23">
        <f>IFERROR((SUMIFS(COMPRAS_HILO!$H$4:$H$203,COMPRAS_HILO!$B$4:$B$203,A430))*F430/SUMIFS($F$4:$F$503,$A$4:$A$503,A430),0)</f>
        <v>0</v>
      </c>
      <c r="AE430" s="23">
        <f t="shared" si="5"/>
        <v>0</v>
      </c>
      <c r="AF430" s="23">
        <f t="shared" si="6"/>
        <v>0</v>
      </c>
      <c r="AG430" s="25">
        <f t="shared" si="7"/>
        <v>0</v>
      </c>
      <c r="AH430" s="25">
        <f t="shared" si="8"/>
        <v>0</v>
      </c>
      <c r="AI430" s="59"/>
    </row>
    <row r="431" ht="15.75" customHeight="1">
      <c r="A431" s="40"/>
      <c r="B431" s="33"/>
      <c r="C431" s="45" t="str">
        <f>IFERROR(VLOOKUP(B431,COLORES!$A$4:$B$52,2,FALSE()),"")</f>
        <v/>
      </c>
      <c r="D431" s="33"/>
      <c r="E431" s="46"/>
      <c r="F431" s="34"/>
      <c r="G431" s="33"/>
      <c r="H431" s="47"/>
      <c r="I431" s="47"/>
      <c r="J431" s="48">
        <f>IFERROR(VLOOKUP(VLOOKUP(A431,PROGRAMAS!$A$4:$G$103,7,FALSE()),PRECIOS_TEJEDURIA!$A$4:$B$22,2,FALSE()),0)</f>
        <v>0</v>
      </c>
      <c r="K431" s="49"/>
      <c r="L431" s="50"/>
      <c r="M431" s="51">
        <f t="shared" si="1"/>
        <v>0</v>
      </c>
      <c r="N431" s="49"/>
      <c r="O431" s="49"/>
      <c r="P431" s="49"/>
      <c r="Q431" s="52"/>
      <c r="R431" s="53"/>
      <c r="S431" s="53"/>
      <c r="T431" s="54"/>
      <c r="U431" s="19">
        <f t="shared" si="2"/>
        <v>0</v>
      </c>
      <c r="V431" s="20">
        <f t="shared" si="3"/>
        <v>0</v>
      </c>
      <c r="W431" s="55">
        <f t="array" ref="W431">IFERROR(INDEX(PRECIOS_TINTORERIA!$B$4:$U$15,MATCH(D431,PRECIOS_TINTORERIA!$A$4:$A$15,0),MATCH(VLOOKUP(A431,PROGRAMAS!$A$4:$G$103,7,FALSE()),PRECIOS_TINTORERIA!$B$3:$U$3,0)),0)</f>
        <v>0</v>
      </c>
      <c r="X431" s="56"/>
      <c r="Y431" s="57"/>
      <c r="Z431" s="58">
        <f t="shared" si="4"/>
        <v>0</v>
      </c>
      <c r="AA431" s="56"/>
      <c r="AB431" s="56"/>
      <c r="AC431" s="56"/>
      <c r="AD431" s="23">
        <f>IFERROR((SUMIFS(COMPRAS_HILO!$H$4:$H$203,COMPRAS_HILO!$B$4:$B$203,A431))*F431/SUMIFS($F$4:$F$503,$A$4:$A$503,A431),0)</f>
        <v>0</v>
      </c>
      <c r="AE431" s="23">
        <f t="shared" si="5"/>
        <v>0</v>
      </c>
      <c r="AF431" s="23">
        <f t="shared" si="6"/>
        <v>0</v>
      </c>
      <c r="AG431" s="25">
        <f t="shared" si="7"/>
        <v>0</v>
      </c>
      <c r="AH431" s="25">
        <f t="shared" si="8"/>
        <v>0</v>
      </c>
      <c r="AI431" s="59"/>
    </row>
    <row r="432" ht="15.75" customHeight="1">
      <c r="A432" s="40"/>
      <c r="B432" s="33"/>
      <c r="C432" s="45" t="str">
        <f>IFERROR(VLOOKUP(B432,COLORES!$A$4:$B$52,2,FALSE()),"")</f>
        <v/>
      </c>
      <c r="D432" s="33"/>
      <c r="E432" s="46"/>
      <c r="F432" s="34"/>
      <c r="G432" s="33"/>
      <c r="H432" s="47"/>
      <c r="I432" s="47"/>
      <c r="J432" s="48">
        <f>IFERROR(VLOOKUP(VLOOKUP(A432,PROGRAMAS!$A$4:$G$103,7,FALSE()),PRECIOS_TEJEDURIA!$A$4:$B$22,2,FALSE()),0)</f>
        <v>0</v>
      </c>
      <c r="K432" s="49"/>
      <c r="L432" s="50"/>
      <c r="M432" s="51">
        <f t="shared" si="1"/>
        <v>0</v>
      </c>
      <c r="N432" s="49"/>
      <c r="O432" s="49"/>
      <c r="P432" s="49"/>
      <c r="Q432" s="52"/>
      <c r="R432" s="53"/>
      <c r="S432" s="53"/>
      <c r="T432" s="54"/>
      <c r="U432" s="19">
        <f t="shared" si="2"/>
        <v>0</v>
      </c>
      <c r="V432" s="20">
        <f t="shared" si="3"/>
        <v>0</v>
      </c>
      <c r="W432" s="55">
        <f t="array" ref="W432">IFERROR(INDEX(PRECIOS_TINTORERIA!$B$4:$U$15,MATCH(D432,PRECIOS_TINTORERIA!$A$4:$A$15,0),MATCH(VLOOKUP(A432,PROGRAMAS!$A$4:$G$103,7,FALSE()),PRECIOS_TINTORERIA!$B$3:$U$3,0)),0)</f>
        <v>0</v>
      </c>
      <c r="X432" s="56"/>
      <c r="Y432" s="57"/>
      <c r="Z432" s="58">
        <f t="shared" si="4"/>
        <v>0</v>
      </c>
      <c r="AA432" s="56"/>
      <c r="AB432" s="56"/>
      <c r="AC432" s="56"/>
      <c r="AD432" s="23">
        <f>IFERROR((SUMIFS(COMPRAS_HILO!$H$4:$H$203,COMPRAS_HILO!$B$4:$B$203,A432))*F432/SUMIFS($F$4:$F$503,$A$4:$A$503,A432),0)</f>
        <v>0</v>
      </c>
      <c r="AE432" s="23">
        <f t="shared" si="5"/>
        <v>0</v>
      </c>
      <c r="AF432" s="23">
        <f t="shared" si="6"/>
        <v>0</v>
      </c>
      <c r="AG432" s="25">
        <f t="shared" si="7"/>
        <v>0</v>
      </c>
      <c r="AH432" s="25">
        <f t="shared" si="8"/>
        <v>0</v>
      </c>
      <c r="AI432" s="59"/>
    </row>
    <row r="433" ht="15.75" customHeight="1">
      <c r="A433" s="40"/>
      <c r="B433" s="33"/>
      <c r="C433" s="45" t="str">
        <f>IFERROR(VLOOKUP(B433,COLORES!$A$4:$B$52,2,FALSE()),"")</f>
        <v/>
      </c>
      <c r="D433" s="33"/>
      <c r="E433" s="46"/>
      <c r="F433" s="34"/>
      <c r="G433" s="33"/>
      <c r="H433" s="47"/>
      <c r="I433" s="47"/>
      <c r="J433" s="48">
        <f>IFERROR(VLOOKUP(VLOOKUP(A433,PROGRAMAS!$A$4:$G$103,7,FALSE()),PRECIOS_TEJEDURIA!$A$4:$B$22,2,FALSE()),0)</f>
        <v>0</v>
      </c>
      <c r="K433" s="49"/>
      <c r="L433" s="50"/>
      <c r="M433" s="51">
        <f t="shared" si="1"/>
        <v>0</v>
      </c>
      <c r="N433" s="49"/>
      <c r="O433" s="49"/>
      <c r="P433" s="49"/>
      <c r="Q433" s="52"/>
      <c r="R433" s="53"/>
      <c r="S433" s="53"/>
      <c r="T433" s="54"/>
      <c r="U433" s="19">
        <f t="shared" si="2"/>
        <v>0</v>
      </c>
      <c r="V433" s="20">
        <f t="shared" si="3"/>
        <v>0</v>
      </c>
      <c r="W433" s="55">
        <f t="array" ref="W433">IFERROR(INDEX(PRECIOS_TINTORERIA!$B$4:$U$15,MATCH(D433,PRECIOS_TINTORERIA!$A$4:$A$15,0),MATCH(VLOOKUP(A433,PROGRAMAS!$A$4:$G$103,7,FALSE()),PRECIOS_TINTORERIA!$B$3:$U$3,0)),0)</f>
        <v>0</v>
      </c>
      <c r="X433" s="56"/>
      <c r="Y433" s="57"/>
      <c r="Z433" s="58">
        <f t="shared" si="4"/>
        <v>0</v>
      </c>
      <c r="AA433" s="56"/>
      <c r="AB433" s="56"/>
      <c r="AC433" s="56"/>
      <c r="AD433" s="23">
        <f>IFERROR((SUMIFS(COMPRAS_HILO!$H$4:$H$203,COMPRAS_HILO!$B$4:$B$203,A433))*F433/SUMIFS($F$4:$F$503,$A$4:$A$503,A433),0)</f>
        <v>0</v>
      </c>
      <c r="AE433" s="23">
        <f t="shared" si="5"/>
        <v>0</v>
      </c>
      <c r="AF433" s="23">
        <f t="shared" si="6"/>
        <v>0</v>
      </c>
      <c r="AG433" s="25">
        <f t="shared" si="7"/>
        <v>0</v>
      </c>
      <c r="AH433" s="25">
        <f t="shared" si="8"/>
        <v>0</v>
      </c>
      <c r="AI433" s="59"/>
    </row>
    <row r="434" ht="15.75" customHeight="1">
      <c r="A434" s="40"/>
      <c r="B434" s="33"/>
      <c r="C434" s="45" t="str">
        <f>IFERROR(VLOOKUP(B434,COLORES!$A$4:$B$52,2,FALSE()),"")</f>
        <v/>
      </c>
      <c r="D434" s="33"/>
      <c r="E434" s="46"/>
      <c r="F434" s="34"/>
      <c r="G434" s="33"/>
      <c r="H434" s="47"/>
      <c r="I434" s="47"/>
      <c r="J434" s="48">
        <f>IFERROR(VLOOKUP(VLOOKUP(A434,PROGRAMAS!$A$4:$G$103,7,FALSE()),PRECIOS_TEJEDURIA!$A$4:$B$22,2,FALSE()),0)</f>
        <v>0</v>
      </c>
      <c r="K434" s="49"/>
      <c r="L434" s="50"/>
      <c r="M434" s="51">
        <f t="shared" si="1"/>
        <v>0</v>
      </c>
      <c r="N434" s="49"/>
      <c r="O434" s="49"/>
      <c r="P434" s="49"/>
      <c r="Q434" s="52"/>
      <c r="R434" s="53"/>
      <c r="S434" s="53"/>
      <c r="T434" s="54"/>
      <c r="U434" s="19">
        <f t="shared" si="2"/>
        <v>0</v>
      </c>
      <c r="V434" s="20">
        <f t="shared" si="3"/>
        <v>0</v>
      </c>
      <c r="W434" s="55">
        <f t="array" ref="W434">IFERROR(INDEX(PRECIOS_TINTORERIA!$B$4:$U$15,MATCH(D434,PRECIOS_TINTORERIA!$A$4:$A$15,0),MATCH(VLOOKUP(A434,PROGRAMAS!$A$4:$G$103,7,FALSE()),PRECIOS_TINTORERIA!$B$3:$U$3,0)),0)</f>
        <v>0</v>
      </c>
      <c r="X434" s="56"/>
      <c r="Y434" s="57"/>
      <c r="Z434" s="58">
        <f t="shared" si="4"/>
        <v>0</v>
      </c>
      <c r="AA434" s="56"/>
      <c r="AB434" s="56"/>
      <c r="AC434" s="56"/>
      <c r="AD434" s="23">
        <f>IFERROR((SUMIFS(COMPRAS_HILO!$H$4:$H$203,COMPRAS_HILO!$B$4:$B$203,A434))*F434/SUMIFS($F$4:$F$503,$A$4:$A$503,A434),0)</f>
        <v>0</v>
      </c>
      <c r="AE434" s="23">
        <f t="shared" si="5"/>
        <v>0</v>
      </c>
      <c r="AF434" s="23">
        <f t="shared" si="6"/>
        <v>0</v>
      </c>
      <c r="AG434" s="25">
        <f t="shared" si="7"/>
        <v>0</v>
      </c>
      <c r="AH434" s="25">
        <f t="shared" si="8"/>
        <v>0</v>
      </c>
      <c r="AI434" s="59"/>
    </row>
    <row r="435" ht="15.75" customHeight="1">
      <c r="A435" s="40"/>
      <c r="B435" s="33"/>
      <c r="C435" s="45" t="str">
        <f>IFERROR(VLOOKUP(B435,COLORES!$A$4:$B$52,2,FALSE()),"")</f>
        <v/>
      </c>
      <c r="D435" s="33"/>
      <c r="E435" s="46"/>
      <c r="F435" s="34"/>
      <c r="G435" s="33"/>
      <c r="H435" s="47"/>
      <c r="I435" s="47"/>
      <c r="J435" s="48">
        <f>IFERROR(VLOOKUP(VLOOKUP(A435,PROGRAMAS!$A$4:$G$103,7,FALSE()),PRECIOS_TEJEDURIA!$A$4:$B$22,2,FALSE()),0)</f>
        <v>0</v>
      </c>
      <c r="K435" s="49"/>
      <c r="L435" s="50"/>
      <c r="M435" s="51">
        <f t="shared" si="1"/>
        <v>0</v>
      </c>
      <c r="N435" s="49"/>
      <c r="O435" s="49"/>
      <c r="P435" s="49"/>
      <c r="Q435" s="52"/>
      <c r="R435" s="53"/>
      <c r="S435" s="53"/>
      <c r="T435" s="54"/>
      <c r="U435" s="19">
        <f t="shared" si="2"/>
        <v>0</v>
      </c>
      <c r="V435" s="20">
        <f t="shared" si="3"/>
        <v>0</v>
      </c>
      <c r="W435" s="55">
        <f t="array" ref="W435">IFERROR(INDEX(PRECIOS_TINTORERIA!$B$4:$U$15,MATCH(D435,PRECIOS_TINTORERIA!$A$4:$A$15,0),MATCH(VLOOKUP(A435,PROGRAMAS!$A$4:$G$103,7,FALSE()),PRECIOS_TINTORERIA!$B$3:$U$3,0)),0)</f>
        <v>0</v>
      </c>
      <c r="X435" s="56"/>
      <c r="Y435" s="57"/>
      <c r="Z435" s="58">
        <f t="shared" si="4"/>
        <v>0</v>
      </c>
      <c r="AA435" s="56"/>
      <c r="AB435" s="56"/>
      <c r="AC435" s="56"/>
      <c r="AD435" s="23">
        <f>IFERROR((SUMIFS(COMPRAS_HILO!$H$4:$H$203,COMPRAS_HILO!$B$4:$B$203,A435))*F435/SUMIFS($F$4:$F$503,$A$4:$A$503,A435),0)</f>
        <v>0</v>
      </c>
      <c r="AE435" s="23">
        <f t="shared" si="5"/>
        <v>0</v>
      </c>
      <c r="AF435" s="23">
        <f t="shared" si="6"/>
        <v>0</v>
      </c>
      <c r="AG435" s="25">
        <f t="shared" si="7"/>
        <v>0</v>
      </c>
      <c r="AH435" s="25">
        <f t="shared" si="8"/>
        <v>0</v>
      </c>
      <c r="AI435" s="59"/>
    </row>
    <row r="436" ht="15.75" customHeight="1">
      <c r="A436" s="40"/>
      <c r="B436" s="33"/>
      <c r="C436" s="45" t="str">
        <f>IFERROR(VLOOKUP(B436,COLORES!$A$4:$B$52,2,FALSE()),"")</f>
        <v/>
      </c>
      <c r="D436" s="33"/>
      <c r="E436" s="46"/>
      <c r="F436" s="34"/>
      <c r="G436" s="33"/>
      <c r="H436" s="47"/>
      <c r="I436" s="47"/>
      <c r="J436" s="48">
        <f>IFERROR(VLOOKUP(VLOOKUP(A436,PROGRAMAS!$A$4:$G$103,7,FALSE()),PRECIOS_TEJEDURIA!$A$4:$B$22,2,FALSE()),0)</f>
        <v>0</v>
      </c>
      <c r="K436" s="49"/>
      <c r="L436" s="50"/>
      <c r="M436" s="51">
        <f t="shared" si="1"/>
        <v>0</v>
      </c>
      <c r="N436" s="49"/>
      <c r="O436" s="49"/>
      <c r="P436" s="49"/>
      <c r="Q436" s="52"/>
      <c r="R436" s="53"/>
      <c r="S436" s="53"/>
      <c r="T436" s="54"/>
      <c r="U436" s="19">
        <f t="shared" si="2"/>
        <v>0</v>
      </c>
      <c r="V436" s="20">
        <f t="shared" si="3"/>
        <v>0</v>
      </c>
      <c r="W436" s="55">
        <f t="array" ref="W436">IFERROR(INDEX(PRECIOS_TINTORERIA!$B$4:$U$15,MATCH(D436,PRECIOS_TINTORERIA!$A$4:$A$15,0),MATCH(VLOOKUP(A436,PROGRAMAS!$A$4:$G$103,7,FALSE()),PRECIOS_TINTORERIA!$B$3:$U$3,0)),0)</f>
        <v>0</v>
      </c>
      <c r="X436" s="56"/>
      <c r="Y436" s="57"/>
      <c r="Z436" s="58">
        <f t="shared" si="4"/>
        <v>0</v>
      </c>
      <c r="AA436" s="56"/>
      <c r="AB436" s="56"/>
      <c r="AC436" s="56"/>
      <c r="AD436" s="23">
        <f>IFERROR((SUMIFS(COMPRAS_HILO!$H$4:$H$203,COMPRAS_HILO!$B$4:$B$203,A436))*F436/SUMIFS($F$4:$F$503,$A$4:$A$503,A436),0)</f>
        <v>0</v>
      </c>
      <c r="AE436" s="23">
        <f t="shared" si="5"/>
        <v>0</v>
      </c>
      <c r="AF436" s="23">
        <f t="shared" si="6"/>
        <v>0</v>
      </c>
      <c r="AG436" s="25">
        <f t="shared" si="7"/>
        <v>0</v>
      </c>
      <c r="AH436" s="25">
        <f t="shared" si="8"/>
        <v>0</v>
      </c>
      <c r="AI436" s="59"/>
    </row>
    <row r="437" ht="15.75" customHeight="1">
      <c r="A437" s="40"/>
      <c r="B437" s="33"/>
      <c r="C437" s="45" t="str">
        <f>IFERROR(VLOOKUP(B437,COLORES!$A$4:$B$52,2,FALSE()),"")</f>
        <v/>
      </c>
      <c r="D437" s="33"/>
      <c r="E437" s="46"/>
      <c r="F437" s="34"/>
      <c r="G437" s="33"/>
      <c r="H437" s="47"/>
      <c r="I437" s="47"/>
      <c r="J437" s="48">
        <f>IFERROR(VLOOKUP(VLOOKUP(A437,PROGRAMAS!$A$4:$G$103,7,FALSE()),PRECIOS_TEJEDURIA!$A$4:$B$22,2,FALSE()),0)</f>
        <v>0</v>
      </c>
      <c r="K437" s="49"/>
      <c r="L437" s="50"/>
      <c r="M437" s="51">
        <f t="shared" si="1"/>
        <v>0</v>
      </c>
      <c r="N437" s="49"/>
      <c r="O437" s="49"/>
      <c r="P437" s="49"/>
      <c r="Q437" s="52"/>
      <c r="R437" s="53"/>
      <c r="S437" s="53"/>
      <c r="T437" s="54"/>
      <c r="U437" s="19">
        <f t="shared" si="2"/>
        <v>0</v>
      </c>
      <c r="V437" s="20">
        <f t="shared" si="3"/>
        <v>0</v>
      </c>
      <c r="W437" s="55">
        <f t="array" ref="W437">IFERROR(INDEX(PRECIOS_TINTORERIA!$B$4:$U$15,MATCH(D437,PRECIOS_TINTORERIA!$A$4:$A$15,0),MATCH(VLOOKUP(A437,PROGRAMAS!$A$4:$G$103,7,FALSE()),PRECIOS_TINTORERIA!$B$3:$U$3,0)),0)</f>
        <v>0</v>
      </c>
      <c r="X437" s="56"/>
      <c r="Y437" s="57"/>
      <c r="Z437" s="58">
        <f t="shared" si="4"/>
        <v>0</v>
      </c>
      <c r="AA437" s="56"/>
      <c r="AB437" s="56"/>
      <c r="AC437" s="56"/>
      <c r="AD437" s="23">
        <f>IFERROR((SUMIFS(COMPRAS_HILO!$H$4:$H$203,COMPRAS_HILO!$B$4:$B$203,A437))*F437/SUMIFS($F$4:$F$503,$A$4:$A$503,A437),0)</f>
        <v>0</v>
      </c>
      <c r="AE437" s="23">
        <f t="shared" si="5"/>
        <v>0</v>
      </c>
      <c r="AF437" s="23">
        <f t="shared" si="6"/>
        <v>0</v>
      </c>
      <c r="AG437" s="25">
        <f t="shared" si="7"/>
        <v>0</v>
      </c>
      <c r="AH437" s="25">
        <f t="shared" si="8"/>
        <v>0</v>
      </c>
      <c r="AI437" s="59"/>
    </row>
    <row r="438" ht="15.75" customHeight="1">
      <c r="A438" s="40"/>
      <c r="B438" s="33"/>
      <c r="C438" s="45" t="str">
        <f>IFERROR(VLOOKUP(B438,COLORES!$A$4:$B$52,2,FALSE()),"")</f>
        <v/>
      </c>
      <c r="D438" s="33"/>
      <c r="E438" s="46"/>
      <c r="F438" s="34"/>
      <c r="G438" s="33"/>
      <c r="H438" s="47"/>
      <c r="I438" s="47"/>
      <c r="J438" s="48">
        <f>IFERROR(VLOOKUP(VLOOKUP(A438,PROGRAMAS!$A$4:$G$103,7,FALSE()),PRECIOS_TEJEDURIA!$A$4:$B$22,2,FALSE()),0)</f>
        <v>0</v>
      </c>
      <c r="K438" s="49"/>
      <c r="L438" s="50"/>
      <c r="M438" s="51">
        <f t="shared" si="1"/>
        <v>0</v>
      </c>
      <c r="N438" s="49"/>
      <c r="O438" s="49"/>
      <c r="P438" s="49"/>
      <c r="Q438" s="52"/>
      <c r="R438" s="53"/>
      <c r="S438" s="53"/>
      <c r="T438" s="54"/>
      <c r="U438" s="19">
        <f t="shared" si="2"/>
        <v>0</v>
      </c>
      <c r="V438" s="20">
        <f t="shared" si="3"/>
        <v>0</v>
      </c>
      <c r="W438" s="55">
        <f t="array" ref="W438">IFERROR(INDEX(PRECIOS_TINTORERIA!$B$4:$U$15,MATCH(D438,PRECIOS_TINTORERIA!$A$4:$A$15,0),MATCH(VLOOKUP(A438,PROGRAMAS!$A$4:$G$103,7,FALSE()),PRECIOS_TINTORERIA!$B$3:$U$3,0)),0)</f>
        <v>0</v>
      </c>
      <c r="X438" s="56"/>
      <c r="Y438" s="57"/>
      <c r="Z438" s="58">
        <f t="shared" si="4"/>
        <v>0</v>
      </c>
      <c r="AA438" s="56"/>
      <c r="AB438" s="56"/>
      <c r="AC438" s="56"/>
      <c r="AD438" s="23">
        <f>IFERROR((SUMIFS(COMPRAS_HILO!$H$4:$H$203,COMPRAS_HILO!$B$4:$B$203,A438))*F438/SUMIFS($F$4:$F$503,$A$4:$A$503,A438),0)</f>
        <v>0</v>
      </c>
      <c r="AE438" s="23">
        <f t="shared" si="5"/>
        <v>0</v>
      </c>
      <c r="AF438" s="23">
        <f t="shared" si="6"/>
        <v>0</v>
      </c>
      <c r="AG438" s="25">
        <f t="shared" si="7"/>
        <v>0</v>
      </c>
      <c r="AH438" s="25">
        <f t="shared" si="8"/>
        <v>0</v>
      </c>
      <c r="AI438" s="59"/>
    </row>
    <row r="439" ht="15.75" customHeight="1">
      <c r="A439" s="40"/>
      <c r="B439" s="33"/>
      <c r="C439" s="45" t="str">
        <f>IFERROR(VLOOKUP(B439,COLORES!$A$4:$B$52,2,FALSE()),"")</f>
        <v/>
      </c>
      <c r="D439" s="33"/>
      <c r="E439" s="46"/>
      <c r="F439" s="34"/>
      <c r="G439" s="33"/>
      <c r="H439" s="47"/>
      <c r="I439" s="47"/>
      <c r="J439" s="48">
        <f>IFERROR(VLOOKUP(VLOOKUP(A439,PROGRAMAS!$A$4:$G$103,7,FALSE()),PRECIOS_TEJEDURIA!$A$4:$B$22,2,FALSE()),0)</f>
        <v>0</v>
      </c>
      <c r="K439" s="49"/>
      <c r="L439" s="50"/>
      <c r="M439" s="51">
        <f t="shared" si="1"/>
        <v>0</v>
      </c>
      <c r="N439" s="49"/>
      <c r="O439" s="49"/>
      <c r="P439" s="49"/>
      <c r="Q439" s="52"/>
      <c r="R439" s="53"/>
      <c r="S439" s="53"/>
      <c r="T439" s="54"/>
      <c r="U439" s="19">
        <f t="shared" si="2"/>
        <v>0</v>
      </c>
      <c r="V439" s="20">
        <f t="shared" si="3"/>
        <v>0</v>
      </c>
      <c r="W439" s="55">
        <f t="array" ref="W439">IFERROR(INDEX(PRECIOS_TINTORERIA!$B$4:$U$15,MATCH(D439,PRECIOS_TINTORERIA!$A$4:$A$15,0),MATCH(VLOOKUP(A439,PROGRAMAS!$A$4:$G$103,7,FALSE()),PRECIOS_TINTORERIA!$B$3:$U$3,0)),0)</f>
        <v>0</v>
      </c>
      <c r="X439" s="56"/>
      <c r="Y439" s="57"/>
      <c r="Z439" s="58">
        <f t="shared" si="4"/>
        <v>0</v>
      </c>
      <c r="AA439" s="56"/>
      <c r="AB439" s="56"/>
      <c r="AC439" s="56"/>
      <c r="AD439" s="23">
        <f>IFERROR((SUMIFS(COMPRAS_HILO!$H$4:$H$203,COMPRAS_HILO!$B$4:$B$203,A439))*F439/SUMIFS($F$4:$F$503,$A$4:$A$503,A439),0)</f>
        <v>0</v>
      </c>
      <c r="AE439" s="23">
        <f t="shared" si="5"/>
        <v>0</v>
      </c>
      <c r="AF439" s="23">
        <f t="shared" si="6"/>
        <v>0</v>
      </c>
      <c r="AG439" s="25">
        <f t="shared" si="7"/>
        <v>0</v>
      </c>
      <c r="AH439" s="25">
        <f t="shared" si="8"/>
        <v>0</v>
      </c>
      <c r="AI439" s="59"/>
    </row>
    <row r="440" ht="15.75" customHeight="1">
      <c r="A440" s="40"/>
      <c r="B440" s="33"/>
      <c r="C440" s="45" t="str">
        <f>IFERROR(VLOOKUP(B440,COLORES!$A$4:$B$52,2,FALSE()),"")</f>
        <v/>
      </c>
      <c r="D440" s="33"/>
      <c r="E440" s="46"/>
      <c r="F440" s="34"/>
      <c r="G440" s="33"/>
      <c r="H440" s="47"/>
      <c r="I440" s="47"/>
      <c r="J440" s="48">
        <f>IFERROR(VLOOKUP(VLOOKUP(A440,PROGRAMAS!$A$4:$G$103,7,FALSE()),PRECIOS_TEJEDURIA!$A$4:$B$22,2,FALSE()),0)</f>
        <v>0</v>
      </c>
      <c r="K440" s="49"/>
      <c r="L440" s="50"/>
      <c r="M440" s="51">
        <f t="shared" si="1"/>
        <v>0</v>
      </c>
      <c r="N440" s="49"/>
      <c r="O440" s="49"/>
      <c r="P440" s="49"/>
      <c r="Q440" s="52"/>
      <c r="R440" s="53"/>
      <c r="S440" s="53"/>
      <c r="T440" s="54"/>
      <c r="U440" s="19">
        <f t="shared" si="2"/>
        <v>0</v>
      </c>
      <c r="V440" s="20">
        <f t="shared" si="3"/>
        <v>0</v>
      </c>
      <c r="W440" s="55">
        <f t="array" ref="W440">IFERROR(INDEX(PRECIOS_TINTORERIA!$B$4:$U$15,MATCH(D440,PRECIOS_TINTORERIA!$A$4:$A$15,0),MATCH(VLOOKUP(A440,PROGRAMAS!$A$4:$G$103,7,FALSE()),PRECIOS_TINTORERIA!$B$3:$U$3,0)),0)</f>
        <v>0</v>
      </c>
      <c r="X440" s="56"/>
      <c r="Y440" s="57"/>
      <c r="Z440" s="58">
        <f t="shared" si="4"/>
        <v>0</v>
      </c>
      <c r="AA440" s="56"/>
      <c r="AB440" s="56"/>
      <c r="AC440" s="56"/>
      <c r="AD440" s="23">
        <f>IFERROR((SUMIFS(COMPRAS_HILO!$H$4:$H$203,COMPRAS_HILO!$B$4:$B$203,A440))*F440/SUMIFS($F$4:$F$503,$A$4:$A$503,A440),0)</f>
        <v>0</v>
      </c>
      <c r="AE440" s="23">
        <f t="shared" si="5"/>
        <v>0</v>
      </c>
      <c r="AF440" s="23">
        <f t="shared" si="6"/>
        <v>0</v>
      </c>
      <c r="AG440" s="25">
        <f t="shared" si="7"/>
        <v>0</v>
      </c>
      <c r="AH440" s="25">
        <f t="shared" si="8"/>
        <v>0</v>
      </c>
      <c r="AI440" s="59"/>
    </row>
    <row r="441" ht="15.75" customHeight="1">
      <c r="A441" s="40"/>
      <c r="B441" s="33"/>
      <c r="C441" s="45" t="str">
        <f>IFERROR(VLOOKUP(B441,COLORES!$A$4:$B$52,2,FALSE()),"")</f>
        <v/>
      </c>
      <c r="D441" s="33"/>
      <c r="E441" s="46"/>
      <c r="F441" s="34"/>
      <c r="G441" s="33"/>
      <c r="H441" s="47"/>
      <c r="I441" s="47"/>
      <c r="J441" s="48">
        <f>IFERROR(VLOOKUP(VLOOKUP(A441,PROGRAMAS!$A$4:$G$103,7,FALSE()),PRECIOS_TEJEDURIA!$A$4:$B$22,2,FALSE()),0)</f>
        <v>0</v>
      </c>
      <c r="K441" s="49"/>
      <c r="L441" s="50"/>
      <c r="M441" s="51">
        <f t="shared" si="1"/>
        <v>0</v>
      </c>
      <c r="N441" s="49"/>
      <c r="O441" s="49"/>
      <c r="P441" s="49"/>
      <c r="Q441" s="52"/>
      <c r="R441" s="53"/>
      <c r="S441" s="53"/>
      <c r="T441" s="54"/>
      <c r="U441" s="19">
        <f t="shared" si="2"/>
        <v>0</v>
      </c>
      <c r="V441" s="20">
        <f t="shared" si="3"/>
        <v>0</v>
      </c>
      <c r="W441" s="55">
        <f t="array" ref="W441">IFERROR(INDEX(PRECIOS_TINTORERIA!$B$4:$U$15,MATCH(D441,PRECIOS_TINTORERIA!$A$4:$A$15,0),MATCH(VLOOKUP(A441,PROGRAMAS!$A$4:$G$103,7,FALSE()),PRECIOS_TINTORERIA!$B$3:$U$3,0)),0)</f>
        <v>0</v>
      </c>
      <c r="X441" s="56"/>
      <c r="Y441" s="57"/>
      <c r="Z441" s="58">
        <f t="shared" si="4"/>
        <v>0</v>
      </c>
      <c r="AA441" s="56"/>
      <c r="AB441" s="56"/>
      <c r="AC441" s="56"/>
      <c r="AD441" s="23">
        <f>IFERROR((SUMIFS(COMPRAS_HILO!$H$4:$H$203,COMPRAS_HILO!$B$4:$B$203,A441))*F441/SUMIFS($F$4:$F$503,$A$4:$A$503,A441),0)</f>
        <v>0</v>
      </c>
      <c r="AE441" s="23">
        <f t="shared" si="5"/>
        <v>0</v>
      </c>
      <c r="AF441" s="23">
        <f t="shared" si="6"/>
        <v>0</v>
      </c>
      <c r="AG441" s="25">
        <f t="shared" si="7"/>
        <v>0</v>
      </c>
      <c r="AH441" s="25">
        <f t="shared" si="8"/>
        <v>0</v>
      </c>
      <c r="AI441" s="59"/>
    </row>
    <row r="442" ht="15.75" customHeight="1">
      <c r="A442" s="40"/>
      <c r="B442" s="33"/>
      <c r="C442" s="45" t="str">
        <f>IFERROR(VLOOKUP(B442,COLORES!$A$4:$B$52,2,FALSE()),"")</f>
        <v/>
      </c>
      <c r="D442" s="33"/>
      <c r="E442" s="46"/>
      <c r="F442" s="34"/>
      <c r="G442" s="33"/>
      <c r="H442" s="47"/>
      <c r="I442" s="47"/>
      <c r="J442" s="48">
        <f>IFERROR(VLOOKUP(VLOOKUP(A442,PROGRAMAS!$A$4:$G$103,7,FALSE()),PRECIOS_TEJEDURIA!$A$4:$B$22,2,FALSE()),0)</f>
        <v>0</v>
      </c>
      <c r="K442" s="49"/>
      <c r="L442" s="50"/>
      <c r="M442" s="51">
        <f t="shared" si="1"/>
        <v>0</v>
      </c>
      <c r="N442" s="49"/>
      <c r="O442" s="49"/>
      <c r="P442" s="49"/>
      <c r="Q442" s="52"/>
      <c r="R442" s="53"/>
      <c r="S442" s="53"/>
      <c r="T442" s="54"/>
      <c r="U442" s="19">
        <f t="shared" si="2"/>
        <v>0</v>
      </c>
      <c r="V442" s="20">
        <f t="shared" si="3"/>
        <v>0</v>
      </c>
      <c r="W442" s="55">
        <f t="array" ref="W442">IFERROR(INDEX(PRECIOS_TINTORERIA!$B$4:$U$15,MATCH(D442,PRECIOS_TINTORERIA!$A$4:$A$15,0),MATCH(VLOOKUP(A442,PROGRAMAS!$A$4:$G$103,7,FALSE()),PRECIOS_TINTORERIA!$B$3:$U$3,0)),0)</f>
        <v>0</v>
      </c>
      <c r="X442" s="56"/>
      <c r="Y442" s="57"/>
      <c r="Z442" s="58">
        <f t="shared" si="4"/>
        <v>0</v>
      </c>
      <c r="AA442" s="56"/>
      <c r="AB442" s="56"/>
      <c r="AC442" s="56"/>
      <c r="AD442" s="23">
        <f>IFERROR((SUMIFS(COMPRAS_HILO!$H$4:$H$203,COMPRAS_HILO!$B$4:$B$203,A442))*F442/SUMIFS($F$4:$F$503,$A$4:$A$503,A442),0)</f>
        <v>0</v>
      </c>
      <c r="AE442" s="23">
        <f t="shared" si="5"/>
        <v>0</v>
      </c>
      <c r="AF442" s="23">
        <f t="shared" si="6"/>
        <v>0</v>
      </c>
      <c r="AG442" s="25">
        <f t="shared" si="7"/>
        <v>0</v>
      </c>
      <c r="AH442" s="25">
        <f t="shared" si="8"/>
        <v>0</v>
      </c>
      <c r="AI442" s="59"/>
    </row>
    <row r="443" ht="15.75" customHeight="1">
      <c r="A443" s="40"/>
      <c r="B443" s="33"/>
      <c r="C443" s="45" t="str">
        <f>IFERROR(VLOOKUP(B443,COLORES!$A$4:$B$52,2,FALSE()),"")</f>
        <v/>
      </c>
      <c r="D443" s="33"/>
      <c r="E443" s="46"/>
      <c r="F443" s="34"/>
      <c r="G443" s="33"/>
      <c r="H443" s="47"/>
      <c r="I443" s="47"/>
      <c r="J443" s="48">
        <f>IFERROR(VLOOKUP(VLOOKUP(A443,PROGRAMAS!$A$4:$G$103,7,FALSE()),PRECIOS_TEJEDURIA!$A$4:$B$22,2,FALSE()),0)</f>
        <v>0</v>
      </c>
      <c r="K443" s="49"/>
      <c r="L443" s="50"/>
      <c r="M443" s="51">
        <f t="shared" si="1"/>
        <v>0</v>
      </c>
      <c r="N443" s="49"/>
      <c r="O443" s="49"/>
      <c r="P443" s="49"/>
      <c r="Q443" s="52"/>
      <c r="R443" s="53"/>
      <c r="S443" s="53"/>
      <c r="T443" s="54"/>
      <c r="U443" s="19">
        <f t="shared" si="2"/>
        <v>0</v>
      </c>
      <c r="V443" s="20">
        <f t="shared" si="3"/>
        <v>0</v>
      </c>
      <c r="W443" s="55">
        <f t="array" ref="W443">IFERROR(INDEX(PRECIOS_TINTORERIA!$B$4:$U$15,MATCH(D443,PRECIOS_TINTORERIA!$A$4:$A$15,0),MATCH(VLOOKUP(A443,PROGRAMAS!$A$4:$G$103,7,FALSE()),PRECIOS_TINTORERIA!$B$3:$U$3,0)),0)</f>
        <v>0</v>
      </c>
      <c r="X443" s="56"/>
      <c r="Y443" s="57"/>
      <c r="Z443" s="58">
        <f t="shared" si="4"/>
        <v>0</v>
      </c>
      <c r="AA443" s="56"/>
      <c r="AB443" s="56"/>
      <c r="AC443" s="56"/>
      <c r="AD443" s="23">
        <f>IFERROR((SUMIFS(COMPRAS_HILO!$H$4:$H$203,COMPRAS_HILO!$B$4:$B$203,A443))*F443/SUMIFS($F$4:$F$503,$A$4:$A$503,A443),0)</f>
        <v>0</v>
      </c>
      <c r="AE443" s="23">
        <f t="shared" si="5"/>
        <v>0</v>
      </c>
      <c r="AF443" s="23">
        <f t="shared" si="6"/>
        <v>0</v>
      </c>
      <c r="AG443" s="25">
        <f t="shared" si="7"/>
        <v>0</v>
      </c>
      <c r="AH443" s="25">
        <f t="shared" si="8"/>
        <v>0</v>
      </c>
      <c r="AI443" s="59"/>
    </row>
    <row r="444" ht="15.75" customHeight="1">
      <c r="A444" s="40"/>
      <c r="B444" s="33"/>
      <c r="C444" s="45" t="str">
        <f>IFERROR(VLOOKUP(B444,COLORES!$A$4:$B$52,2,FALSE()),"")</f>
        <v/>
      </c>
      <c r="D444" s="33"/>
      <c r="E444" s="46"/>
      <c r="F444" s="34"/>
      <c r="G444" s="33"/>
      <c r="H444" s="47"/>
      <c r="I444" s="47"/>
      <c r="J444" s="48">
        <f>IFERROR(VLOOKUP(VLOOKUP(A444,PROGRAMAS!$A$4:$G$103,7,FALSE()),PRECIOS_TEJEDURIA!$A$4:$B$22,2,FALSE()),0)</f>
        <v>0</v>
      </c>
      <c r="K444" s="49"/>
      <c r="L444" s="50"/>
      <c r="M444" s="51">
        <f t="shared" si="1"/>
        <v>0</v>
      </c>
      <c r="N444" s="49"/>
      <c r="O444" s="49"/>
      <c r="P444" s="49"/>
      <c r="Q444" s="52"/>
      <c r="R444" s="53"/>
      <c r="S444" s="53"/>
      <c r="T444" s="54"/>
      <c r="U444" s="19">
        <f t="shared" si="2"/>
        <v>0</v>
      </c>
      <c r="V444" s="20">
        <f t="shared" si="3"/>
        <v>0</v>
      </c>
      <c r="W444" s="55">
        <f t="array" ref="W444">IFERROR(INDEX(PRECIOS_TINTORERIA!$B$4:$U$15,MATCH(D444,PRECIOS_TINTORERIA!$A$4:$A$15,0),MATCH(VLOOKUP(A444,PROGRAMAS!$A$4:$G$103,7,FALSE()),PRECIOS_TINTORERIA!$B$3:$U$3,0)),0)</f>
        <v>0</v>
      </c>
      <c r="X444" s="56"/>
      <c r="Y444" s="57"/>
      <c r="Z444" s="58">
        <f t="shared" si="4"/>
        <v>0</v>
      </c>
      <c r="AA444" s="56"/>
      <c r="AB444" s="56"/>
      <c r="AC444" s="56"/>
      <c r="AD444" s="23">
        <f>IFERROR((SUMIFS(COMPRAS_HILO!$H$4:$H$203,COMPRAS_HILO!$B$4:$B$203,A444))*F444/SUMIFS($F$4:$F$503,$A$4:$A$503,A444),0)</f>
        <v>0</v>
      </c>
      <c r="AE444" s="23">
        <f t="shared" si="5"/>
        <v>0</v>
      </c>
      <c r="AF444" s="23">
        <f t="shared" si="6"/>
        <v>0</v>
      </c>
      <c r="AG444" s="25">
        <f t="shared" si="7"/>
        <v>0</v>
      </c>
      <c r="AH444" s="25">
        <f t="shared" si="8"/>
        <v>0</v>
      </c>
      <c r="AI444" s="59"/>
    </row>
    <row r="445" ht="15.75" customHeight="1">
      <c r="A445" s="40"/>
      <c r="B445" s="33"/>
      <c r="C445" s="45" t="str">
        <f>IFERROR(VLOOKUP(B445,COLORES!$A$4:$B$52,2,FALSE()),"")</f>
        <v/>
      </c>
      <c r="D445" s="33"/>
      <c r="E445" s="46"/>
      <c r="F445" s="34"/>
      <c r="G445" s="33"/>
      <c r="H445" s="47"/>
      <c r="I445" s="47"/>
      <c r="J445" s="48">
        <f>IFERROR(VLOOKUP(VLOOKUP(A445,PROGRAMAS!$A$4:$G$103,7,FALSE()),PRECIOS_TEJEDURIA!$A$4:$B$22,2,FALSE()),0)</f>
        <v>0</v>
      </c>
      <c r="K445" s="49"/>
      <c r="L445" s="50"/>
      <c r="M445" s="51">
        <f t="shared" si="1"/>
        <v>0</v>
      </c>
      <c r="N445" s="49"/>
      <c r="O445" s="49"/>
      <c r="P445" s="49"/>
      <c r="Q445" s="52"/>
      <c r="R445" s="53"/>
      <c r="S445" s="53"/>
      <c r="T445" s="54"/>
      <c r="U445" s="19">
        <f t="shared" si="2"/>
        <v>0</v>
      </c>
      <c r="V445" s="20">
        <f t="shared" si="3"/>
        <v>0</v>
      </c>
      <c r="W445" s="55">
        <f t="array" ref="W445">IFERROR(INDEX(PRECIOS_TINTORERIA!$B$4:$U$15,MATCH(D445,PRECIOS_TINTORERIA!$A$4:$A$15,0),MATCH(VLOOKUP(A445,PROGRAMAS!$A$4:$G$103,7,FALSE()),PRECIOS_TINTORERIA!$B$3:$U$3,0)),0)</f>
        <v>0</v>
      </c>
      <c r="X445" s="56"/>
      <c r="Y445" s="57"/>
      <c r="Z445" s="58">
        <f t="shared" si="4"/>
        <v>0</v>
      </c>
      <c r="AA445" s="56"/>
      <c r="AB445" s="56"/>
      <c r="AC445" s="56"/>
      <c r="AD445" s="23">
        <f>IFERROR((SUMIFS(COMPRAS_HILO!$H$4:$H$203,COMPRAS_HILO!$B$4:$B$203,A445))*F445/SUMIFS($F$4:$F$503,$A$4:$A$503,A445),0)</f>
        <v>0</v>
      </c>
      <c r="AE445" s="23">
        <f t="shared" si="5"/>
        <v>0</v>
      </c>
      <c r="AF445" s="23">
        <f t="shared" si="6"/>
        <v>0</v>
      </c>
      <c r="AG445" s="25">
        <f t="shared" si="7"/>
        <v>0</v>
      </c>
      <c r="AH445" s="25">
        <f t="shared" si="8"/>
        <v>0</v>
      </c>
      <c r="AI445" s="59"/>
    </row>
    <row r="446" ht="15.75" customHeight="1">
      <c r="A446" s="40"/>
      <c r="B446" s="33"/>
      <c r="C446" s="45" t="str">
        <f>IFERROR(VLOOKUP(B446,COLORES!$A$4:$B$52,2,FALSE()),"")</f>
        <v/>
      </c>
      <c r="D446" s="33"/>
      <c r="E446" s="46"/>
      <c r="F446" s="34"/>
      <c r="G446" s="33"/>
      <c r="H446" s="47"/>
      <c r="I446" s="47"/>
      <c r="J446" s="48">
        <f>IFERROR(VLOOKUP(VLOOKUP(A446,PROGRAMAS!$A$4:$G$103,7,FALSE()),PRECIOS_TEJEDURIA!$A$4:$B$22,2,FALSE()),0)</f>
        <v>0</v>
      </c>
      <c r="K446" s="49"/>
      <c r="L446" s="50"/>
      <c r="M446" s="51">
        <f t="shared" si="1"/>
        <v>0</v>
      </c>
      <c r="N446" s="49"/>
      <c r="O446" s="49"/>
      <c r="P446" s="49"/>
      <c r="Q446" s="52"/>
      <c r="R446" s="53"/>
      <c r="S446" s="53"/>
      <c r="T446" s="54"/>
      <c r="U446" s="19">
        <f t="shared" si="2"/>
        <v>0</v>
      </c>
      <c r="V446" s="20">
        <f t="shared" si="3"/>
        <v>0</v>
      </c>
      <c r="W446" s="55">
        <f t="array" ref="W446">IFERROR(INDEX(PRECIOS_TINTORERIA!$B$4:$U$15,MATCH(D446,PRECIOS_TINTORERIA!$A$4:$A$15,0),MATCH(VLOOKUP(A446,PROGRAMAS!$A$4:$G$103,7,FALSE()),PRECIOS_TINTORERIA!$B$3:$U$3,0)),0)</f>
        <v>0</v>
      </c>
      <c r="X446" s="56"/>
      <c r="Y446" s="57"/>
      <c r="Z446" s="58">
        <f t="shared" si="4"/>
        <v>0</v>
      </c>
      <c r="AA446" s="56"/>
      <c r="AB446" s="56"/>
      <c r="AC446" s="56"/>
      <c r="AD446" s="23">
        <f>IFERROR((SUMIFS(COMPRAS_HILO!$H$4:$H$203,COMPRAS_HILO!$B$4:$B$203,A446))*F446/SUMIFS($F$4:$F$503,$A$4:$A$503,A446),0)</f>
        <v>0</v>
      </c>
      <c r="AE446" s="23">
        <f t="shared" si="5"/>
        <v>0</v>
      </c>
      <c r="AF446" s="23">
        <f t="shared" si="6"/>
        <v>0</v>
      </c>
      <c r="AG446" s="25">
        <f t="shared" si="7"/>
        <v>0</v>
      </c>
      <c r="AH446" s="25">
        <f t="shared" si="8"/>
        <v>0</v>
      </c>
      <c r="AI446" s="59"/>
    </row>
    <row r="447" ht="15.75" customHeight="1">
      <c r="A447" s="40"/>
      <c r="B447" s="33"/>
      <c r="C447" s="45" t="str">
        <f>IFERROR(VLOOKUP(B447,COLORES!$A$4:$B$52,2,FALSE()),"")</f>
        <v/>
      </c>
      <c r="D447" s="33"/>
      <c r="E447" s="46"/>
      <c r="F447" s="34"/>
      <c r="G447" s="33"/>
      <c r="H447" s="47"/>
      <c r="I447" s="47"/>
      <c r="J447" s="48">
        <f>IFERROR(VLOOKUP(VLOOKUP(A447,PROGRAMAS!$A$4:$G$103,7,FALSE()),PRECIOS_TEJEDURIA!$A$4:$B$22,2,FALSE()),0)</f>
        <v>0</v>
      </c>
      <c r="K447" s="49"/>
      <c r="L447" s="50"/>
      <c r="M447" s="51">
        <f t="shared" si="1"/>
        <v>0</v>
      </c>
      <c r="N447" s="49"/>
      <c r="O447" s="49"/>
      <c r="P447" s="49"/>
      <c r="Q447" s="52"/>
      <c r="R447" s="53"/>
      <c r="S447" s="53"/>
      <c r="T447" s="54"/>
      <c r="U447" s="19">
        <f t="shared" si="2"/>
        <v>0</v>
      </c>
      <c r="V447" s="20">
        <f t="shared" si="3"/>
        <v>0</v>
      </c>
      <c r="W447" s="55">
        <f t="array" ref="W447">IFERROR(INDEX(PRECIOS_TINTORERIA!$B$4:$U$15,MATCH(D447,PRECIOS_TINTORERIA!$A$4:$A$15,0),MATCH(VLOOKUP(A447,PROGRAMAS!$A$4:$G$103,7,FALSE()),PRECIOS_TINTORERIA!$B$3:$U$3,0)),0)</f>
        <v>0</v>
      </c>
      <c r="X447" s="56"/>
      <c r="Y447" s="57"/>
      <c r="Z447" s="58">
        <f t="shared" si="4"/>
        <v>0</v>
      </c>
      <c r="AA447" s="56"/>
      <c r="AB447" s="56"/>
      <c r="AC447" s="56"/>
      <c r="AD447" s="23">
        <f>IFERROR((SUMIFS(COMPRAS_HILO!$H$4:$H$203,COMPRAS_HILO!$B$4:$B$203,A447))*F447/SUMIFS($F$4:$F$503,$A$4:$A$503,A447),0)</f>
        <v>0</v>
      </c>
      <c r="AE447" s="23">
        <f t="shared" si="5"/>
        <v>0</v>
      </c>
      <c r="AF447" s="23">
        <f t="shared" si="6"/>
        <v>0</v>
      </c>
      <c r="AG447" s="25">
        <f t="shared" si="7"/>
        <v>0</v>
      </c>
      <c r="AH447" s="25">
        <f t="shared" si="8"/>
        <v>0</v>
      </c>
      <c r="AI447" s="59"/>
    </row>
    <row r="448" ht="15.75" customHeight="1">
      <c r="A448" s="40"/>
      <c r="B448" s="33"/>
      <c r="C448" s="45" t="str">
        <f>IFERROR(VLOOKUP(B448,COLORES!$A$4:$B$52,2,FALSE()),"")</f>
        <v/>
      </c>
      <c r="D448" s="33"/>
      <c r="E448" s="46"/>
      <c r="F448" s="34"/>
      <c r="G448" s="33"/>
      <c r="H448" s="47"/>
      <c r="I448" s="47"/>
      <c r="J448" s="48">
        <f>IFERROR(VLOOKUP(VLOOKUP(A448,PROGRAMAS!$A$4:$G$103,7,FALSE()),PRECIOS_TEJEDURIA!$A$4:$B$22,2,FALSE()),0)</f>
        <v>0</v>
      </c>
      <c r="K448" s="49"/>
      <c r="L448" s="50"/>
      <c r="M448" s="51">
        <f t="shared" si="1"/>
        <v>0</v>
      </c>
      <c r="N448" s="49"/>
      <c r="O448" s="49"/>
      <c r="P448" s="49"/>
      <c r="Q448" s="52"/>
      <c r="R448" s="53"/>
      <c r="S448" s="53"/>
      <c r="T448" s="54"/>
      <c r="U448" s="19">
        <f t="shared" si="2"/>
        <v>0</v>
      </c>
      <c r="V448" s="20">
        <f t="shared" si="3"/>
        <v>0</v>
      </c>
      <c r="W448" s="55">
        <f t="array" ref="W448">IFERROR(INDEX(PRECIOS_TINTORERIA!$B$4:$U$15,MATCH(D448,PRECIOS_TINTORERIA!$A$4:$A$15,0),MATCH(VLOOKUP(A448,PROGRAMAS!$A$4:$G$103,7,FALSE()),PRECIOS_TINTORERIA!$B$3:$U$3,0)),0)</f>
        <v>0</v>
      </c>
      <c r="X448" s="56"/>
      <c r="Y448" s="57"/>
      <c r="Z448" s="58">
        <f t="shared" si="4"/>
        <v>0</v>
      </c>
      <c r="AA448" s="56"/>
      <c r="AB448" s="56"/>
      <c r="AC448" s="56"/>
      <c r="AD448" s="23">
        <f>IFERROR((SUMIFS(COMPRAS_HILO!$H$4:$H$203,COMPRAS_HILO!$B$4:$B$203,A448))*F448/SUMIFS($F$4:$F$503,$A$4:$A$503,A448),0)</f>
        <v>0</v>
      </c>
      <c r="AE448" s="23">
        <f t="shared" si="5"/>
        <v>0</v>
      </c>
      <c r="AF448" s="23">
        <f t="shared" si="6"/>
        <v>0</v>
      </c>
      <c r="AG448" s="25">
        <f t="shared" si="7"/>
        <v>0</v>
      </c>
      <c r="AH448" s="25">
        <f t="shared" si="8"/>
        <v>0</v>
      </c>
      <c r="AI448" s="59"/>
    </row>
    <row r="449" ht="15.75" customHeight="1">
      <c r="A449" s="40"/>
      <c r="B449" s="33"/>
      <c r="C449" s="45" t="str">
        <f>IFERROR(VLOOKUP(B449,COLORES!$A$4:$B$52,2,FALSE()),"")</f>
        <v/>
      </c>
      <c r="D449" s="33"/>
      <c r="E449" s="46"/>
      <c r="F449" s="34"/>
      <c r="G449" s="33"/>
      <c r="H449" s="47"/>
      <c r="I449" s="47"/>
      <c r="J449" s="48">
        <f>IFERROR(VLOOKUP(VLOOKUP(A449,PROGRAMAS!$A$4:$G$103,7,FALSE()),PRECIOS_TEJEDURIA!$A$4:$B$22,2,FALSE()),0)</f>
        <v>0</v>
      </c>
      <c r="K449" s="49"/>
      <c r="L449" s="50"/>
      <c r="M449" s="51">
        <f t="shared" si="1"/>
        <v>0</v>
      </c>
      <c r="N449" s="49"/>
      <c r="O449" s="49"/>
      <c r="P449" s="49"/>
      <c r="Q449" s="52"/>
      <c r="R449" s="53"/>
      <c r="S449" s="53"/>
      <c r="T449" s="54"/>
      <c r="U449" s="19">
        <f t="shared" si="2"/>
        <v>0</v>
      </c>
      <c r="V449" s="20">
        <f t="shared" si="3"/>
        <v>0</v>
      </c>
      <c r="W449" s="55">
        <f t="array" ref="W449">IFERROR(INDEX(PRECIOS_TINTORERIA!$B$4:$U$15,MATCH(D449,PRECIOS_TINTORERIA!$A$4:$A$15,0),MATCH(VLOOKUP(A449,PROGRAMAS!$A$4:$G$103,7,FALSE()),PRECIOS_TINTORERIA!$B$3:$U$3,0)),0)</f>
        <v>0</v>
      </c>
      <c r="X449" s="56"/>
      <c r="Y449" s="57"/>
      <c r="Z449" s="58">
        <f t="shared" si="4"/>
        <v>0</v>
      </c>
      <c r="AA449" s="56"/>
      <c r="AB449" s="56"/>
      <c r="AC449" s="56"/>
      <c r="AD449" s="23">
        <f>IFERROR((SUMIFS(COMPRAS_HILO!$H$4:$H$203,COMPRAS_HILO!$B$4:$B$203,A449))*F449/SUMIFS($F$4:$F$503,$A$4:$A$503,A449),0)</f>
        <v>0</v>
      </c>
      <c r="AE449" s="23">
        <f t="shared" si="5"/>
        <v>0</v>
      </c>
      <c r="AF449" s="23">
        <f t="shared" si="6"/>
        <v>0</v>
      </c>
      <c r="AG449" s="25">
        <f t="shared" si="7"/>
        <v>0</v>
      </c>
      <c r="AH449" s="25">
        <f t="shared" si="8"/>
        <v>0</v>
      </c>
      <c r="AI449" s="59"/>
    </row>
    <row r="450" ht="15.75" customHeight="1">
      <c r="A450" s="40"/>
      <c r="B450" s="33"/>
      <c r="C450" s="45" t="str">
        <f>IFERROR(VLOOKUP(B450,COLORES!$A$4:$B$52,2,FALSE()),"")</f>
        <v/>
      </c>
      <c r="D450" s="33"/>
      <c r="E450" s="46"/>
      <c r="F450" s="34"/>
      <c r="G450" s="33"/>
      <c r="H450" s="47"/>
      <c r="I450" s="47"/>
      <c r="J450" s="48">
        <f>IFERROR(VLOOKUP(VLOOKUP(A450,PROGRAMAS!$A$4:$G$103,7,FALSE()),PRECIOS_TEJEDURIA!$A$4:$B$22,2,FALSE()),0)</f>
        <v>0</v>
      </c>
      <c r="K450" s="49"/>
      <c r="L450" s="50"/>
      <c r="M450" s="51">
        <f t="shared" si="1"/>
        <v>0</v>
      </c>
      <c r="N450" s="49"/>
      <c r="O450" s="49"/>
      <c r="P450" s="49"/>
      <c r="Q450" s="52"/>
      <c r="R450" s="53"/>
      <c r="S450" s="53"/>
      <c r="T450" s="54"/>
      <c r="U450" s="19">
        <f t="shared" si="2"/>
        <v>0</v>
      </c>
      <c r="V450" s="20">
        <f t="shared" si="3"/>
        <v>0</v>
      </c>
      <c r="W450" s="55">
        <f t="array" ref="W450">IFERROR(INDEX(PRECIOS_TINTORERIA!$B$4:$U$15,MATCH(D450,PRECIOS_TINTORERIA!$A$4:$A$15,0),MATCH(VLOOKUP(A450,PROGRAMAS!$A$4:$G$103,7,FALSE()),PRECIOS_TINTORERIA!$B$3:$U$3,0)),0)</f>
        <v>0</v>
      </c>
      <c r="X450" s="56"/>
      <c r="Y450" s="57"/>
      <c r="Z450" s="58">
        <f t="shared" si="4"/>
        <v>0</v>
      </c>
      <c r="AA450" s="56"/>
      <c r="AB450" s="56"/>
      <c r="AC450" s="56"/>
      <c r="AD450" s="23">
        <f>IFERROR((SUMIFS(COMPRAS_HILO!$H$4:$H$203,COMPRAS_HILO!$B$4:$B$203,A450))*F450/SUMIFS($F$4:$F$503,$A$4:$A$503,A450),0)</f>
        <v>0</v>
      </c>
      <c r="AE450" s="23">
        <f t="shared" si="5"/>
        <v>0</v>
      </c>
      <c r="AF450" s="23">
        <f t="shared" si="6"/>
        <v>0</v>
      </c>
      <c r="AG450" s="25">
        <f t="shared" si="7"/>
        <v>0</v>
      </c>
      <c r="AH450" s="25">
        <f t="shared" si="8"/>
        <v>0</v>
      </c>
      <c r="AI450" s="59"/>
    </row>
    <row r="451" ht="15.75" customHeight="1">
      <c r="A451" s="40"/>
      <c r="B451" s="33"/>
      <c r="C451" s="45" t="str">
        <f>IFERROR(VLOOKUP(B451,COLORES!$A$4:$B$52,2,FALSE()),"")</f>
        <v/>
      </c>
      <c r="D451" s="33"/>
      <c r="E451" s="46"/>
      <c r="F451" s="34"/>
      <c r="G451" s="33"/>
      <c r="H451" s="47"/>
      <c r="I451" s="47"/>
      <c r="J451" s="48">
        <f>IFERROR(VLOOKUP(VLOOKUP(A451,PROGRAMAS!$A$4:$G$103,7,FALSE()),PRECIOS_TEJEDURIA!$A$4:$B$22,2,FALSE()),0)</f>
        <v>0</v>
      </c>
      <c r="K451" s="49"/>
      <c r="L451" s="50"/>
      <c r="M451" s="51">
        <f t="shared" si="1"/>
        <v>0</v>
      </c>
      <c r="N451" s="49"/>
      <c r="O451" s="49"/>
      <c r="P451" s="49"/>
      <c r="Q451" s="52"/>
      <c r="R451" s="53"/>
      <c r="S451" s="53"/>
      <c r="T451" s="54"/>
      <c r="U451" s="19">
        <f t="shared" si="2"/>
        <v>0</v>
      </c>
      <c r="V451" s="20">
        <f t="shared" si="3"/>
        <v>0</v>
      </c>
      <c r="W451" s="55">
        <f t="array" ref="W451">IFERROR(INDEX(PRECIOS_TINTORERIA!$B$4:$U$15,MATCH(D451,PRECIOS_TINTORERIA!$A$4:$A$15,0),MATCH(VLOOKUP(A451,PROGRAMAS!$A$4:$G$103,7,FALSE()),PRECIOS_TINTORERIA!$B$3:$U$3,0)),0)</f>
        <v>0</v>
      </c>
      <c r="X451" s="56"/>
      <c r="Y451" s="57"/>
      <c r="Z451" s="58">
        <f t="shared" si="4"/>
        <v>0</v>
      </c>
      <c r="AA451" s="56"/>
      <c r="AB451" s="56"/>
      <c r="AC451" s="56"/>
      <c r="AD451" s="23">
        <f>IFERROR((SUMIFS(COMPRAS_HILO!$H$4:$H$203,COMPRAS_HILO!$B$4:$B$203,A451))*F451/SUMIFS($F$4:$F$503,$A$4:$A$503,A451),0)</f>
        <v>0</v>
      </c>
      <c r="AE451" s="23">
        <f t="shared" si="5"/>
        <v>0</v>
      </c>
      <c r="AF451" s="23">
        <f t="shared" si="6"/>
        <v>0</v>
      </c>
      <c r="AG451" s="25">
        <f t="shared" si="7"/>
        <v>0</v>
      </c>
      <c r="AH451" s="25">
        <f t="shared" si="8"/>
        <v>0</v>
      </c>
      <c r="AI451" s="59"/>
    </row>
    <row r="452" ht="15.75" customHeight="1">
      <c r="A452" s="40"/>
      <c r="B452" s="33"/>
      <c r="C452" s="45" t="str">
        <f>IFERROR(VLOOKUP(B452,COLORES!$A$4:$B$52,2,FALSE()),"")</f>
        <v/>
      </c>
      <c r="D452" s="33"/>
      <c r="E452" s="46"/>
      <c r="F452" s="34"/>
      <c r="G452" s="33"/>
      <c r="H452" s="47"/>
      <c r="I452" s="47"/>
      <c r="J452" s="48">
        <f>IFERROR(VLOOKUP(VLOOKUP(A452,PROGRAMAS!$A$4:$G$103,7,FALSE()),PRECIOS_TEJEDURIA!$A$4:$B$22,2,FALSE()),0)</f>
        <v>0</v>
      </c>
      <c r="K452" s="49"/>
      <c r="L452" s="50"/>
      <c r="M452" s="51">
        <f t="shared" si="1"/>
        <v>0</v>
      </c>
      <c r="N452" s="49"/>
      <c r="O452" s="49"/>
      <c r="P452" s="49"/>
      <c r="Q452" s="52"/>
      <c r="R452" s="53"/>
      <c r="S452" s="53"/>
      <c r="T452" s="54"/>
      <c r="U452" s="19">
        <f t="shared" si="2"/>
        <v>0</v>
      </c>
      <c r="V452" s="20">
        <f t="shared" si="3"/>
        <v>0</v>
      </c>
      <c r="W452" s="55">
        <f t="array" ref="W452">IFERROR(INDEX(PRECIOS_TINTORERIA!$B$4:$U$15,MATCH(D452,PRECIOS_TINTORERIA!$A$4:$A$15,0),MATCH(VLOOKUP(A452,PROGRAMAS!$A$4:$G$103,7,FALSE()),PRECIOS_TINTORERIA!$B$3:$U$3,0)),0)</f>
        <v>0</v>
      </c>
      <c r="X452" s="56"/>
      <c r="Y452" s="57"/>
      <c r="Z452" s="58">
        <f t="shared" si="4"/>
        <v>0</v>
      </c>
      <c r="AA452" s="56"/>
      <c r="AB452" s="56"/>
      <c r="AC452" s="56"/>
      <c r="AD452" s="23">
        <f>IFERROR((SUMIFS(COMPRAS_HILO!$H$4:$H$203,COMPRAS_HILO!$B$4:$B$203,A452))*F452/SUMIFS($F$4:$F$503,$A$4:$A$503,A452),0)</f>
        <v>0</v>
      </c>
      <c r="AE452" s="23">
        <f t="shared" si="5"/>
        <v>0</v>
      </c>
      <c r="AF452" s="23">
        <f t="shared" si="6"/>
        <v>0</v>
      </c>
      <c r="AG452" s="25">
        <f t="shared" si="7"/>
        <v>0</v>
      </c>
      <c r="AH452" s="25">
        <f t="shared" si="8"/>
        <v>0</v>
      </c>
      <c r="AI452" s="59"/>
    </row>
    <row r="453" ht="15.75" customHeight="1">
      <c r="A453" s="40"/>
      <c r="B453" s="33"/>
      <c r="C453" s="45" t="str">
        <f>IFERROR(VLOOKUP(B453,COLORES!$A$4:$B$52,2,FALSE()),"")</f>
        <v/>
      </c>
      <c r="D453" s="33"/>
      <c r="E453" s="46"/>
      <c r="F453" s="34"/>
      <c r="G453" s="33"/>
      <c r="H453" s="47"/>
      <c r="I453" s="47"/>
      <c r="J453" s="48">
        <f>IFERROR(VLOOKUP(VLOOKUP(A453,PROGRAMAS!$A$4:$G$103,7,FALSE()),PRECIOS_TEJEDURIA!$A$4:$B$22,2,FALSE()),0)</f>
        <v>0</v>
      </c>
      <c r="K453" s="49"/>
      <c r="L453" s="50"/>
      <c r="M453" s="51">
        <f t="shared" si="1"/>
        <v>0</v>
      </c>
      <c r="N453" s="49"/>
      <c r="O453" s="49"/>
      <c r="P453" s="49"/>
      <c r="Q453" s="52"/>
      <c r="R453" s="53"/>
      <c r="S453" s="53"/>
      <c r="T453" s="54"/>
      <c r="U453" s="19">
        <f t="shared" si="2"/>
        <v>0</v>
      </c>
      <c r="V453" s="20">
        <f t="shared" si="3"/>
        <v>0</v>
      </c>
      <c r="W453" s="55">
        <f t="array" ref="W453">IFERROR(INDEX(PRECIOS_TINTORERIA!$B$4:$U$15,MATCH(D453,PRECIOS_TINTORERIA!$A$4:$A$15,0),MATCH(VLOOKUP(A453,PROGRAMAS!$A$4:$G$103,7,FALSE()),PRECIOS_TINTORERIA!$B$3:$U$3,0)),0)</f>
        <v>0</v>
      </c>
      <c r="X453" s="56"/>
      <c r="Y453" s="57"/>
      <c r="Z453" s="58">
        <f t="shared" si="4"/>
        <v>0</v>
      </c>
      <c r="AA453" s="56"/>
      <c r="AB453" s="56"/>
      <c r="AC453" s="56"/>
      <c r="AD453" s="23">
        <f>IFERROR((SUMIFS(COMPRAS_HILO!$H$4:$H$203,COMPRAS_HILO!$B$4:$B$203,A453))*F453/SUMIFS($F$4:$F$503,$A$4:$A$503,A453),0)</f>
        <v>0</v>
      </c>
      <c r="AE453" s="23">
        <f t="shared" si="5"/>
        <v>0</v>
      </c>
      <c r="AF453" s="23">
        <f t="shared" si="6"/>
        <v>0</v>
      </c>
      <c r="AG453" s="25">
        <f t="shared" si="7"/>
        <v>0</v>
      </c>
      <c r="AH453" s="25">
        <f t="shared" si="8"/>
        <v>0</v>
      </c>
      <c r="AI453" s="59"/>
    </row>
    <row r="454" ht="15.75" customHeight="1">
      <c r="A454" s="40"/>
      <c r="B454" s="33"/>
      <c r="C454" s="45" t="str">
        <f>IFERROR(VLOOKUP(B454,COLORES!$A$4:$B$52,2,FALSE()),"")</f>
        <v/>
      </c>
      <c r="D454" s="33"/>
      <c r="E454" s="46"/>
      <c r="F454" s="34"/>
      <c r="G454" s="33"/>
      <c r="H454" s="47"/>
      <c r="I454" s="47"/>
      <c r="J454" s="48">
        <f>IFERROR(VLOOKUP(VLOOKUP(A454,PROGRAMAS!$A$4:$G$103,7,FALSE()),PRECIOS_TEJEDURIA!$A$4:$B$22,2,FALSE()),0)</f>
        <v>0</v>
      </c>
      <c r="K454" s="49"/>
      <c r="L454" s="50"/>
      <c r="M454" s="51">
        <f t="shared" si="1"/>
        <v>0</v>
      </c>
      <c r="N454" s="49"/>
      <c r="O454" s="49"/>
      <c r="P454" s="49"/>
      <c r="Q454" s="52"/>
      <c r="R454" s="53"/>
      <c r="S454" s="53"/>
      <c r="T454" s="54"/>
      <c r="U454" s="19">
        <f t="shared" si="2"/>
        <v>0</v>
      </c>
      <c r="V454" s="20">
        <f t="shared" si="3"/>
        <v>0</v>
      </c>
      <c r="W454" s="55">
        <f t="array" ref="W454">IFERROR(INDEX(PRECIOS_TINTORERIA!$B$4:$U$15,MATCH(D454,PRECIOS_TINTORERIA!$A$4:$A$15,0),MATCH(VLOOKUP(A454,PROGRAMAS!$A$4:$G$103,7,FALSE()),PRECIOS_TINTORERIA!$B$3:$U$3,0)),0)</f>
        <v>0</v>
      </c>
      <c r="X454" s="56"/>
      <c r="Y454" s="57"/>
      <c r="Z454" s="58">
        <f t="shared" si="4"/>
        <v>0</v>
      </c>
      <c r="AA454" s="56"/>
      <c r="AB454" s="56"/>
      <c r="AC454" s="56"/>
      <c r="AD454" s="23">
        <f>IFERROR((SUMIFS(COMPRAS_HILO!$H$4:$H$203,COMPRAS_HILO!$B$4:$B$203,A454))*F454/SUMIFS($F$4:$F$503,$A$4:$A$503,A454),0)</f>
        <v>0</v>
      </c>
      <c r="AE454" s="23">
        <f t="shared" si="5"/>
        <v>0</v>
      </c>
      <c r="AF454" s="23">
        <f t="shared" si="6"/>
        <v>0</v>
      </c>
      <c r="AG454" s="25">
        <f t="shared" si="7"/>
        <v>0</v>
      </c>
      <c r="AH454" s="25">
        <f t="shared" si="8"/>
        <v>0</v>
      </c>
      <c r="AI454" s="59"/>
    </row>
    <row r="455" ht="15.75" customHeight="1">
      <c r="A455" s="40"/>
      <c r="B455" s="33"/>
      <c r="C455" s="45" t="str">
        <f>IFERROR(VLOOKUP(B455,COLORES!$A$4:$B$52,2,FALSE()),"")</f>
        <v/>
      </c>
      <c r="D455" s="33"/>
      <c r="E455" s="46"/>
      <c r="F455" s="34"/>
      <c r="G455" s="33"/>
      <c r="H455" s="47"/>
      <c r="I455" s="47"/>
      <c r="J455" s="48">
        <f>IFERROR(VLOOKUP(VLOOKUP(A455,PROGRAMAS!$A$4:$G$103,7,FALSE()),PRECIOS_TEJEDURIA!$A$4:$B$22,2,FALSE()),0)</f>
        <v>0</v>
      </c>
      <c r="K455" s="49"/>
      <c r="L455" s="50"/>
      <c r="M455" s="51">
        <f t="shared" si="1"/>
        <v>0</v>
      </c>
      <c r="N455" s="49"/>
      <c r="O455" s="49"/>
      <c r="P455" s="49"/>
      <c r="Q455" s="52"/>
      <c r="R455" s="53"/>
      <c r="S455" s="53"/>
      <c r="T455" s="54"/>
      <c r="U455" s="19">
        <f t="shared" si="2"/>
        <v>0</v>
      </c>
      <c r="V455" s="20">
        <f t="shared" si="3"/>
        <v>0</v>
      </c>
      <c r="W455" s="55">
        <f t="array" ref="W455">IFERROR(INDEX(PRECIOS_TINTORERIA!$B$4:$U$15,MATCH(D455,PRECIOS_TINTORERIA!$A$4:$A$15,0),MATCH(VLOOKUP(A455,PROGRAMAS!$A$4:$G$103,7,FALSE()),PRECIOS_TINTORERIA!$B$3:$U$3,0)),0)</f>
        <v>0</v>
      </c>
      <c r="X455" s="56"/>
      <c r="Y455" s="57"/>
      <c r="Z455" s="58">
        <f t="shared" si="4"/>
        <v>0</v>
      </c>
      <c r="AA455" s="56"/>
      <c r="AB455" s="56"/>
      <c r="AC455" s="56"/>
      <c r="AD455" s="23">
        <f>IFERROR((SUMIFS(COMPRAS_HILO!$H$4:$H$203,COMPRAS_HILO!$B$4:$B$203,A455))*F455/SUMIFS($F$4:$F$503,$A$4:$A$503,A455),0)</f>
        <v>0</v>
      </c>
      <c r="AE455" s="23">
        <f t="shared" si="5"/>
        <v>0</v>
      </c>
      <c r="AF455" s="23">
        <f t="shared" si="6"/>
        <v>0</v>
      </c>
      <c r="AG455" s="25">
        <f t="shared" si="7"/>
        <v>0</v>
      </c>
      <c r="AH455" s="25">
        <f t="shared" si="8"/>
        <v>0</v>
      </c>
      <c r="AI455" s="59"/>
    </row>
    <row r="456" ht="15.75" customHeight="1">
      <c r="A456" s="40"/>
      <c r="B456" s="33"/>
      <c r="C456" s="45" t="str">
        <f>IFERROR(VLOOKUP(B456,COLORES!$A$4:$B$52,2,FALSE()),"")</f>
        <v/>
      </c>
      <c r="D456" s="33"/>
      <c r="E456" s="46"/>
      <c r="F456" s="34"/>
      <c r="G456" s="33"/>
      <c r="H456" s="47"/>
      <c r="I456" s="47"/>
      <c r="J456" s="48">
        <f>IFERROR(VLOOKUP(VLOOKUP(A456,PROGRAMAS!$A$4:$G$103,7,FALSE()),PRECIOS_TEJEDURIA!$A$4:$B$22,2,FALSE()),0)</f>
        <v>0</v>
      </c>
      <c r="K456" s="49"/>
      <c r="L456" s="50"/>
      <c r="M456" s="51">
        <f t="shared" si="1"/>
        <v>0</v>
      </c>
      <c r="N456" s="49"/>
      <c r="O456" s="49"/>
      <c r="P456" s="49"/>
      <c r="Q456" s="52"/>
      <c r="R456" s="53"/>
      <c r="S456" s="53"/>
      <c r="T456" s="54"/>
      <c r="U456" s="19">
        <f t="shared" si="2"/>
        <v>0</v>
      </c>
      <c r="V456" s="20">
        <f t="shared" si="3"/>
        <v>0</v>
      </c>
      <c r="W456" s="55">
        <f t="array" ref="W456">IFERROR(INDEX(PRECIOS_TINTORERIA!$B$4:$U$15,MATCH(D456,PRECIOS_TINTORERIA!$A$4:$A$15,0),MATCH(VLOOKUP(A456,PROGRAMAS!$A$4:$G$103,7,FALSE()),PRECIOS_TINTORERIA!$B$3:$U$3,0)),0)</f>
        <v>0</v>
      </c>
      <c r="X456" s="56"/>
      <c r="Y456" s="57"/>
      <c r="Z456" s="58">
        <f t="shared" si="4"/>
        <v>0</v>
      </c>
      <c r="AA456" s="56"/>
      <c r="AB456" s="56"/>
      <c r="AC456" s="56"/>
      <c r="AD456" s="23">
        <f>IFERROR((SUMIFS(COMPRAS_HILO!$H$4:$H$203,COMPRAS_HILO!$B$4:$B$203,A456))*F456/SUMIFS($F$4:$F$503,$A$4:$A$503,A456),0)</f>
        <v>0</v>
      </c>
      <c r="AE456" s="23">
        <f t="shared" si="5"/>
        <v>0</v>
      </c>
      <c r="AF456" s="23">
        <f t="shared" si="6"/>
        <v>0</v>
      </c>
      <c r="AG456" s="25">
        <f t="shared" si="7"/>
        <v>0</v>
      </c>
      <c r="AH456" s="25">
        <f t="shared" si="8"/>
        <v>0</v>
      </c>
      <c r="AI456" s="59"/>
    </row>
    <row r="457" ht="15.75" customHeight="1">
      <c r="A457" s="40"/>
      <c r="B457" s="33"/>
      <c r="C457" s="45" t="str">
        <f>IFERROR(VLOOKUP(B457,COLORES!$A$4:$B$52,2,FALSE()),"")</f>
        <v/>
      </c>
      <c r="D457" s="33"/>
      <c r="E457" s="46"/>
      <c r="F457" s="34"/>
      <c r="G457" s="33"/>
      <c r="H457" s="47"/>
      <c r="I457" s="47"/>
      <c r="J457" s="48">
        <f>IFERROR(VLOOKUP(VLOOKUP(A457,PROGRAMAS!$A$4:$G$103,7,FALSE()),PRECIOS_TEJEDURIA!$A$4:$B$22,2,FALSE()),0)</f>
        <v>0</v>
      </c>
      <c r="K457" s="49"/>
      <c r="L457" s="50"/>
      <c r="M457" s="51">
        <f t="shared" si="1"/>
        <v>0</v>
      </c>
      <c r="N457" s="49"/>
      <c r="O457" s="49"/>
      <c r="P457" s="49"/>
      <c r="Q457" s="52"/>
      <c r="R457" s="53"/>
      <c r="S457" s="53"/>
      <c r="T457" s="54"/>
      <c r="U457" s="19">
        <f t="shared" si="2"/>
        <v>0</v>
      </c>
      <c r="V457" s="20">
        <f t="shared" si="3"/>
        <v>0</v>
      </c>
      <c r="W457" s="55">
        <f t="array" ref="W457">IFERROR(INDEX(PRECIOS_TINTORERIA!$B$4:$U$15,MATCH(D457,PRECIOS_TINTORERIA!$A$4:$A$15,0),MATCH(VLOOKUP(A457,PROGRAMAS!$A$4:$G$103,7,FALSE()),PRECIOS_TINTORERIA!$B$3:$U$3,0)),0)</f>
        <v>0</v>
      </c>
      <c r="X457" s="56"/>
      <c r="Y457" s="57"/>
      <c r="Z457" s="58">
        <f t="shared" si="4"/>
        <v>0</v>
      </c>
      <c r="AA457" s="56"/>
      <c r="AB457" s="56"/>
      <c r="AC457" s="56"/>
      <c r="AD457" s="23">
        <f>IFERROR((SUMIFS(COMPRAS_HILO!$H$4:$H$203,COMPRAS_HILO!$B$4:$B$203,A457))*F457/SUMIFS($F$4:$F$503,$A$4:$A$503,A457),0)</f>
        <v>0</v>
      </c>
      <c r="AE457" s="23">
        <f t="shared" si="5"/>
        <v>0</v>
      </c>
      <c r="AF457" s="23">
        <f t="shared" si="6"/>
        <v>0</v>
      </c>
      <c r="AG457" s="25">
        <f t="shared" si="7"/>
        <v>0</v>
      </c>
      <c r="AH457" s="25">
        <f t="shared" si="8"/>
        <v>0</v>
      </c>
      <c r="AI457" s="59"/>
    </row>
    <row r="458" ht="15.75" customHeight="1">
      <c r="A458" s="40"/>
      <c r="B458" s="33"/>
      <c r="C458" s="45" t="str">
        <f>IFERROR(VLOOKUP(B458,COLORES!$A$4:$B$52,2,FALSE()),"")</f>
        <v/>
      </c>
      <c r="D458" s="33"/>
      <c r="E458" s="46"/>
      <c r="F458" s="34"/>
      <c r="G458" s="33"/>
      <c r="H458" s="47"/>
      <c r="I458" s="47"/>
      <c r="J458" s="48">
        <f>IFERROR(VLOOKUP(VLOOKUP(A458,PROGRAMAS!$A$4:$G$103,7,FALSE()),PRECIOS_TEJEDURIA!$A$4:$B$22,2,FALSE()),0)</f>
        <v>0</v>
      </c>
      <c r="K458" s="49"/>
      <c r="L458" s="50"/>
      <c r="M458" s="51">
        <f t="shared" si="1"/>
        <v>0</v>
      </c>
      <c r="N458" s="49"/>
      <c r="O458" s="49"/>
      <c r="P458" s="49"/>
      <c r="Q458" s="52"/>
      <c r="R458" s="53"/>
      <c r="S458" s="53"/>
      <c r="T458" s="54"/>
      <c r="U458" s="19">
        <f t="shared" si="2"/>
        <v>0</v>
      </c>
      <c r="V458" s="20">
        <f t="shared" si="3"/>
        <v>0</v>
      </c>
      <c r="W458" s="55">
        <f t="array" ref="W458">IFERROR(INDEX(PRECIOS_TINTORERIA!$B$4:$U$15,MATCH(D458,PRECIOS_TINTORERIA!$A$4:$A$15,0),MATCH(VLOOKUP(A458,PROGRAMAS!$A$4:$G$103,7,FALSE()),PRECIOS_TINTORERIA!$B$3:$U$3,0)),0)</f>
        <v>0</v>
      </c>
      <c r="X458" s="56"/>
      <c r="Y458" s="57"/>
      <c r="Z458" s="58">
        <f t="shared" si="4"/>
        <v>0</v>
      </c>
      <c r="AA458" s="56"/>
      <c r="AB458" s="56"/>
      <c r="AC458" s="56"/>
      <c r="AD458" s="23">
        <f>IFERROR((SUMIFS(COMPRAS_HILO!$H$4:$H$203,COMPRAS_HILO!$B$4:$B$203,A458))*F458/SUMIFS($F$4:$F$503,$A$4:$A$503,A458),0)</f>
        <v>0</v>
      </c>
      <c r="AE458" s="23">
        <f t="shared" si="5"/>
        <v>0</v>
      </c>
      <c r="AF458" s="23">
        <f t="shared" si="6"/>
        <v>0</v>
      </c>
      <c r="AG458" s="25">
        <f t="shared" si="7"/>
        <v>0</v>
      </c>
      <c r="AH458" s="25">
        <f t="shared" si="8"/>
        <v>0</v>
      </c>
      <c r="AI458" s="59"/>
    </row>
    <row r="459" ht="15.75" customHeight="1">
      <c r="A459" s="40"/>
      <c r="B459" s="33"/>
      <c r="C459" s="45" t="str">
        <f>IFERROR(VLOOKUP(B459,COLORES!$A$4:$B$52,2,FALSE()),"")</f>
        <v/>
      </c>
      <c r="D459" s="33"/>
      <c r="E459" s="46"/>
      <c r="F459" s="34"/>
      <c r="G459" s="33"/>
      <c r="H459" s="47"/>
      <c r="I459" s="47"/>
      <c r="J459" s="48">
        <f>IFERROR(VLOOKUP(VLOOKUP(A459,PROGRAMAS!$A$4:$G$103,7,FALSE()),PRECIOS_TEJEDURIA!$A$4:$B$22,2,FALSE()),0)</f>
        <v>0</v>
      </c>
      <c r="K459" s="49"/>
      <c r="L459" s="50"/>
      <c r="M459" s="51">
        <f t="shared" si="1"/>
        <v>0</v>
      </c>
      <c r="N459" s="49"/>
      <c r="O459" s="49"/>
      <c r="P459" s="49"/>
      <c r="Q459" s="52"/>
      <c r="R459" s="53"/>
      <c r="S459" s="53"/>
      <c r="T459" s="54"/>
      <c r="U459" s="19">
        <f t="shared" si="2"/>
        <v>0</v>
      </c>
      <c r="V459" s="20">
        <f t="shared" si="3"/>
        <v>0</v>
      </c>
      <c r="W459" s="55">
        <f t="array" ref="W459">IFERROR(INDEX(PRECIOS_TINTORERIA!$B$4:$U$15,MATCH(D459,PRECIOS_TINTORERIA!$A$4:$A$15,0),MATCH(VLOOKUP(A459,PROGRAMAS!$A$4:$G$103,7,FALSE()),PRECIOS_TINTORERIA!$B$3:$U$3,0)),0)</f>
        <v>0</v>
      </c>
      <c r="X459" s="56"/>
      <c r="Y459" s="57"/>
      <c r="Z459" s="58">
        <f t="shared" si="4"/>
        <v>0</v>
      </c>
      <c r="AA459" s="56"/>
      <c r="AB459" s="56"/>
      <c r="AC459" s="56"/>
      <c r="AD459" s="23">
        <f>IFERROR((SUMIFS(COMPRAS_HILO!$H$4:$H$203,COMPRAS_HILO!$B$4:$B$203,A459))*F459/SUMIFS($F$4:$F$503,$A$4:$A$503,A459),0)</f>
        <v>0</v>
      </c>
      <c r="AE459" s="23">
        <f t="shared" si="5"/>
        <v>0</v>
      </c>
      <c r="AF459" s="23">
        <f t="shared" si="6"/>
        <v>0</v>
      </c>
      <c r="AG459" s="25">
        <f t="shared" si="7"/>
        <v>0</v>
      </c>
      <c r="AH459" s="25">
        <f t="shared" si="8"/>
        <v>0</v>
      </c>
      <c r="AI459" s="59"/>
    </row>
    <row r="460" ht="15.75" customHeight="1">
      <c r="A460" s="40"/>
      <c r="B460" s="33"/>
      <c r="C460" s="45" t="str">
        <f>IFERROR(VLOOKUP(B460,COLORES!$A$4:$B$52,2,FALSE()),"")</f>
        <v/>
      </c>
      <c r="D460" s="33"/>
      <c r="E460" s="46"/>
      <c r="F460" s="34"/>
      <c r="G460" s="33"/>
      <c r="H460" s="47"/>
      <c r="I460" s="47"/>
      <c r="J460" s="48">
        <f>IFERROR(VLOOKUP(VLOOKUP(A460,PROGRAMAS!$A$4:$G$103,7,FALSE()),PRECIOS_TEJEDURIA!$A$4:$B$22,2,FALSE()),0)</f>
        <v>0</v>
      </c>
      <c r="K460" s="49"/>
      <c r="L460" s="50"/>
      <c r="M460" s="51">
        <f t="shared" si="1"/>
        <v>0</v>
      </c>
      <c r="N460" s="49"/>
      <c r="O460" s="49"/>
      <c r="P460" s="49"/>
      <c r="Q460" s="52"/>
      <c r="R460" s="53"/>
      <c r="S460" s="53"/>
      <c r="T460" s="54"/>
      <c r="U460" s="19">
        <f t="shared" si="2"/>
        <v>0</v>
      </c>
      <c r="V460" s="20">
        <f t="shared" si="3"/>
        <v>0</v>
      </c>
      <c r="W460" s="55">
        <f t="array" ref="W460">IFERROR(INDEX(PRECIOS_TINTORERIA!$B$4:$U$15,MATCH(D460,PRECIOS_TINTORERIA!$A$4:$A$15,0),MATCH(VLOOKUP(A460,PROGRAMAS!$A$4:$G$103,7,FALSE()),PRECIOS_TINTORERIA!$B$3:$U$3,0)),0)</f>
        <v>0</v>
      </c>
      <c r="X460" s="56"/>
      <c r="Y460" s="57"/>
      <c r="Z460" s="58">
        <f t="shared" si="4"/>
        <v>0</v>
      </c>
      <c r="AA460" s="56"/>
      <c r="AB460" s="56"/>
      <c r="AC460" s="56"/>
      <c r="AD460" s="23">
        <f>IFERROR((SUMIFS(COMPRAS_HILO!$H$4:$H$203,COMPRAS_HILO!$B$4:$B$203,A460))*F460/SUMIFS($F$4:$F$503,$A$4:$A$503,A460),0)</f>
        <v>0</v>
      </c>
      <c r="AE460" s="23">
        <f t="shared" si="5"/>
        <v>0</v>
      </c>
      <c r="AF460" s="23">
        <f t="shared" si="6"/>
        <v>0</v>
      </c>
      <c r="AG460" s="25">
        <f t="shared" si="7"/>
        <v>0</v>
      </c>
      <c r="AH460" s="25">
        <f t="shared" si="8"/>
        <v>0</v>
      </c>
      <c r="AI460" s="59"/>
    </row>
    <row r="461" ht="15.75" customHeight="1">
      <c r="A461" s="40"/>
      <c r="B461" s="33"/>
      <c r="C461" s="45" t="str">
        <f>IFERROR(VLOOKUP(B461,COLORES!$A$4:$B$52,2,FALSE()),"")</f>
        <v/>
      </c>
      <c r="D461" s="33"/>
      <c r="E461" s="46"/>
      <c r="F461" s="34"/>
      <c r="G461" s="33"/>
      <c r="H461" s="47"/>
      <c r="I461" s="47"/>
      <c r="J461" s="48">
        <f>IFERROR(VLOOKUP(VLOOKUP(A461,PROGRAMAS!$A$4:$G$103,7,FALSE()),PRECIOS_TEJEDURIA!$A$4:$B$22,2,FALSE()),0)</f>
        <v>0</v>
      </c>
      <c r="K461" s="49"/>
      <c r="L461" s="50"/>
      <c r="M461" s="51">
        <f t="shared" si="1"/>
        <v>0</v>
      </c>
      <c r="N461" s="49"/>
      <c r="O461" s="49"/>
      <c r="P461" s="49"/>
      <c r="Q461" s="52"/>
      <c r="R461" s="53"/>
      <c r="S461" s="53"/>
      <c r="T461" s="54"/>
      <c r="U461" s="19">
        <f t="shared" si="2"/>
        <v>0</v>
      </c>
      <c r="V461" s="20">
        <f t="shared" si="3"/>
        <v>0</v>
      </c>
      <c r="W461" s="55">
        <f t="array" ref="W461">IFERROR(INDEX(PRECIOS_TINTORERIA!$B$4:$U$15,MATCH(D461,PRECIOS_TINTORERIA!$A$4:$A$15,0),MATCH(VLOOKUP(A461,PROGRAMAS!$A$4:$G$103,7,FALSE()),PRECIOS_TINTORERIA!$B$3:$U$3,0)),0)</f>
        <v>0</v>
      </c>
      <c r="X461" s="56"/>
      <c r="Y461" s="57"/>
      <c r="Z461" s="58">
        <f t="shared" si="4"/>
        <v>0</v>
      </c>
      <c r="AA461" s="56"/>
      <c r="AB461" s="56"/>
      <c r="AC461" s="56"/>
      <c r="AD461" s="23">
        <f>IFERROR((SUMIFS(COMPRAS_HILO!$H$4:$H$203,COMPRAS_HILO!$B$4:$B$203,A461))*F461/SUMIFS($F$4:$F$503,$A$4:$A$503,A461),0)</f>
        <v>0</v>
      </c>
      <c r="AE461" s="23">
        <f t="shared" si="5"/>
        <v>0</v>
      </c>
      <c r="AF461" s="23">
        <f t="shared" si="6"/>
        <v>0</v>
      </c>
      <c r="AG461" s="25">
        <f t="shared" si="7"/>
        <v>0</v>
      </c>
      <c r="AH461" s="25">
        <f t="shared" si="8"/>
        <v>0</v>
      </c>
      <c r="AI461" s="59"/>
    </row>
    <row r="462" ht="15.75" customHeight="1">
      <c r="A462" s="40"/>
      <c r="B462" s="33"/>
      <c r="C462" s="45" t="str">
        <f>IFERROR(VLOOKUP(B462,COLORES!$A$4:$B$52,2,FALSE()),"")</f>
        <v/>
      </c>
      <c r="D462" s="33"/>
      <c r="E462" s="46"/>
      <c r="F462" s="34"/>
      <c r="G462" s="33"/>
      <c r="H462" s="47"/>
      <c r="I462" s="47"/>
      <c r="J462" s="48">
        <f>IFERROR(VLOOKUP(VLOOKUP(A462,PROGRAMAS!$A$4:$G$103,7,FALSE()),PRECIOS_TEJEDURIA!$A$4:$B$22,2,FALSE()),0)</f>
        <v>0</v>
      </c>
      <c r="K462" s="49"/>
      <c r="L462" s="50"/>
      <c r="M462" s="51">
        <f t="shared" si="1"/>
        <v>0</v>
      </c>
      <c r="N462" s="49"/>
      <c r="O462" s="49"/>
      <c r="P462" s="49"/>
      <c r="Q462" s="52"/>
      <c r="R462" s="53"/>
      <c r="S462" s="53"/>
      <c r="T462" s="54"/>
      <c r="U462" s="19">
        <f t="shared" si="2"/>
        <v>0</v>
      </c>
      <c r="V462" s="20">
        <f t="shared" si="3"/>
        <v>0</v>
      </c>
      <c r="W462" s="55">
        <f t="array" ref="W462">IFERROR(INDEX(PRECIOS_TINTORERIA!$B$4:$U$15,MATCH(D462,PRECIOS_TINTORERIA!$A$4:$A$15,0),MATCH(VLOOKUP(A462,PROGRAMAS!$A$4:$G$103,7,FALSE()),PRECIOS_TINTORERIA!$B$3:$U$3,0)),0)</f>
        <v>0</v>
      </c>
      <c r="X462" s="56"/>
      <c r="Y462" s="57"/>
      <c r="Z462" s="58">
        <f t="shared" si="4"/>
        <v>0</v>
      </c>
      <c r="AA462" s="56"/>
      <c r="AB462" s="56"/>
      <c r="AC462" s="56"/>
      <c r="AD462" s="23">
        <f>IFERROR((SUMIFS(COMPRAS_HILO!$H$4:$H$203,COMPRAS_HILO!$B$4:$B$203,A462))*F462/SUMIFS($F$4:$F$503,$A$4:$A$503,A462),0)</f>
        <v>0</v>
      </c>
      <c r="AE462" s="23">
        <f t="shared" si="5"/>
        <v>0</v>
      </c>
      <c r="AF462" s="23">
        <f t="shared" si="6"/>
        <v>0</v>
      </c>
      <c r="AG462" s="25">
        <f t="shared" si="7"/>
        <v>0</v>
      </c>
      <c r="AH462" s="25">
        <f t="shared" si="8"/>
        <v>0</v>
      </c>
      <c r="AI462" s="59"/>
    </row>
    <row r="463" ht="15.75" customHeight="1">
      <c r="A463" s="40"/>
      <c r="B463" s="33"/>
      <c r="C463" s="45" t="str">
        <f>IFERROR(VLOOKUP(B463,COLORES!$A$4:$B$52,2,FALSE()),"")</f>
        <v/>
      </c>
      <c r="D463" s="33"/>
      <c r="E463" s="46"/>
      <c r="F463" s="34"/>
      <c r="G463" s="33"/>
      <c r="H463" s="47"/>
      <c r="I463" s="47"/>
      <c r="J463" s="48">
        <f>IFERROR(VLOOKUP(VLOOKUP(A463,PROGRAMAS!$A$4:$G$103,7,FALSE()),PRECIOS_TEJEDURIA!$A$4:$B$22,2,FALSE()),0)</f>
        <v>0</v>
      </c>
      <c r="K463" s="49"/>
      <c r="L463" s="50"/>
      <c r="M463" s="51">
        <f t="shared" si="1"/>
        <v>0</v>
      </c>
      <c r="N463" s="49"/>
      <c r="O463" s="49"/>
      <c r="P463" s="49"/>
      <c r="Q463" s="52"/>
      <c r="R463" s="53"/>
      <c r="S463" s="53"/>
      <c r="T463" s="54"/>
      <c r="U463" s="19">
        <f t="shared" si="2"/>
        <v>0</v>
      </c>
      <c r="V463" s="20">
        <f t="shared" si="3"/>
        <v>0</v>
      </c>
      <c r="W463" s="55">
        <f t="array" ref="W463">IFERROR(INDEX(PRECIOS_TINTORERIA!$B$4:$U$15,MATCH(D463,PRECIOS_TINTORERIA!$A$4:$A$15,0),MATCH(VLOOKUP(A463,PROGRAMAS!$A$4:$G$103,7,FALSE()),PRECIOS_TINTORERIA!$B$3:$U$3,0)),0)</f>
        <v>0</v>
      </c>
      <c r="X463" s="56"/>
      <c r="Y463" s="57"/>
      <c r="Z463" s="58">
        <f t="shared" si="4"/>
        <v>0</v>
      </c>
      <c r="AA463" s="56"/>
      <c r="AB463" s="56"/>
      <c r="AC463" s="56"/>
      <c r="AD463" s="23">
        <f>IFERROR((SUMIFS(COMPRAS_HILO!$H$4:$H$203,COMPRAS_HILO!$B$4:$B$203,A463))*F463/SUMIFS($F$4:$F$503,$A$4:$A$503,A463),0)</f>
        <v>0</v>
      </c>
      <c r="AE463" s="23">
        <f t="shared" si="5"/>
        <v>0</v>
      </c>
      <c r="AF463" s="23">
        <f t="shared" si="6"/>
        <v>0</v>
      </c>
      <c r="AG463" s="25">
        <f t="shared" si="7"/>
        <v>0</v>
      </c>
      <c r="AH463" s="25">
        <f t="shared" si="8"/>
        <v>0</v>
      </c>
      <c r="AI463" s="59"/>
    </row>
    <row r="464" ht="15.75" customHeight="1">
      <c r="A464" s="40"/>
      <c r="B464" s="33"/>
      <c r="C464" s="45" t="str">
        <f>IFERROR(VLOOKUP(B464,COLORES!$A$4:$B$52,2,FALSE()),"")</f>
        <v/>
      </c>
      <c r="D464" s="33"/>
      <c r="E464" s="46"/>
      <c r="F464" s="34"/>
      <c r="G464" s="33"/>
      <c r="H464" s="47"/>
      <c r="I464" s="47"/>
      <c r="J464" s="48">
        <f>IFERROR(VLOOKUP(VLOOKUP(A464,PROGRAMAS!$A$4:$G$103,7,FALSE()),PRECIOS_TEJEDURIA!$A$4:$B$22,2,FALSE()),0)</f>
        <v>0</v>
      </c>
      <c r="K464" s="49"/>
      <c r="L464" s="50"/>
      <c r="M464" s="51">
        <f t="shared" si="1"/>
        <v>0</v>
      </c>
      <c r="N464" s="49"/>
      <c r="O464" s="49"/>
      <c r="P464" s="49"/>
      <c r="Q464" s="52"/>
      <c r="R464" s="53"/>
      <c r="S464" s="53"/>
      <c r="T464" s="54"/>
      <c r="U464" s="19">
        <f t="shared" si="2"/>
        <v>0</v>
      </c>
      <c r="V464" s="20">
        <f t="shared" si="3"/>
        <v>0</v>
      </c>
      <c r="W464" s="55">
        <f t="array" ref="W464">IFERROR(INDEX(PRECIOS_TINTORERIA!$B$4:$U$15,MATCH(D464,PRECIOS_TINTORERIA!$A$4:$A$15,0),MATCH(VLOOKUP(A464,PROGRAMAS!$A$4:$G$103,7,FALSE()),PRECIOS_TINTORERIA!$B$3:$U$3,0)),0)</f>
        <v>0</v>
      </c>
      <c r="X464" s="56"/>
      <c r="Y464" s="57"/>
      <c r="Z464" s="58">
        <f t="shared" si="4"/>
        <v>0</v>
      </c>
      <c r="AA464" s="56"/>
      <c r="AB464" s="56"/>
      <c r="AC464" s="56"/>
      <c r="AD464" s="23">
        <f>IFERROR((SUMIFS(COMPRAS_HILO!$H$4:$H$203,COMPRAS_HILO!$B$4:$B$203,A464))*F464/SUMIFS($F$4:$F$503,$A$4:$A$503,A464),0)</f>
        <v>0</v>
      </c>
      <c r="AE464" s="23">
        <f t="shared" si="5"/>
        <v>0</v>
      </c>
      <c r="AF464" s="23">
        <f t="shared" si="6"/>
        <v>0</v>
      </c>
      <c r="AG464" s="25">
        <f t="shared" si="7"/>
        <v>0</v>
      </c>
      <c r="AH464" s="25">
        <f t="shared" si="8"/>
        <v>0</v>
      </c>
      <c r="AI464" s="59"/>
    </row>
    <row r="465" ht="15.75" customHeight="1">
      <c r="A465" s="40"/>
      <c r="B465" s="33"/>
      <c r="C465" s="45" t="str">
        <f>IFERROR(VLOOKUP(B465,COLORES!$A$4:$B$52,2,FALSE()),"")</f>
        <v/>
      </c>
      <c r="D465" s="33"/>
      <c r="E465" s="46"/>
      <c r="F465" s="34"/>
      <c r="G465" s="33"/>
      <c r="H465" s="47"/>
      <c r="I465" s="47"/>
      <c r="J465" s="48">
        <f>IFERROR(VLOOKUP(VLOOKUP(A465,PROGRAMAS!$A$4:$G$103,7,FALSE()),PRECIOS_TEJEDURIA!$A$4:$B$22,2,FALSE()),0)</f>
        <v>0</v>
      </c>
      <c r="K465" s="49"/>
      <c r="L465" s="50"/>
      <c r="M465" s="51">
        <f t="shared" si="1"/>
        <v>0</v>
      </c>
      <c r="N465" s="49"/>
      <c r="O465" s="49"/>
      <c r="P465" s="49"/>
      <c r="Q465" s="52"/>
      <c r="R465" s="53"/>
      <c r="S465" s="53"/>
      <c r="T465" s="54"/>
      <c r="U465" s="19">
        <f t="shared" si="2"/>
        <v>0</v>
      </c>
      <c r="V465" s="20">
        <f t="shared" si="3"/>
        <v>0</v>
      </c>
      <c r="W465" s="55">
        <f t="array" ref="W465">IFERROR(INDEX(PRECIOS_TINTORERIA!$B$4:$U$15,MATCH(D465,PRECIOS_TINTORERIA!$A$4:$A$15,0),MATCH(VLOOKUP(A465,PROGRAMAS!$A$4:$G$103,7,FALSE()),PRECIOS_TINTORERIA!$B$3:$U$3,0)),0)</f>
        <v>0</v>
      </c>
      <c r="X465" s="56"/>
      <c r="Y465" s="57"/>
      <c r="Z465" s="58">
        <f t="shared" si="4"/>
        <v>0</v>
      </c>
      <c r="AA465" s="56"/>
      <c r="AB465" s="56"/>
      <c r="AC465" s="56"/>
      <c r="AD465" s="23">
        <f>IFERROR((SUMIFS(COMPRAS_HILO!$H$4:$H$203,COMPRAS_HILO!$B$4:$B$203,A465))*F465/SUMIFS($F$4:$F$503,$A$4:$A$503,A465),0)</f>
        <v>0</v>
      </c>
      <c r="AE465" s="23">
        <f t="shared" si="5"/>
        <v>0</v>
      </c>
      <c r="AF465" s="23">
        <f t="shared" si="6"/>
        <v>0</v>
      </c>
      <c r="AG465" s="25">
        <f t="shared" si="7"/>
        <v>0</v>
      </c>
      <c r="AH465" s="25">
        <f t="shared" si="8"/>
        <v>0</v>
      </c>
      <c r="AI465" s="59"/>
    </row>
    <row r="466" ht="15.75" customHeight="1">
      <c r="A466" s="40"/>
      <c r="B466" s="33"/>
      <c r="C466" s="45" t="str">
        <f>IFERROR(VLOOKUP(B466,COLORES!$A$4:$B$52,2,FALSE()),"")</f>
        <v/>
      </c>
      <c r="D466" s="33"/>
      <c r="E466" s="46"/>
      <c r="F466" s="34"/>
      <c r="G466" s="33"/>
      <c r="H466" s="47"/>
      <c r="I466" s="47"/>
      <c r="J466" s="48">
        <f>IFERROR(VLOOKUP(VLOOKUP(A466,PROGRAMAS!$A$4:$G$103,7,FALSE()),PRECIOS_TEJEDURIA!$A$4:$B$22,2,FALSE()),0)</f>
        <v>0</v>
      </c>
      <c r="K466" s="49"/>
      <c r="L466" s="50"/>
      <c r="M466" s="51">
        <f t="shared" si="1"/>
        <v>0</v>
      </c>
      <c r="N466" s="49"/>
      <c r="O466" s="49"/>
      <c r="P466" s="49"/>
      <c r="Q466" s="52"/>
      <c r="R466" s="53"/>
      <c r="S466" s="53"/>
      <c r="T466" s="54"/>
      <c r="U466" s="19">
        <f t="shared" si="2"/>
        <v>0</v>
      </c>
      <c r="V466" s="20">
        <f t="shared" si="3"/>
        <v>0</v>
      </c>
      <c r="W466" s="55">
        <f t="array" ref="W466">IFERROR(INDEX(PRECIOS_TINTORERIA!$B$4:$U$15,MATCH(D466,PRECIOS_TINTORERIA!$A$4:$A$15,0),MATCH(VLOOKUP(A466,PROGRAMAS!$A$4:$G$103,7,FALSE()),PRECIOS_TINTORERIA!$B$3:$U$3,0)),0)</f>
        <v>0</v>
      </c>
      <c r="X466" s="56"/>
      <c r="Y466" s="57"/>
      <c r="Z466" s="58">
        <f t="shared" si="4"/>
        <v>0</v>
      </c>
      <c r="AA466" s="56"/>
      <c r="AB466" s="56"/>
      <c r="AC466" s="56"/>
      <c r="AD466" s="23">
        <f>IFERROR((SUMIFS(COMPRAS_HILO!$H$4:$H$203,COMPRAS_HILO!$B$4:$B$203,A466))*F466/SUMIFS($F$4:$F$503,$A$4:$A$503,A466),0)</f>
        <v>0</v>
      </c>
      <c r="AE466" s="23">
        <f t="shared" si="5"/>
        <v>0</v>
      </c>
      <c r="AF466" s="23">
        <f t="shared" si="6"/>
        <v>0</v>
      </c>
      <c r="AG466" s="25">
        <f t="shared" si="7"/>
        <v>0</v>
      </c>
      <c r="AH466" s="25">
        <f t="shared" si="8"/>
        <v>0</v>
      </c>
      <c r="AI466" s="59"/>
    </row>
    <row r="467" ht="15.75" customHeight="1">
      <c r="A467" s="40"/>
      <c r="B467" s="33"/>
      <c r="C467" s="45" t="str">
        <f>IFERROR(VLOOKUP(B467,COLORES!$A$4:$B$52,2,FALSE()),"")</f>
        <v/>
      </c>
      <c r="D467" s="33"/>
      <c r="E467" s="46"/>
      <c r="F467" s="34"/>
      <c r="G467" s="33"/>
      <c r="H467" s="47"/>
      <c r="I467" s="47"/>
      <c r="J467" s="48">
        <f>IFERROR(VLOOKUP(VLOOKUP(A467,PROGRAMAS!$A$4:$G$103,7,FALSE()),PRECIOS_TEJEDURIA!$A$4:$B$22,2,FALSE()),0)</f>
        <v>0</v>
      </c>
      <c r="K467" s="49"/>
      <c r="L467" s="50"/>
      <c r="M467" s="51">
        <f t="shared" si="1"/>
        <v>0</v>
      </c>
      <c r="N467" s="49"/>
      <c r="O467" s="49"/>
      <c r="P467" s="49"/>
      <c r="Q467" s="52"/>
      <c r="R467" s="53"/>
      <c r="S467" s="53"/>
      <c r="T467" s="54"/>
      <c r="U467" s="19">
        <f t="shared" si="2"/>
        <v>0</v>
      </c>
      <c r="V467" s="20">
        <f t="shared" si="3"/>
        <v>0</v>
      </c>
      <c r="W467" s="55">
        <f t="array" ref="W467">IFERROR(INDEX(PRECIOS_TINTORERIA!$B$4:$U$15,MATCH(D467,PRECIOS_TINTORERIA!$A$4:$A$15,0),MATCH(VLOOKUP(A467,PROGRAMAS!$A$4:$G$103,7,FALSE()),PRECIOS_TINTORERIA!$B$3:$U$3,0)),0)</f>
        <v>0</v>
      </c>
      <c r="X467" s="56"/>
      <c r="Y467" s="57"/>
      <c r="Z467" s="58">
        <f t="shared" si="4"/>
        <v>0</v>
      </c>
      <c r="AA467" s="56"/>
      <c r="AB467" s="56"/>
      <c r="AC467" s="56"/>
      <c r="AD467" s="23">
        <f>IFERROR((SUMIFS(COMPRAS_HILO!$H$4:$H$203,COMPRAS_HILO!$B$4:$B$203,A467))*F467/SUMIFS($F$4:$F$503,$A$4:$A$503,A467),0)</f>
        <v>0</v>
      </c>
      <c r="AE467" s="23">
        <f t="shared" si="5"/>
        <v>0</v>
      </c>
      <c r="AF467" s="23">
        <f t="shared" si="6"/>
        <v>0</v>
      </c>
      <c r="AG467" s="25">
        <f t="shared" si="7"/>
        <v>0</v>
      </c>
      <c r="AH467" s="25">
        <f t="shared" si="8"/>
        <v>0</v>
      </c>
      <c r="AI467" s="59"/>
    </row>
    <row r="468" ht="15.75" customHeight="1">
      <c r="A468" s="40"/>
      <c r="B468" s="33"/>
      <c r="C468" s="45" t="str">
        <f>IFERROR(VLOOKUP(B468,COLORES!$A$4:$B$52,2,FALSE()),"")</f>
        <v/>
      </c>
      <c r="D468" s="33"/>
      <c r="E468" s="46"/>
      <c r="F468" s="34"/>
      <c r="G468" s="33"/>
      <c r="H468" s="47"/>
      <c r="I468" s="47"/>
      <c r="J468" s="48">
        <f>IFERROR(VLOOKUP(VLOOKUP(A468,PROGRAMAS!$A$4:$G$103,7,FALSE()),PRECIOS_TEJEDURIA!$A$4:$B$22,2,FALSE()),0)</f>
        <v>0</v>
      </c>
      <c r="K468" s="49"/>
      <c r="L468" s="50"/>
      <c r="M468" s="51">
        <f t="shared" si="1"/>
        <v>0</v>
      </c>
      <c r="N468" s="49"/>
      <c r="O468" s="49"/>
      <c r="P468" s="49"/>
      <c r="Q468" s="52"/>
      <c r="R468" s="53"/>
      <c r="S468" s="53"/>
      <c r="T468" s="54"/>
      <c r="U468" s="19">
        <f t="shared" si="2"/>
        <v>0</v>
      </c>
      <c r="V468" s="20">
        <f t="shared" si="3"/>
        <v>0</v>
      </c>
      <c r="W468" s="55">
        <f t="array" ref="W468">IFERROR(INDEX(PRECIOS_TINTORERIA!$B$4:$U$15,MATCH(D468,PRECIOS_TINTORERIA!$A$4:$A$15,0),MATCH(VLOOKUP(A468,PROGRAMAS!$A$4:$G$103,7,FALSE()),PRECIOS_TINTORERIA!$B$3:$U$3,0)),0)</f>
        <v>0</v>
      </c>
      <c r="X468" s="56"/>
      <c r="Y468" s="57"/>
      <c r="Z468" s="58">
        <f t="shared" si="4"/>
        <v>0</v>
      </c>
      <c r="AA468" s="56"/>
      <c r="AB468" s="56"/>
      <c r="AC468" s="56"/>
      <c r="AD468" s="23">
        <f>IFERROR((SUMIFS(COMPRAS_HILO!$H$4:$H$203,COMPRAS_HILO!$B$4:$B$203,A468))*F468/SUMIFS($F$4:$F$503,$A$4:$A$503,A468),0)</f>
        <v>0</v>
      </c>
      <c r="AE468" s="23">
        <f t="shared" si="5"/>
        <v>0</v>
      </c>
      <c r="AF468" s="23">
        <f t="shared" si="6"/>
        <v>0</v>
      </c>
      <c r="AG468" s="25">
        <f t="shared" si="7"/>
        <v>0</v>
      </c>
      <c r="AH468" s="25">
        <f t="shared" si="8"/>
        <v>0</v>
      </c>
      <c r="AI468" s="59"/>
    </row>
    <row r="469" ht="15.75" customHeight="1">
      <c r="A469" s="40"/>
      <c r="B469" s="33"/>
      <c r="C469" s="45" t="str">
        <f>IFERROR(VLOOKUP(B469,COLORES!$A$4:$B$52,2,FALSE()),"")</f>
        <v/>
      </c>
      <c r="D469" s="33"/>
      <c r="E469" s="46"/>
      <c r="F469" s="34"/>
      <c r="G469" s="33"/>
      <c r="H469" s="47"/>
      <c r="I469" s="47"/>
      <c r="J469" s="48">
        <f>IFERROR(VLOOKUP(VLOOKUP(A469,PROGRAMAS!$A$4:$G$103,7,FALSE()),PRECIOS_TEJEDURIA!$A$4:$B$22,2,FALSE()),0)</f>
        <v>0</v>
      </c>
      <c r="K469" s="49"/>
      <c r="L469" s="50"/>
      <c r="M469" s="51">
        <f t="shared" si="1"/>
        <v>0</v>
      </c>
      <c r="N469" s="49"/>
      <c r="O469" s="49"/>
      <c r="P469" s="49"/>
      <c r="Q469" s="52"/>
      <c r="R469" s="53"/>
      <c r="S469" s="53"/>
      <c r="T469" s="54"/>
      <c r="U469" s="19">
        <f t="shared" si="2"/>
        <v>0</v>
      </c>
      <c r="V469" s="20">
        <f t="shared" si="3"/>
        <v>0</v>
      </c>
      <c r="W469" s="55">
        <f t="array" ref="W469">IFERROR(INDEX(PRECIOS_TINTORERIA!$B$4:$U$15,MATCH(D469,PRECIOS_TINTORERIA!$A$4:$A$15,0),MATCH(VLOOKUP(A469,PROGRAMAS!$A$4:$G$103,7,FALSE()),PRECIOS_TINTORERIA!$B$3:$U$3,0)),0)</f>
        <v>0</v>
      </c>
      <c r="X469" s="56"/>
      <c r="Y469" s="57"/>
      <c r="Z469" s="58">
        <f t="shared" si="4"/>
        <v>0</v>
      </c>
      <c r="AA469" s="56"/>
      <c r="AB469" s="56"/>
      <c r="AC469" s="56"/>
      <c r="AD469" s="23">
        <f>IFERROR((SUMIFS(COMPRAS_HILO!$H$4:$H$203,COMPRAS_HILO!$B$4:$B$203,A469))*F469/SUMIFS($F$4:$F$503,$A$4:$A$503,A469),0)</f>
        <v>0</v>
      </c>
      <c r="AE469" s="23">
        <f t="shared" si="5"/>
        <v>0</v>
      </c>
      <c r="AF469" s="23">
        <f t="shared" si="6"/>
        <v>0</v>
      </c>
      <c r="AG469" s="25">
        <f t="shared" si="7"/>
        <v>0</v>
      </c>
      <c r="AH469" s="25">
        <f t="shared" si="8"/>
        <v>0</v>
      </c>
      <c r="AI469" s="59"/>
    </row>
    <row r="470" ht="15.75" customHeight="1">
      <c r="A470" s="40"/>
      <c r="B470" s="33"/>
      <c r="C470" s="45" t="str">
        <f>IFERROR(VLOOKUP(B470,COLORES!$A$4:$B$52,2,FALSE()),"")</f>
        <v/>
      </c>
      <c r="D470" s="33"/>
      <c r="E470" s="46"/>
      <c r="F470" s="34"/>
      <c r="G470" s="33"/>
      <c r="H470" s="47"/>
      <c r="I470" s="47"/>
      <c r="J470" s="48">
        <f>IFERROR(VLOOKUP(VLOOKUP(A470,PROGRAMAS!$A$4:$G$103,7,FALSE()),PRECIOS_TEJEDURIA!$A$4:$B$22,2,FALSE()),0)</f>
        <v>0</v>
      </c>
      <c r="K470" s="49"/>
      <c r="L470" s="50"/>
      <c r="M470" s="51">
        <f t="shared" si="1"/>
        <v>0</v>
      </c>
      <c r="N470" s="49"/>
      <c r="O470" s="49"/>
      <c r="P470" s="49"/>
      <c r="Q470" s="52"/>
      <c r="R470" s="53"/>
      <c r="S470" s="53"/>
      <c r="T470" s="54"/>
      <c r="U470" s="19">
        <f t="shared" si="2"/>
        <v>0</v>
      </c>
      <c r="V470" s="20">
        <f t="shared" si="3"/>
        <v>0</v>
      </c>
      <c r="W470" s="55">
        <f t="array" ref="W470">IFERROR(INDEX(PRECIOS_TINTORERIA!$B$4:$U$15,MATCH(D470,PRECIOS_TINTORERIA!$A$4:$A$15,0),MATCH(VLOOKUP(A470,PROGRAMAS!$A$4:$G$103,7,FALSE()),PRECIOS_TINTORERIA!$B$3:$U$3,0)),0)</f>
        <v>0</v>
      </c>
      <c r="X470" s="56"/>
      <c r="Y470" s="57"/>
      <c r="Z470" s="58">
        <f t="shared" si="4"/>
        <v>0</v>
      </c>
      <c r="AA470" s="56"/>
      <c r="AB470" s="56"/>
      <c r="AC470" s="56"/>
      <c r="AD470" s="23">
        <f>IFERROR((SUMIFS(COMPRAS_HILO!$H$4:$H$203,COMPRAS_HILO!$B$4:$B$203,A470))*F470/SUMIFS($F$4:$F$503,$A$4:$A$503,A470),0)</f>
        <v>0</v>
      </c>
      <c r="AE470" s="23">
        <f t="shared" si="5"/>
        <v>0</v>
      </c>
      <c r="AF470" s="23">
        <f t="shared" si="6"/>
        <v>0</v>
      </c>
      <c r="AG470" s="25">
        <f t="shared" si="7"/>
        <v>0</v>
      </c>
      <c r="AH470" s="25">
        <f t="shared" si="8"/>
        <v>0</v>
      </c>
      <c r="AI470" s="59"/>
    </row>
    <row r="471" ht="15.75" customHeight="1">
      <c r="A471" s="40"/>
      <c r="B471" s="33"/>
      <c r="C471" s="45" t="str">
        <f>IFERROR(VLOOKUP(B471,COLORES!$A$4:$B$52,2,FALSE()),"")</f>
        <v/>
      </c>
      <c r="D471" s="33"/>
      <c r="E471" s="46"/>
      <c r="F471" s="34"/>
      <c r="G471" s="33"/>
      <c r="H471" s="47"/>
      <c r="I471" s="47"/>
      <c r="J471" s="48">
        <f>IFERROR(VLOOKUP(VLOOKUP(A471,PROGRAMAS!$A$4:$G$103,7,FALSE()),PRECIOS_TEJEDURIA!$A$4:$B$22,2,FALSE()),0)</f>
        <v>0</v>
      </c>
      <c r="K471" s="49"/>
      <c r="L471" s="50"/>
      <c r="M471" s="51">
        <f t="shared" si="1"/>
        <v>0</v>
      </c>
      <c r="N471" s="49"/>
      <c r="O471" s="49"/>
      <c r="P471" s="49"/>
      <c r="Q471" s="52"/>
      <c r="R471" s="53"/>
      <c r="S471" s="53"/>
      <c r="T471" s="54"/>
      <c r="U471" s="19">
        <f t="shared" si="2"/>
        <v>0</v>
      </c>
      <c r="V471" s="20">
        <f t="shared" si="3"/>
        <v>0</v>
      </c>
      <c r="W471" s="55">
        <f t="array" ref="W471">IFERROR(INDEX(PRECIOS_TINTORERIA!$B$4:$U$15,MATCH(D471,PRECIOS_TINTORERIA!$A$4:$A$15,0),MATCH(VLOOKUP(A471,PROGRAMAS!$A$4:$G$103,7,FALSE()),PRECIOS_TINTORERIA!$B$3:$U$3,0)),0)</f>
        <v>0</v>
      </c>
      <c r="X471" s="56"/>
      <c r="Y471" s="57"/>
      <c r="Z471" s="58">
        <f t="shared" si="4"/>
        <v>0</v>
      </c>
      <c r="AA471" s="56"/>
      <c r="AB471" s="56"/>
      <c r="AC471" s="56"/>
      <c r="AD471" s="23">
        <f>IFERROR((SUMIFS(COMPRAS_HILO!$H$4:$H$203,COMPRAS_HILO!$B$4:$B$203,A471))*F471/SUMIFS($F$4:$F$503,$A$4:$A$503,A471),0)</f>
        <v>0</v>
      </c>
      <c r="AE471" s="23">
        <f t="shared" si="5"/>
        <v>0</v>
      </c>
      <c r="AF471" s="23">
        <f t="shared" si="6"/>
        <v>0</v>
      </c>
      <c r="AG471" s="25">
        <f t="shared" si="7"/>
        <v>0</v>
      </c>
      <c r="AH471" s="25">
        <f t="shared" si="8"/>
        <v>0</v>
      </c>
      <c r="AI471" s="59"/>
    </row>
    <row r="472" ht="15.75" customHeight="1">
      <c r="A472" s="40"/>
      <c r="B472" s="33"/>
      <c r="C472" s="45" t="str">
        <f>IFERROR(VLOOKUP(B472,COLORES!$A$4:$B$52,2,FALSE()),"")</f>
        <v/>
      </c>
      <c r="D472" s="33"/>
      <c r="E472" s="46"/>
      <c r="F472" s="34"/>
      <c r="G472" s="33"/>
      <c r="H472" s="47"/>
      <c r="I472" s="47"/>
      <c r="J472" s="48">
        <f>IFERROR(VLOOKUP(VLOOKUP(A472,PROGRAMAS!$A$4:$G$103,7,FALSE()),PRECIOS_TEJEDURIA!$A$4:$B$22,2,FALSE()),0)</f>
        <v>0</v>
      </c>
      <c r="K472" s="49"/>
      <c r="L472" s="50"/>
      <c r="M472" s="51">
        <f t="shared" si="1"/>
        <v>0</v>
      </c>
      <c r="N472" s="49"/>
      <c r="O472" s="49"/>
      <c r="P472" s="49"/>
      <c r="Q472" s="52"/>
      <c r="R472" s="53"/>
      <c r="S472" s="53"/>
      <c r="T472" s="54"/>
      <c r="U472" s="19">
        <f t="shared" si="2"/>
        <v>0</v>
      </c>
      <c r="V472" s="20">
        <f t="shared" si="3"/>
        <v>0</v>
      </c>
      <c r="W472" s="55">
        <f t="array" ref="W472">IFERROR(INDEX(PRECIOS_TINTORERIA!$B$4:$U$15,MATCH(D472,PRECIOS_TINTORERIA!$A$4:$A$15,0),MATCH(VLOOKUP(A472,PROGRAMAS!$A$4:$G$103,7,FALSE()),PRECIOS_TINTORERIA!$B$3:$U$3,0)),0)</f>
        <v>0</v>
      </c>
      <c r="X472" s="56"/>
      <c r="Y472" s="57"/>
      <c r="Z472" s="58">
        <f t="shared" si="4"/>
        <v>0</v>
      </c>
      <c r="AA472" s="56"/>
      <c r="AB472" s="56"/>
      <c r="AC472" s="56"/>
      <c r="AD472" s="23">
        <f>IFERROR((SUMIFS(COMPRAS_HILO!$H$4:$H$203,COMPRAS_HILO!$B$4:$B$203,A472))*F472/SUMIFS($F$4:$F$503,$A$4:$A$503,A472),0)</f>
        <v>0</v>
      </c>
      <c r="AE472" s="23">
        <f t="shared" si="5"/>
        <v>0</v>
      </c>
      <c r="AF472" s="23">
        <f t="shared" si="6"/>
        <v>0</v>
      </c>
      <c r="AG472" s="25">
        <f t="shared" si="7"/>
        <v>0</v>
      </c>
      <c r="AH472" s="25">
        <f t="shared" si="8"/>
        <v>0</v>
      </c>
      <c r="AI472" s="59"/>
    </row>
    <row r="473" ht="15.75" customHeight="1">
      <c r="A473" s="40"/>
      <c r="B473" s="33"/>
      <c r="C473" s="45" t="str">
        <f>IFERROR(VLOOKUP(B473,COLORES!$A$4:$B$52,2,FALSE()),"")</f>
        <v/>
      </c>
      <c r="D473" s="33"/>
      <c r="E473" s="46"/>
      <c r="F473" s="34"/>
      <c r="G473" s="33"/>
      <c r="H473" s="47"/>
      <c r="I473" s="47"/>
      <c r="J473" s="48">
        <f>IFERROR(VLOOKUP(VLOOKUP(A473,PROGRAMAS!$A$4:$G$103,7,FALSE()),PRECIOS_TEJEDURIA!$A$4:$B$22,2,FALSE()),0)</f>
        <v>0</v>
      </c>
      <c r="K473" s="49"/>
      <c r="L473" s="50"/>
      <c r="M473" s="51">
        <f t="shared" si="1"/>
        <v>0</v>
      </c>
      <c r="N473" s="49"/>
      <c r="O473" s="49"/>
      <c r="P473" s="49"/>
      <c r="Q473" s="52"/>
      <c r="R473" s="53"/>
      <c r="S473" s="53"/>
      <c r="T473" s="54"/>
      <c r="U473" s="19">
        <f t="shared" si="2"/>
        <v>0</v>
      </c>
      <c r="V473" s="20">
        <f t="shared" si="3"/>
        <v>0</v>
      </c>
      <c r="W473" s="55">
        <f t="array" ref="W473">IFERROR(INDEX(PRECIOS_TINTORERIA!$B$4:$U$15,MATCH(D473,PRECIOS_TINTORERIA!$A$4:$A$15,0),MATCH(VLOOKUP(A473,PROGRAMAS!$A$4:$G$103,7,FALSE()),PRECIOS_TINTORERIA!$B$3:$U$3,0)),0)</f>
        <v>0</v>
      </c>
      <c r="X473" s="56"/>
      <c r="Y473" s="57"/>
      <c r="Z473" s="58">
        <f t="shared" si="4"/>
        <v>0</v>
      </c>
      <c r="AA473" s="56"/>
      <c r="AB473" s="56"/>
      <c r="AC473" s="56"/>
      <c r="AD473" s="23">
        <f>IFERROR((SUMIFS(COMPRAS_HILO!$H$4:$H$203,COMPRAS_HILO!$B$4:$B$203,A473))*F473/SUMIFS($F$4:$F$503,$A$4:$A$503,A473),0)</f>
        <v>0</v>
      </c>
      <c r="AE473" s="23">
        <f t="shared" si="5"/>
        <v>0</v>
      </c>
      <c r="AF473" s="23">
        <f t="shared" si="6"/>
        <v>0</v>
      </c>
      <c r="AG473" s="25">
        <f t="shared" si="7"/>
        <v>0</v>
      </c>
      <c r="AH473" s="25">
        <f t="shared" si="8"/>
        <v>0</v>
      </c>
      <c r="AI473" s="59"/>
    </row>
    <row r="474" ht="15.75" customHeight="1">
      <c r="A474" s="40"/>
      <c r="B474" s="33"/>
      <c r="C474" s="45" t="str">
        <f>IFERROR(VLOOKUP(B474,COLORES!$A$4:$B$52,2,FALSE()),"")</f>
        <v/>
      </c>
      <c r="D474" s="33"/>
      <c r="E474" s="46"/>
      <c r="F474" s="34"/>
      <c r="G474" s="33"/>
      <c r="H474" s="47"/>
      <c r="I474" s="47"/>
      <c r="J474" s="48">
        <f>IFERROR(VLOOKUP(VLOOKUP(A474,PROGRAMAS!$A$4:$G$103,7,FALSE()),PRECIOS_TEJEDURIA!$A$4:$B$22,2,FALSE()),0)</f>
        <v>0</v>
      </c>
      <c r="K474" s="49"/>
      <c r="L474" s="50"/>
      <c r="M474" s="51">
        <f t="shared" si="1"/>
        <v>0</v>
      </c>
      <c r="N474" s="49"/>
      <c r="O474" s="49"/>
      <c r="P474" s="49"/>
      <c r="Q474" s="52"/>
      <c r="R474" s="53"/>
      <c r="S474" s="53"/>
      <c r="T474" s="54"/>
      <c r="U474" s="19">
        <f t="shared" si="2"/>
        <v>0</v>
      </c>
      <c r="V474" s="20">
        <f t="shared" si="3"/>
        <v>0</v>
      </c>
      <c r="W474" s="55">
        <f t="array" ref="W474">IFERROR(INDEX(PRECIOS_TINTORERIA!$B$4:$U$15,MATCH(D474,PRECIOS_TINTORERIA!$A$4:$A$15,0),MATCH(VLOOKUP(A474,PROGRAMAS!$A$4:$G$103,7,FALSE()),PRECIOS_TINTORERIA!$B$3:$U$3,0)),0)</f>
        <v>0</v>
      </c>
      <c r="X474" s="56"/>
      <c r="Y474" s="57"/>
      <c r="Z474" s="58">
        <f t="shared" si="4"/>
        <v>0</v>
      </c>
      <c r="AA474" s="56"/>
      <c r="AB474" s="56"/>
      <c r="AC474" s="56"/>
      <c r="AD474" s="23">
        <f>IFERROR((SUMIFS(COMPRAS_HILO!$H$4:$H$203,COMPRAS_HILO!$B$4:$B$203,A474))*F474/SUMIFS($F$4:$F$503,$A$4:$A$503,A474),0)</f>
        <v>0</v>
      </c>
      <c r="AE474" s="23">
        <f t="shared" si="5"/>
        <v>0</v>
      </c>
      <c r="AF474" s="23">
        <f t="shared" si="6"/>
        <v>0</v>
      </c>
      <c r="AG474" s="25">
        <f t="shared" si="7"/>
        <v>0</v>
      </c>
      <c r="AH474" s="25">
        <f t="shared" si="8"/>
        <v>0</v>
      </c>
      <c r="AI474" s="59"/>
    </row>
    <row r="475" ht="15.75" customHeight="1">
      <c r="A475" s="40"/>
      <c r="B475" s="33"/>
      <c r="C475" s="45" t="str">
        <f>IFERROR(VLOOKUP(B475,COLORES!$A$4:$B$52,2,FALSE()),"")</f>
        <v/>
      </c>
      <c r="D475" s="33"/>
      <c r="E475" s="46"/>
      <c r="F475" s="34"/>
      <c r="G475" s="33"/>
      <c r="H475" s="47"/>
      <c r="I475" s="47"/>
      <c r="J475" s="48">
        <f>IFERROR(VLOOKUP(VLOOKUP(A475,PROGRAMAS!$A$4:$G$103,7,FALSE()),PRECIOS_TEJEDURIA!$A$4:$B$22,2,FALSE()),0)</f>
        <v>0</v>
      </c>
      <c r="K475" s="49"/>
      <c r="L475" s="50"/>
      <c r="M475" s="51">
        <f t="shared" si="1"/>
        <v>0</v>
      </c>
      <c r="N475" s="49"/>
      <c r="O475" s="49"/>
      <c r="P475" s="49"/>
      <c r="Q475" s="52"/>
      <c r="R475" s="53"/>
      <c r="S475" s="53"/>
      <c r="T475" s="54"/>
      <c r="U475" s="19">
        <f t="shared" si="2"/>
        <v>0</v>
      </c>
      <c r="V475" s="20">
        <f t="shared" si="3"/>
        <v>0</v>
      </c>
      <c r="W475" s="55">
        <f t="array" ref="W475">IFERROR(INDEX(PRECIOS_TINTORERIA!$B$4:$U$15,MATCH(D475,PRECIOS_TINTORERIA!$A$4:$A$15,0),MATCH(VLOOKUP(A475,PROGRAMAS!$A$4:$G$103,7,FALSE()),PRECIOS_TINTORERIA!$B$3:$U$3,0)),0)</f>
        <v>0</v>
      </c>
      <c r="X475" s="56"/>
      <c r="Y475" s="57"/>
      <c r="Z475" s="58">
        <f t="shared" si="4"/>
        <v>0</v>
      </c>
      <c r="AA475" s="56"/>
      <c r="AB475" s="56"/>
      <c r="AC475" s="56"/>
      <c r="AD475" s="23">
        <f>IFERROR((SUMIFS(COMPRAS_HILO!$H$4:$H$203,COMPRAS_HILO!$B$4:$B$203,A475))*F475/SUMIFS($F$4:$F$503,$A$4:$A$503,A475),0)</f>
        <v>0</v>
      </c>
      <c r="AE475" s="23">
        <f t="shared" si="5"/>
        <v>0</v>
      </c>
      <c r="AF475" s="23">
        <f t="shared" si="6"/>
        <v>0</v>
      </c>
      <c r="AG475" s="25">
        <f t="shared" si="7"/>
        <v>0</v>
      </c>
      <c r="AH475" s="25">
        <f t="shared" si="8"/>
        <v>0</v>
      </c>
      <c r="AI475" s="59"/>
    </row>
    <row r="476" ht="15.75" customHeight="1">
      <c r="A476" s="40"/>
      <c r="B476" s="33"/>
      <c r="C476" s="45" t="str">
        <f>IFERROR(VLOOKUP(B476,COLORES!$A$4:$B$52,2,FALSE()),"")</f>
        <v/>
      </c>
      <c r="D476" s="33"/>
      <c r="E476" s="46"/>
      <c r="F476" s="34"/>
      <c r="G476" s="33"/>
      <c r="H476" s="47"/>
      <c r="I476" s="47"/>
      <c r="J476" s="48">
        <f>IFERROR(VLOOKUP(VLOOKUP(A476,PROGRAMAS!$A$4:$G$103,7,FALSE()),PRECIOS_TEJEDURIA!$A$4:$B$22,2,FALSE()),0)</f>
        <v>0</v>
      </c>
      <c r="K476" s="49"/>
      <c r="L476" s="50"/>
      <c r="M476" s="51">
        <f t="shared" si="1"/>
        <v>0</v>
      </c>
      <c r="N476" s="49"/>
      <c r="O476" s="49"/>
      <c r="P476" s="49"/>
      <c r="Q476" s="52"/>
      <c r="R476" s="53"/>
      <c r="S476" s="53"/>
      <c r="T476" s="54"/>
      <c r="U476" s="19">
        <f t="shared" si="2"/>
        <v>0</v>
      </c>
      <c r="V476" s="20">
        <f t="shared" si="3"/>
        <v>0</v>
      </c>
      <c r="W476" s="55">
        <f t="array" ref="W476">IFERROR(INDEX(PRECIOS_TINTORERIA!$B$4:$U$15,MATCH(D476,PRECIOS_TINTORERIA!$A$4:$A$15,0),MATCH(VLOOKUP(A476,PROGRAMAS!$A$4:$G$103,7,FALSE()),PRECIOS_TINTORERIA!$B$3:$U$3,0)),0)</f>
        <v>0</v>
      </c>
      <c r="X476" s="56"/>
      <c r="Y476" s="57"/>
      <c r="Z476" s="58">
        <f t="shared" si="4"/>
        <v>0</v>
      </c>
      <c r="AA476" s="56"/>
      <c r="AB476" s="56"/>
      <c r="AC476" s="56"/>
      <c r="AD476" s="23">
        <f>IFERROR((SUMIFS(COMPRAS_HILO!$H$4:$H$203,COMPRAS_HILO!$B$4:$B$203,A476))*F476/SUMIFS($F$4:$F$503,$A$4:$A$503,A476),0)</f>
        <v>0</v>
      </c>
      <c r="AE476" s="23">
        <f t="shared" si="5"/>
        <v>0</v>
      </c>
      <c r="AF476" s="23">
        <f t="shared" si="6"/>
        <v>0</v>
      </c>
      <c r="AG476" s="25">
        <f t="shared" si="7"/>
        <v>0</v>
      </c>
      <c r="AH476" s="25">
        <f t="shared" si="8"/>
        <v>0</v>
      </c>
      <c r="AI476" s="59"/>
    </row>
    <row r="477" ht="15.75" customHeight="1">
      <c r="A477" s="40"/>
      <c r="B477" s="33"/>
      <c r="C477" s="45" t="str">
        <f>IFERROR(VLOOKUP(B477,COLORES!$A$4:$B$52,2,FALSE()),"")</f>
        <v/>
      </c>
      <c r="D477" s="33"/>
      <c r="E477" s="46"/>
      <c r="F477" s="34"/>
      <c r="G477" s="33"/>
      <c r="H477" s="47"/>
      <c r="I477" s="47"/>
      <c r="J477" s="48">
        <f>IFERROR(VLOOKUP(VLOOKUP(A477,PROGRAMAS!$A$4:$G$103,7,FALSE()),PRECIOS_TEJEDURIA!$A$4:$B$22,2,FALSE()),0)</f>
        <v>0</v>
      </c>
      <c r="K477" s="49"/>
      <c r="L477" s="50"/>
      <c r="M477" s="51">
        <f t="shared" si="1"/>
        <v>0</v>
      </c>
      <c r="N477" s="49"/>
      <c r="O477" s="49"/>
      <c r="P477" s="49"/>
      <c r="Q477" s="52"/>
      <c r="R477" s="53"/>
      <c r="S477" s="53"/>
      <c r="T477" s="54"/>
      <c r="U477" s="19">
        <f t="shared" si="2"/>
        <v>0</v>
      </c>
      <c r="V477" s="20">
        <f t="shared" si="3"/>
        <v>0</v>
      </c>
      <c r="W477" s="55">
        <f t="array" ref="W477">IFERROR(INDEX(PRECIOS_TINTORERIA!$B$4:$U$15,MATCH(D477,PRECIOS_TINTORERIA!$A$4:$A$15,0),MATCH(VLOOKUP(A477,PROGRAMAS!$A$4:$G$103,7,FALSE()),PRECIOS_TINTORERIA!$B$3:$U$3,0)),0)</f>
        <v>0</v>
      </c>
      <c r="X477" s="56"/>
      <c r="Y477" s="57"/>
      <c r="Z477" s="58">
        <f t="shared" si="4"/>
        <v>0</v>
      </c>
      <c r="AA477" s="56"/>
      <c r="AB477" s="56"/>
      <c r="AC477" s="56"/>
      <c r="AD477" s="23">
        <f>IFERROR((SUMIFS(COMPRAS_HILO!$H$4:$H$203,COMPRAS_HILO!$B$4:$B$203,A477))*F477/SUMIFS($F$4:$F$503,$A$4:$A$503,A477),0)</f>
        <v>0</v>
      </c>
      <c r="AE477" s="23">
        <f t="shared" si="5"/>
        <v>0</v>
      </c>
      <c r="AF477" s="23">
        <f t="shared" si="6"/>
        <v>0</v>
      </c>
      <c r="AG477" s="25">
        <f t="shared" si="7"/>
        <v>0</v>
      </c>
      <c r="AH477" s="25">
        <f t="shared" si="8"/>
        <v>0</v>
      </c>
      <c r="AI477" s="59"/>
    </row>
    <row r="478" ht="15.75" customHeight="1">
      <c r="A478" s="40"/>
      <c r="B478" s="33"/>
      <c r="C478" s="45" t="str">
        <f>IFERROR(VLOOKUP(B478,COLORES!$A$4:$B$52,2,FALSE()),"")</f>
        <v/>
      </c>
      <c r="D478" s="33"/>
      <c r="E478" s="46"/>
      <c r="F478" s="34"/>
      <c r="G478" s="33"/>
      <c r="H478" s="47"/>
      <c r="I478" s="47"/>
      <c r="J478" s="48">
        <f>IFERROR(VLOOKUP(VLOOKUP(A478,PROGRAMAS!$A$4:$G$103,7,FALSE()),PRECIOS_TEJEDURIA!$A$4:$B$22,2,FALSE()),0)</f>
        <v>0</v>
      </c>
      <c r="K478" s="49"/>
      <c r="L478" s="50"/>
      <c r="M478" s="51">
        <f t="shared" si="1"/>
        <v>0</v>
      </c>
      <c r="N478" s="49"/>
      <c r="O478" s="49"/>
      <c r="P478" s="49"/>
      <c r="Q478" s="52"/>
      <c r="R478" s="53"/>
      <c r="S478" s="53"/>
      <c r="T478" s="54"/>
      <c r="U478" s="19">
        <f t="shared" si="2"/>
        <v>0</v>
      </c>
      <c r="V478" s="20">
        <f t="shared" si="3"/>
        <v>0</v>
      </c>
      <c r="W478" s="55">
        <f t="array" ref="W478">IFERROR(INDEX(PRECIOS_TINTORERIA!$B$4:$U$15,MATCH(D478,PRECIOS_TINTORERIA!$A$4:$A$15,0),MATCH(VLOOKUP(A478,PROGRAMAS!$A$4:$G$103,7,FALSE()),PRECIOS_TINTORERIA!$B$3:$U$3,0)),0)</f>
        <v>0</v>
      </c>
      <c r="X478" s="56"/>
      <c r="Y478" s="57"/>
      <c r="Z478" s="58">
        <f t="shared" si="4"/>
        <v>0</v>
      </c>
      <c r="AA478" s="56"/>
      <c r="AB478" s="56"/>
      <c r="AC478" s="56"/>
      <c r="AD478" s="23">
        <f>IFERROR((SUMIFS(COMPRAS_HILO!$H$4:$H$203,COMPRAS_HILO!$B$4:$B$203,A478))*F478/SUMIFS($F$4:$F$503,$A$4:$A$503,A478),0)</f>
        <v>0</v>
      </c>
      <c r="AE478" s="23">
        <f t="shared" si="5"/>
        <v>0</v>
      </c>
      <c r="AF478" s="23">
        <f t="shared" si="6"/>
        <v>0</v>
      </c>
      <c r="AG478" s="25">
        <f t="shared" si="7"/>
        <v>0</v>
      </c>
      <c r="AH478" s="25">
        <f t="shared" si="8"/>
        <v>0</v>
      </c>
      <c r="AI478" s="59"/>
    </row>
    <row r="479" ht="15.75" customHeight="1">
      <c r="A479" s="40"/>
      <c r="B479" s="33"/>
      <c r="C479" s="45" t="str">
        <f>IFERROR(VLOOKUP(B479,COLORES!$A$4:$B$52,2,FALSE()),"")</f>
        <v/>
      </c>
      <c r="D479" s="33"/>
      <c r="E479" s="46"/>
      <c r="F479" s="34"/>
      <c r="G479" s="33"/>
      <c r="H479" s="47"/>
      <c r="I479" s="47"/>
      <c r="J479" s="48">
        <f>IFERROR(VLOOKUP(VLOOKUP(A479,PROGRAMAS!$A$4:$G$103,7,FALSE()),PRECIOS_TEJEDURIA!$A$4:$B$22,2,FALSE()),0)</f>
        <v>0</v>
      </c>
      <c r="K479" s="49"/>
      <c r="L479" s="50"/>
      <c r="M479" s="51">
        <f t="shared" si="1"/>
        <v>0</v>
      </c>
      <c r="N479" s="49"/>
      <c r="O479" s="49"/>
      <c r="P479" s="49"/>
      <c r="Q479" s="52"/>
      <c r="R479" s="53"/>
      <c r="S479" s="53"/>
      <c r="T479" s="54"/>
      <c r="U479" s="19">
        <f t="shared" si="2"/>
        <v>0</v>
      </c>
      <c r="V479" s="20">
        <f t="shared" si="3"/>
        <v>0</v>
      </c>
      <c r="W479" s="55">
        <f t="array" ref="W479">IFERROR(INDEX(PRECIOS_TINTORERIA!$B$4:$U$15,MATCH(D479,PRECIOS_TINTORERIA!$A$4:$A$15,0),MATCH(VLOOKUP(A479,PROGRAMAS!$A$4:$G$103,7,FALSE()),PRECIOS_TINTORERIA!$B$3:$U$3,0)),0)</f>
        <v>0</v>
      </c>
      <c r="X479" s="56"/>
      <c r="Y479" s="57"/>
      <c r="Z479" s="58">
        <f t="shared" si="4"/>
        <v>0</v>
      </c>
      <c r="AA479" s="56"/>
      <c r="AB479" s="56"/>
      <c r="AC479" s="56"/>
      <c r="AD479" s="23">
        <f>IFERROR((SUMIFS(COMPRAS_HILO!$H$4:$H$203,COMPRAS_HILO!$B$4:$B$203,A479))*F479/SUMIFS($F$4:$F$503,$A$4:$A$503,A479),0)</f>
        <v>0</v>
      </c>
      <c r="AE479" s="23">
        <f t="shared" si="5"/>
        <v>0</v>
      </c>
      <c r="AF479" s="23">
        <f t="shared" si="6"/>
        <v>0</v>
      </c>
      <c r="AG479" s="25">
        <f t="shared" si="7"/>
        <v>0</v>
      </c>
      <c r="AH479" s="25">
        <f t="shared" si="8"/>
        <v>0</v>
      </c>
      <c r="AI479" s="59"/>
    </row>
    <row r="480" ht="15.75" customHeight="1">
      <c r="A480" s="40"/>
      <c r="B480" s="33"/>
      <c r="C480" s="45" t="str">
        <f>IFERROR(VLOOKUP(B480,COLORES!$A$4:$B$52,2,FALSE()),"")</f>
        <v/>
      </c>
      <c r="D480" s="33"/>
      <c r="E480" s="46"/>
      <c r="F480" s="34"/>
      <c r="G480" s="33"/>
      <c r="H480" s="47"/>
      <c r="I480" s="47"/>
      <c r="J480" s="48">
        <f>IFERROR(VLOOKUP(VLOOKUP(A480,PROGRAMAS!$A$4:$G$103,7,FALSE()),PRECIOS_TEJEDURIA!$A$4:$B$22,2,FALSE()),0)</f>
        <v>0</v>
      </c>
      <c r="K480" s="49"/>
      <c r="L480" s="50"/>
      <c r="M480" s="51">
        <f t="shared" si="1"/>
        <v>0</v>
      </c>
      <c r="N480" s="49"/>
      <c r="O480" s="49"/>
      <c r="P480" s="49"/>
      <c r="Q480" s="52"/>
      <c r="R480" s="53"/>
      <c r="S480" s="53"/>
      <c r="T480" s="54"/>
      <c r="U480" s="19">
        <f t="shared" si="2"/>
        <v>0</v>
      </c>
      <c r="V480" s="20">
        <f t="shared" si="3"/>
        <v>0</v>
      </c>
      <c r="W480" s="55">
        <f t="array" ref="W480">IFERROR(INDEX(PRECIOS_TINTORERIA!$B$4:$U$15,MATCH(D480,PRECIOS_TINTORERIA!$A$4:$A$15,0),MATCH(VLOOKUP(A480,PROGRAMAS!$A$4:$G$103,7,FALSE()),PRECIOS_TINTORERIA!$B$3:$U$3,0)),0)</f>
        <v>0</v>
      </c>
      <c r="X480" s="56"/>
      <c r="Y480" s="57"/>
      <c r="Z480" s="58">
        <f t="shared" si="4"/>
        <v>0</v>
      </c>
      <c r="AA480" s="56"/>
      <c r="AB480" s="56"/>
      <c r="AC480" s="56"/>
      <c r="AD480" s="23">
        <f>IFERROR((SUMIFS(COMPRAS_HILO!$H$4:$H$203,COMPRAS_HILO!$B$4:$B$203,A480))*F480/SUMIFS($F$4:$F$503,$A$4:$A$503,A480),0)</f>
        <v>0</v>
      </c>
      <c r="AE480" s="23">
        <f t="shared" si="5"/>
        <v>0</v>
      </c>
      <c r="AF480" s="23">
        <f t="shared" si="6"/>
        <v>0</v>
      </c>
      <c r="AG480" s="25">
        <f t="shared" si="7"/>
        <v>0</v>
      </c>
      <c r="AH480" s="25">
        <f t="shared" si="8"/>
        <v>0</v>
      </c>
      <c r="AI480" s="59"/>
    </row>
    <row r="481" ht="15.75" customHeight="1">
      <c r="A481" s="40"/>
      <c r="B481" s="33"/>
      <c r="C481" s="45" t="str">
        <f>IFERROR(VLOOKUP(B481,COLORES!$A$4:$B$52,2,FALSE()),"")</f>
        <v/>
      </c>
      <c r="D481" s="33"/>
      <c r="E481" s="46"/>
      <c r="F481" s="34"/>
      <c r="G481" s="33"/>
      <c r="H481" s="47"/>
      <c r="I481" s="47"/>
      <c r="J481" s="48">
        <f>IFERROR(VLOOKUP(VLOOKUP(A481,PROGRAMAS!$A$4:$G$103,7,FALSE()),PRECIOS_TEJEDURIA!$A$4:$B$22,2,FALSE()),0)</f>
        <v>0</v>
      </c>
      <c r="K481" s="49"/>
      <c r="L481" s="50"/>
      <c r="M481" s="51">
        <f t="shared" si="1"/>
        <v>0</v>
      </c>
      <c r="N481" s="49"/>
      <c r="O481" s="49"/>
      <c r="P481" s="49"/>
      <c r="Q481" s="52"/>
      <c r="R481" s="53"/>
      <c r="S481" s="53"/>
      <c r="T481" s="54"/>
      <c r="U481" s="19">
        <f t="shared" si="2"/>
        <v>0</v>
      </c>
      <c r="V481" s="20">
        <f t="shared" si="3"/>
        <v>0</v>
      </c>
      <c r="W481" s="55">
        <f t="array" ref="W481">IFERROR(INDEX(PRECIOS_TINTORERIA!$B$4:$U$15,MATCH(D481,PRECIOS_TINTORERIA!$A$4:$A$15,0),MATCH(VLOOKUP(A481,PROGRAMAS!$A$4:$G$103,7,FALSE()),PRECIOS_TINTORERIA!$B$3:$U$3,0)),0)</f>
        <v>0</v>
      </c>
      <c r="X481" s="56"/>
      <c r="Y481" s="57"/>
      <c r="Z481" s="58">
        <f t="shared" si="4"/>
        <v>0</v>
      </c>
      <c r="AA481" s="56"/>
      <c r="AB481" s="56"/>
      <c r="AC481" s="56"/>
      <c r="AD481" s="23">
        <f>IFERROR((SUMIFS(COMPRAS_HILO!$H$4:$H$203,COMPRAS_HILO!$B$4:$B$203,A481))*F481/SUMIFS($F$4:$F$503,$A$4:$A$503,A481),0)</f>
        <v>0</v>
      </c>
      <c r="AE481" s="23">
        <f t="shared" si="5"/>
        <v>0</v>
      </c>
      <c r="AF481" s="23">
        <f t="shared" si="6"/>
        <v>0</v>
      </c>
      <c r="AG481" s="25">
        <f t="shared" si="7"/>
        <v>0</v>
      </c>
      <c r="AH481" s="25">
        <f t="shared" si="8"/>
        <v>0</v>
      </c>
      <c r="AI481" s="59"/>
    </row>
    <row r="482" ht="15.75" customHeight="1">
      <c r="A482" s="40"/>
      <c r="B482" s="33"/>
      <c r="C482" s="45" t="str">
        <f>IFERROR(VLOOKUP(B482,COLORES!$A$4:$B$52,2,FALSE()),"")</f>
        <v/>
      </c>
      <c r="D482" s="33"/>
      <c r="E482" s="46"/>
      <c r="F482" s="34"/>
      <c r="G482" s="33"/>
      <c r="H482" s="47"/>
      <c r="I482" s="47"/>
      <c r="J482" s="48">
        <f>IFERROR(VLOOKUP(VLOOKUP(A482,PROGRAMAS!$A$4:$G$103,7,FALSE()),PRECIOS_TEJEDURIA!$A$4:$B$22,2,FALSE()),0)</f>
        <v>0</v>
      </c>
      <c r="K482" s="49"/>
      <c r="L482" s="50"/>
      <c r="M482" s="51">
        <f t="shared" si="1"/>
        <v>0</v>
      </c>
      <c r="N482" s="49"/>
      <c r="O482" s="49"/>
      <c r="P482" s="49"/>
      <c r="Q482" s="52"/>
      <c r="R482" s="53"/>
      <c r="S482" s="53"/>
      <c r="T482" s="54"/>
      <c r="U482" s="19">
        <f t="shared" si="2"/>
        <v>0</v>
      </c>
      <c r="V482" s="20">
        <f t="shared" si="3"/>
        <v>0</v>
      </c>
      <c r="W482" s="55">
        <f t="array" ref="W482">IFERROR(INDEX(PRECIOS_TINTORERIA!$B$4:$U$15,MATCH(D482,PRECIOS_TINTORERIA!$A$4:$A$15,0),MATCH(VLOOKUP(A482,PROGRAMAS!$A$4:$G$103,7,FALSE()),PRECIOS_TINTORERIA!$B$3:$U$3,0)),0)</f>
        <v>0</v>
      </c>
      <c r="X482" s="56"/>
      <c r="Y482" s="57"/>
      <c r="Z482" s="58">
        <f t="shared" si="4"/>
        <v>0</v>
      </c>
      <c r="AA482" s="56"/>
      <c r="AB482" s="56"/>
      <c r="AC482" s="56"/>
      <c r="AD482" s="23">
        <f>IFERROR((SUMIFS(COMPRAS_HILO!$H$4:$H$203,COMPRAS_HILO!$B$4:$B$203,A482))*F482/SUMIFS($F$4:$F$503,$A$4:$A$503,A482),0)</f>
        <v>0</v>
      </c>
      <c r="AE482" s="23">
        <f t="shared" si="5"/>
        <v>0</v>
      </c>
      <c r="AF482" s="23">
        <f t="shared" si="6"/>
        <v>0</v>
      </c>
      <c r="AG482" s="25">
        <f t="shared" si="7"/>
        <v>0</v>
      </c>
      <c r="AH482" s="25">
        <f t="shared" si="8"/>
        <v>0</v>
      </c>
      <c r="AI482" s="59"/>
    </row>
    <row r="483" ht="15.75" customHeight="1">
      <c r="A483" s="40"/>
      <c r="B483" s="33"/>
      <c r="C483" s="45" t="str">
        <f>IFERROR(VLOOKUP(B483,COLORES!$A$4:$B$52,2,FALSE()),"")</f>
        <v/>
      </c>
      <c r="D483" s="33"/>
      <c r="E483" s="46"/>
      <c r="F483" s="34"/>
      <c r="G483" s="33"/>
      <c r="H483" s="47"/>
      <c r="I483" s="47"/>
      <c r="J483" s="48">
        <f>IFERROR(VLOOKUP(VLOOKUP(A483,PROGRAMAS!$A$4:$G$103,7,FALSE()),PRECIOS_TEJEDURIA!$A$4:$B$22,2,FALSE()),0)</f>
        <v>0</v>
      </c>
      <c r="K483" s="49"/>
      <c r="L483" s="50"/>
      <c r="M483" s="51">
        <f t="shared" si="1"/>
        <v>0</v>
      </c>
      <c r="N483" s="49"/>
      <c r="O483" s="49"/>
      <c r="P483" s="49"/>
      <c r="Q483" s="52"/>
      <c r="R483" s="53"/>
      <c r="S483" s="53"/>
      <c r="T483" s="54"/>
      <c r="U483" s="19">
        <f t="shared" si="2"/>
        <v>0</v>
      </c>
      <c r="V483" s="20">
        <f t="shared" si="3"/>
        <v>0</v>
      </c>
      <c r="W483" s="55">
        <f t="array" ref="W483">IFERROR(INDEX(PRECIOS_TINTORERIA!$B$4:$U$15,MATCH(D483,PRECIOS_TINTORERIA!$A$4:$A$15,0),MATCH(VLOOKUP(A483,PROGRAMAS!$A$4:$G$103,7,FALSE()),PRECIOS_TINTORERIA!$B$3:$U$3,0)),0)</f>
        <v>0</v>
      </c>
      <c r="X483" s="56"/>
      <c r="Y483" s="57"/>
      <c r="Z483" s="58">
        <f t="shared" si="4"/>
        <v>0</v>
      </c>
      <c r="AA483" s="56"/>
      <c r="AB483" s="56"/>
      <c r="AC483" s="56"/>
      <c r="AD483" s="23">
        <f>IFERROR((SUMIFS(COMPRAS_HILO!$H$4:$H$203,COMPRAS_HILO!$B$4:$B$203,A483))*F483/SUMIFS($F$4:$F$503,$A$4:$A$503,A483),0)</f>
        <v>0</v>
      </c>
      <c r="AE483" s="23">
        <f t="shared" si="5"/>
        <v>0</v>
      </c>
      <c r="AF483" s="23">
        <f t="shared" si="6"/>
        <v>0</v>
      </c>
      <c r="AG483" s="25">
        <f t="shared" si="7"/>
        <v>0</v>
      </c>
      <c r="AH483" s="25">
        <f t="shared" si="8"/>
        <v>0</v>
      </c>
      <c r="AI483" s="59"/>
    </row>
    <row r="484" ht="15.75" customHeight="1">
      <c r="A484" s="40"/>
      <c r="B484" s="33"/>
      <c r="C484" s="45" t="str">
        <f>IFERROR(VLOOKUP(B484,COLORES!$A$4:$B$52,2,FALSE()),"")</f>
        <v/>
      </c>
      <c r="D484" s="33"/>
      <c r="E484" s="46"/>
      <c r="F484" s="34"/>
      <c r="G484" s="33"/>
      <c r="H484" s="47"/>
      <c r="I484" s="47"/>
      <c r="J484" s="48">
        <f>IFERROR(VLOOKUP(VLOOKUP(A484,PROGRAMAS!$A$4:$G$103,7,FALSE()),PRECIOS_TEJEDURIA!$A$4:$B$22,2,FALSE()),0)</f>
        <v>0</v>
      </c>
      <c r="K484" s="49"/>
      <c r="L484" s="50"/>
      <c r="M484" s="51">
        <f t="shared" si="1"/>
        <v>0</v>
      </c>
      <c r="N484" s="49"/>
      <c r="O484" s="49"/>
      <c r="P484" s="49"/>
      <c r="Q484" s="52"/>
      <c r="R484" s="53"/>
      <c r="S484" s="53"/>
      <c r="T484" s="54"/>
      <c r="U484" s="19">
        <f t="shared" si="2"/>
        <v>0</v>
      </c>
      <c r="V484" s="20">
        <f t="shared" si="3"/>
        <v>0</v>
      </c>
      <c r="W484" s="55">
        <f t="array" ref="W484">IFERROR(INDEX(PRECIOS_TINTORERIA!$B$4:$U$15,MATCH(D484,PRECIOS_TINTORERIA!$A$4:$A$15,0),MATCH(VLOOKUP(A484,PROGRAMAS!$A$4:$G$103,7,FALSE()),PRECIOS_TINTORERIA!$B$3:$U$3,0)),0)</f>
        <v>0</v>
      </c>
      <c r="X484" s="56"/>
      <c r="Y484" s="57"/>
      <c r="Z484" s="58">
        <f t="shared" si="4"/>
        <v>0</v>
      </c>
      <c r="AA484" s="56"/>
      <c r="AB484" s="56"/>
      <c r="AC484" s="56"/>
      <c r="AD484" s="23">
        <f>IFERROR((SUMIFS(COMPRAS_HILO!$H$4:$H$203,COMPRAS_HILO!$B$4:$B$203,A484))*F484/SUMIFS($F$4:$F$503,$A$4:$A$503,A484),0)</f>
        <v>0</v>
      </c>
      <c r="AE484" s="23">
        <f t="shared" si="5"/>
        <v>0</v>
      </c>
      <c r="AF484" s="23">
        <f t="shared" si="6"/>
        <v>0</v>
      </c>
      <c r="AG484" s="25">
        <f t="shared" si="7"/>
        <v>0</v>
      </c>
      <c r="AH484" s="25">
        <f t="shared" si="8"/>
        <v>0</v>
      </c>
      <c r="AI484" s="59"/>
    </row>
    <row r="485" ht="15.75" customHeight="1">
      <c r="A485" s="40"/>
      <c r="B485" s="33"/>
      <c r="C485" s="45" t="str">
        <f>IFERROR(VLOOKUP(B485,COLORES!$A$4:$B$52,2,FALSE()),"")</f>
        <v/>
      </c>
      <c r="D485" s="33"/>
      <c r="E485" s="46"/>
      <c r="F485" s="34"/>
      <c r="G485" s="33"/>
      <c r="H485" s="47"/>
      <c r="I485" s="47"/>
      <c r="J485" s="48">
        <f>IFERROR(VLOOKUP(VLOOKUP(A485,PROGRAMAS!$A$4:$G$103,7,FALSE()),PRECIOS_TEJEDURIA!$A$4:$B$22,2,FALSE()),0)</f>
        <v>0</v>
      </c>
      <c r="K485" s="49"/>
      <c r="L485" s="50"/>
      <c r="M485" s="51">
        <f t="shared" si="1"/>
        <v>0</v>
      </c>
      <c r="N485" s="49"/>
      <c r="O485" s="49"/>
      <c r="P485" s="49"/>
      <c r="Q485" s="52"/>
      <c r="R485" s="53"/>
      <c r="S485" s="53"/>
      <c r="T485" s="54"/>
      <c r="U485" s="19">
        <f t="shared" si="2"/>
        <v>0</v>
      </c>
      <c r="V485" s="20">
        <f t="shared" si="3"/>
        <v>0</v>
      </c>
      <c r="W485" s="55">
        <f t="array" ref="W485">IFERROR(INDEX(PRECIOS_TINTORERIA!$B$4:$U$15,MATCH(D485,PRECIOS_TINTORERIA!$A$4:$A$15,0),MATCH(VLOOKUP(A485,PROGRAMAS!$A$4:$G$103,7,FALSE()),PRECIOS_TINTORERIA!$B$3:$U$3,0)),0)</f>
        <v>0</v>
      </c>
      <c r="X485" s="56"/>
      <c r="Y485" s="57"/>
      <c r="Z485" s="58">
        <f t="shared" si="4"/>
        <v>0</v>
      </c>
      <c r="AA485" s="56"/>
      <c r="AB485" s="56"/>
      <c r="AC485" s="56"/>
      <c r="AD485" s="23">
        <f>IFERROR((SUMIFS(COMPRAS_HILO!$H$4:$H$203,COMPRAS_HILO!$B$4:$B$203,A485))*F485/SUMIFS($F$4:$F$503,$A$4:$A$503,A485),0)</f>
        <v>0</v>
      </c>
      <c r="AE485" s="23">
        <f t="shared" si="5"/>
        <v>0</v>
      </c>
      <c r="AF485" s="23">
        <f t="shared" si="6"/>
        <v>0</v>
      </c>
      <c r="AG485" s="25">
        <f t="shared" si="7"/>
        <v>0</v>
      </c>
      <c r="AH485" s="25">
        <f t="shared" si="8"/>
        <v>0</v>
      </c>
      <c r="AI485" s="59"/>
    </row>
    <row r="486" ht="15.75" customHeight="1">
      <c r="A486" s="40"/>
      <c r="B486" s="33"/>
      <c r="C486" s="45" t="str">
        <f>IFERROR(VLOOKUP(B486,COLORES!$A$4:$B$52,2,FALSE()),"")</f>
        <v/>
      </c>
      <c r="D486" s="33"/>
      <c r="E486" s="46"/>
      <c r="F486" s="34"/>
      <c r="G486" s="33"/>
      <c r="H486" s="47"/>
      <c r="I486" s="47"/>
      <c r="J486" s="48">
        <f>IFERROR(VLOOKUP(VLOOKUP(A486,PROGRAMAS!$A$4:$G$103,7,FALSE()),PRECIOS_TEJEDURIA!$A$4:$B$22,2,FALSE()),0)</f>
        <v>0</v>
      </c>
      <c r="K486" s="49"/>
      <c r="L486" s="50"/>
      <c r="M486" s="51">
        <f t="shared" si="1"/>
        <v>0</v>
      </c>
      <c r="N486" s="49"/>
      <c r="O486" s="49"/>
      <c r="P486" s="49"/>
      <c r="Q486" s="52"/>
      <c r="R486" s="53"/>
      <c r="S486" s="53"/>
      <c r="T486" s="54"/>
      <c r="U486" s="19">
        <f t="shared" si="2"/>
        <v>0</v>
      </c>
      <c r="V486" s="20">
        <f t="shared" si="3"/>
        <v>0</v>
      </c>
      <c r="W486" s="55">
        <f t="array" ref="W486">IFERROR(INDEX(PRECIOS_TINTORERIA!$B$4:$U$15,MATCH(D486,PRECIOS_TINTORERIA!$A$4:$A$15,0),MATCH(VLOOKUP(A486,PROGRAMAS!$A$4:$G$103,7,FALSE()),PRECIOS_TINTORERIA!$B$3:$U$3,0)),0)</f>
        <v>0</v>
      </c>
      <c r="X486" s="56"/>
      <c r="Y486" s="57"/>
      <c r="Z486" s="58">
        <f t="shared" si="4"/>
        <v>0</v>
      </c>
      <c r="AA486" s="56"/>
      <c r="AB486" s="56"/>
      <c r="AC486" s="56"/>
      <c r="AD486" s="23">
        <f>IFERROR((SUMIFS(COMPRAS_HILO!$H$4:$H$203,COMPRAS_HILO!$B$4:$B$203,A486))*F486/SUMIFS($F$4:$F$503,$A$4:$A$503,A486),0)</f>
        <v>0</v>
      </c>
      <c r="AE486" s="23">
        <f t="shared" si="5"/>
        <v>0</v>
      </c>
      <c r="AF486" s="23">
        <f t="shared" si="6"/>
        <v>0</v>
      </c>
      <c r="AG486" s="25">
        <f t="shared" si="7"/>
        <v>0</v>
      </c>
      <c r="AH486" s="25">
        <f t="shared" si="8"/>
        <v>0</v>
      </c>
      <c r="AI486" s="59"/>
    </row>
    <row r="487" ht="15.75" customHeight="1">
      <c r="A487" s="40"/>
      <c r="B487" s="33"/>
      <c r="C487" s="45" t="str">
        <f>IFERROR(VLOOKUP(B487,COLORES!$A$4:$B$52,2,FALSE()),"")</f>
        <v/>
      </c>
      <c r="D487" s="33"/>
      <c r="E487" s="46"/>
      <c r="F487" s="34"/>
      <c r="G487" s="33"/>
      <c r="H487" s="47"/>
      <c r="I487" s="47"/>
      <c r="J487" s="48">
        <f>IFERROR(VLOOKUP(VLOOKUP(A487,PROGRAMAS!$A$4:$G$103,7,FALSE()),PRECIOS_TEJEDURIA!$A$4:$B$22,2,FALSE()),0)</f>
        <v>0</v>
      </c>
      <c r="K487" s="49"/>
      <c r="L487" s="50"/>
      <c r="M487" s="51">
        <f t="shared" si="1"/>
        <v>0</v>
      </c>
      <c r="N487" s="49"/>
      <c r="O487" s="49"/>
      <c r="P487" s="49"/>
      <c r="Q487" s="52"/>
      <c r="R487" s="53"/>
      <c r="S487" s="53"/>
      <c r="T487" s="54"/>
      <c r="U487" s="19">
        <f t="shared" si="2"/>
        <v>0</v>
      </c>
      <c r="V487" s="20">
        <f t="shared" si="3"/>
        <v>0</v>
      </c>
      <c r="W487" s="55">
        <f t="array" ref="W487">IFERROR(INDEX(PRECIOS_TINTORERIA!$B$4:$U$15,MATCH(D487,PRECIOS_TINTORERIA!$A$4:$A$15,0),MATCH(VLOOKUP(A487,PROGRAMAS!$A$4:$G$103,7,FALSE()),PRECIOS_TINTORERIA!$B$3:$U$3,0)),0)</f>
        <v>0</v>
      </c>
      <c r="X487" s="56"/>
      <c r="Y487" s="57"/>
      <c r="Z487" s="58">
        <f t="shared" si="4"/>
        <v>0</v>
      </c>
      <c r="AA487" s="56"/>
      <c r="AB487" s="56"/>
      <c r="AC487" s="56"/>
      <c r="AD487" s="23">
        <f>IFERROR((SUMIFS(COMPRAS_HILO!$H$4:$H$203,COMPRAS_HILO!$B$4:$B$203,A487))*F487/SUMIFS($F$4:$F$503,$A$4:$A$503,A487),0)</f>
        <v>0</v>
      </c>
      <c r="AE487" s="23">
        <f t="shared" si="5"/>
        <v>0</v>
      </c>
      <c r="AF487" s="23">
        <f t="shared" si="6"/>
        <v>0</v>
      </c>
      <c r="AG487" s="25">
        <f t="shared" si="7"/>
        <v>0</v>
      </c>
      <c r="AH487" s="25">
        <f t="shared" si="8"/>
        <v>0</v>
      </c>
      <c r="AI487" s="59"/>
    </row>
    <row r="488" ht="15.75" customHeight="1">
      <c r="A488" s="40"/>
      <c r="B488" s="33"/>
      <c r="C488" s="45" t="str">
        <f>IFERROR(VLOOKUP(B488,COLORES!$A$4:$B$52,2,FALSE()),"")</f>
        <v/>
      </c>
      <c r="D488" s="33"/>
      <c r="E488" s="46"/>
      <c r="F488" s="34"/>
      <c r="G488" s="33"/>
      <c r="H488" s="47"/>
      <c r="I488" s="47"/>
      <c r="J488" s="48">
        <f>IFERROR(VLOOKUP(VLOOKUP(A488,PROGRAMAS!$A$4:$G$103,7,FALSE()),PRECIOS_TEJEDURIA!$A$4:$B$22,2,FALSE()),0)</f>
        <v>0</v>
      </c>
      <c r="K488" s="49"/>
      <c r="L488" s="50"/>
      <c r="M488" s="51">
        <f t="shared" si="1"/>
        <v>0</v>
      </c>
      <c r="N488" s="49"/>
      <c r="O488" s="49"/>
      <c r="P488" s="49"/>
      <c r="Q488" s="52"/>
      <c r="R488" s="53"/>
      <c r="S488" s="53"/>
      <c r="T488" s="54"/>
      <c r="U488" s="19">
        <f t="shared" si="2"/>
        <v>0</v>
      </c>
      <c r="V488" s="20">
        <f t="shared" si="3"/>
        <v>0</v>
      </c>
      <c r="W488" s="55">
        <f t="array" ref="W488">IFERROR(INDEX(PRECIOS_TINTORERIA!$B$4:$U$15,MATCH(D488,PRECIOS_TINTORERIA!$A$4:$A$15,0),MATCH(VLOOKUP(A488,PROGRAMAS!$A$4:$G$103,7,FALSE()),PRECIOS_TINTORERIA!$B$3:$U$3,0)),0)</f>
        <v>0</v>
      </c>
      <c r="X488" s="56"/>
      <c r="Y488" s="57"/>
      <c r="Z488" s="58">
        <f t="shared" si="4"/>
        <v>0</v>
      </c>
      <c r="AA488" s="56"/>
      <c r="AB488" s="56"/>
      <c r="AC488" s="56"/>
      <c r="AD488" s="23">
        <f>IFERROR((SUMIFS(COMPRAS_HILO!$H$4:$H$203,COMPRAS_HILO!$B$4:$B$203,A488))*F488/SUMIFS($F$4:$F$503,$A$4:$A$503,A488),0)</f>
        <v>0</v>
      </c>
      <c r="AE488" s="23">
        <f t="shared" si="5"/>
        <v>0</v>
      </c>
      <c r="AF488" s="23">
        <f t="shared" si="6"/>
        <v>0</v>
      </c>
      <c r="AG488" s="25">
        <f t="shared" si="7"/>
        <v>0</v>
      </c>
      <c r="AH488" s="25">
        <f t="shared" si="8"/>
        <v>0</v>
      </c>
      <c r="AI488" s="59"/>
    </row>
    <row r="489" ht="15.75" customHeight="1">
      <c r="A489" s="40"/>
      <c r="B489" s="33"/>
      <c r="C489" s="45" t="str">
        <f>IFERROR(VLOOKUP(B489,COLORES!$A$4:$B$52,2,FALSE()),"")</f>
        <v/>
      </c>
      <c r="D489" s="33"/>
      <c r="E489" s="46"/>
      <c r="F489" s="34"/>
      <c r="G489" s="33"/>
      <c r="H489" s="47"/>
      <c r="I489" s="47"/>
      <c r="J489" s="48">
        <f>IFERROR(VLOOKUP(VLOOKUP(A489,PROGRAMAS!$A$4:$G$103,7,FALSE()),PRECIOS_TEJEDURIA!$A$4:$B$22,2,FALSE()),0)</f>
        <v>0</v>
      </c>
      <c r="K489" s="49"/>
      <c r="L489" s="50"/>
      <c r="M489" s="51">
        <f t="shared" si="1"/>
        <v>0</v>
      </c>
      <c r="N489" s="49"/>
      <c r="O489" s="49"/>
      <c r="P489" s="49"/>
      <c r="Q489" s="52"/>
      <c r="R489" s="53"/>
      <c r="S489" s="53"/>
      <c r="T489" s="54"/>
      <c r="U489" s="19">
        <f t="shared" si="2"/>
        <v>0</v>
      </c>
      <c r="V489" s="20">
        <f t="shared" si="3"/>
        <v>0</v>
      </c>
      <c r="W489" s="55">
        <f t="array" ref="W489">IFERROR(INDEX(PRECIOS_TINTORERIA!$B$4:$U$15,MATCH(D489,PRECIOS_TINTORERIA!$A$4:$A$15,0),MATCH(VLOOKUP(A489,PROGRAMAS!$A$4:$G$103,7,FALSE()),PRECIOS_TINTORERIA!$B$3:$U$3,0)),0)</f>
        <v>0</v>
      </c>
      <c r="X489" s="56"/>
      <c r="Y489" s="57"/>
      <c r="Z489" s="58">
        <f t="shared" si="4"/>
        <v>0</v>
      </c>
      <c r="AA489" s="56"/>
      <c r="AB489" s="56"/>
      <c r="AC489" s="56"/>
      <c r="AD489" s="23">
        <f>IFERROR((SUMIFS(COMPRAS_HILO!$H$4:$H$203,COMPRAS_HILO!$B$4:$B$203,A489))*F489/SUMIFS($F$4:$F$503,$A$4:$A$503,A489),0)</f>
        <v>0</v>
      </c>
      <c r="AE489" s="23">
        <f t="shared" si="5"/>
        <v>0</v>
      </c>
      <c r="AF489" s="23">
        <f t="shared" si="6"/>
        <v>0</v>
      </c>
      <c r="AG489" s="25">
        <f t="shared" si="7"/>
        <v>0</v>
      </c>
      <c r="AH489" s="25">
        <f t="shared" si="8"/>
        <v>0</v>
      </c>
      <c r="AI489" s="59"/>
    </row>
    <row r="490" ht="15.75" customHeight="1">
      <c r="A490" s="40"/>
      <c r="B490" s="33"/>
      <c r="C490" s="45" t="str">
        <f>IFERROR(VLOOKUP(B490,COLORES!$A$4:$B$52,2,FALSE()),"")</f>
        <v/>
      </c>
      <c r="D490" s="33"/>
      <c r="E490" s="46"/>
      <c r="F490" s="34"/>
      <c r="G490" s="33"/>
      <c r="H490" s="47"/>
      <c r="I490" s="47"/>
      <c r="J490" s="48">
        <f>IFERROR(VLOOKUP(VLOOKUP(A490,PROGRAMAS!$A$4:$G$103,7,FALSE()),PRECIOS_TEJEDURIA!$A$4:$B$22,2,FALSE()),0)</f>
        <v>0</v>
      </c>
      <c r="K490" s="49"/>
      <c r="L490" s="50"/>
      <c r="M490" s="51">
        <f t="shared" si="1"/>
        <v>0</v>
      </c>
      <c r="N490" s="49"/>
      <c r="O490" s="49"/>
      <c r="P490" s="49"/>
      <c r="Q490" s="52"/>
      <c r="R490" s="53"/>
      <c r="S490" s="53"/>
      <c r="T490" s="54"/>
      <c r="U490" s="19">
        <f t="shared" si="2"/>
        <v>0</v>
      </c>
      <c r="V490" s="20">
        <f t="shared" si="3"/>
        <v>0</v>
      </c>
      <c r="W490" s="55">
        <f t="array" ref="W490">IFERROR(INDEX(PRECIOS_TINTORERIA!$B$4:$U$15,MATCH(D490,PRECIOS_TINTORERIA!$A$4:$A$15,0),MATCH(VLOOKUP(A490,PROGRAMAS!$A$4:$G$103,7,FALSE()),PRECIOS_TINTORERIA!$B$3:$U$3,0)),0)</f>
        <v>0</v>
      </c>
      <c r="X490" s="56"/>
      <c r="Y490" s="57"/>
      <c r="Z490" s="58">
        <f t="shared" si="4"/>
        <v>0</v>
      </c>
      <c r="AA490" s="56"/>
      <c r="AB490" s="56"/>
      <c r="AC490" s="56"/>
      <c r="AD490" s="23">
        <f>IFERROR((SUMIFS(COMPRAS_HILO!$H$4:$H$203,COMPRAS_HILO!$B$4:$B$203,A490))*F490/SUMIFS($F$4:$F$503,$A$4:$A$503,A490),0)</f>
        <v>0</v>
      </c>
      <c r="AE490" s="23">
        <f t="shared" si="5"/>
        <v>0</v>
      </c>
      <c r="AF490" s="23">
        <f t="shared" si="6"/>
        <v>0</v>
      </c>
      <c r="AG490" s="25">
        <f t="shared" si="7"/>
        <v>0</v>
      </c>
      <c r="AH490" s="25">
        <f t="shared" si="8"/>
        <v>0</v>
      </c>
      <c r="AI490" s="59"/>
    </row>
    <row r="491" ht="15.75" customHeight="1">
      <c r="A491" s="40"/>
      <c r="B491" s="33"/>
      <c r="C491" s="45" t="str">
        <f>IFERROR(VLOOKUP(B491,COLORES!$A$4:$B$52,2,FALSE()),"")</f>
        <v/>
      </c>
      <c r="D491" s="33"/>
      <c r="E491" s="46"/>
      <c r="F491" s="34"/>
      <c r="G491" s="33"/>
      <c r="H491" s="47"/>
      <c r="I491" s="47"/>
      <c r="J491" s="48">
        <f>IFERROR(VLOOKUP(VLOOKUP(A491,PROGRAMAS!$A$4:$G$103,7,FALSE()),PRECIOS_TEJEDURIA!$A$4:$B$22,2,FALSE()),0)</f>
        <v>0</v>
      </c>
      <c r="K491" s="49"/>
      <c r="L491" s="50"/>
      <c r="M491" s="51">
        <f t="shared" si="1"/>
        <v>0</v>
      </c>
      <c r="N491" s="49"/>
      <c r="O491" s="49"/>
      <c r="P491" s="49"/>
      <c r="Q491" s="52"/>
      <c r="R491" s="53"/>
      <c r="S491" s="53"/>
      <c r="T491" s="54"/>
      <c r="U491" s="19">
        <f t="shared" si="2"/>
        <v>0</v>
      </c>
      <c r="V491" s="20">
        <f t="shared" si="3"/>
        <v>0</v>
      </c>
      <c r="W491" s="55">
        <f t="array" ref="W491">IFERROR(INDEX(PRECIOS_TINTORERIA!$B$4:$U$15,MATCH(D491,PRECIOS_TINTORERIA!$A$4:$A$15,0),MATCH(VLOOKUP(A491,PROGRAMAS!$A$4:$G$103,7,FALSE()),PRECIOS_TINTORERIA!$B$3:$U$3,0)),0)</f>
        <v>0</v>
      </c>
      <c r="X491" s="56"/>
      <c r="Y491" s="57"/>
      <c r="Z491" s="58">
        <f t="shared" si="4"/>
        <v>0</v>
      </c>
      <c r="AA491" s="56"/>
      <c r="AB491" s="56"/>
      <c r="AC491" s="56"/>
      <c r="AD491" s="23">
        <f>IFERROR((SUMIFS(COMPRAS_HILO!$H$4:$H$203,COMPRAS_HILO!$B$4:$B$203,A491))*F491/SUMIFS($F$4:$F$503,$A$4:$A$503,A491),0)</f>
        <v>0</v>
      </c>
      <c r="AE491" s="23">
        <f t="shared" si="5"/>
        <v>0</v>
      </c>
      <c r="AF491" s="23">
        <f t="shared" si="6"/>
        <v>0</v>
      </c>
      <c r="AG491" s="25">
        <f t="shared" si="7"/>
        <v>0</v>
      </c>
      <c r="AH491" s="25">
        <f t="shared" si="8"/>
        <v>0</v>
      </c>
      <c r="AI491" s="59"/>
    </row>
    <row r="492" ht="15.75" customHeight="1">
      <c r="A492" s="40"/>
      <c r="B492" s="33"/>
      <c r="C492" s="45" t="str">
        <f>IFERROR(VLOOKUP(B492,COLORES!$A$4:$B$52,2,FALSE()),"")</f>
        <v/>
      </c>
      <c r="D492" s="33"/>
      <c r="E492" s="46"/>
      <c r="F492" s="34"/>
      <c r="G492" s="33"/>
      <c r="H492" s="47"/>
      <c r="I492" s="47"/>
      <c r="J492" s="48">
        <f>IFERROR(VLOOKUP(VLOOKUP(A492,PROGRAMAS!$A$4:$G$103,7,FALSE()),PRECIOS_TEJEDURIA!$A$4:$B$22,2,FALSE()),0)</f>
        <v>0</v>
      </c>
      <c r="K492" s="49"/>
      <c r="L492" s="50"/>
      <c r="M492" s="51">
        <f t="shared" si="1"/>
        <v>0</v>
      </c>
      <c r="N492" s="49"/>
      <c r="O492" s="49"/>
      <c r="P492" s="49"/>
      <c r="Q492" s="52"/>
      <c r="R492" s="53"/>
      <c r="S492" s="53"/>
      <c r="T492" s="54"/>
      <c r="U492" s="19">
        <f t="shared" si="2"/>
        <v>0</v>
      </c>
      <c r="V492" s="20">
        <f t="shared" si="3"/>
        <v>0</v>
      </c>
      <c r="W492" s="55">
        <f t="array" ref="W492">IFERROR(INDEX(PRECIOS_TINTORERIA!$B$4:$U$15,MATCH(D492,PRECIOS_TINTORERIA!$A$4:$A$15,0),MATCH(VLOOKUP(A492,PROGRAMAS!$A$4:$G$103,7,FALSE()),PRECIOS_TINTORERIA!$B$3:$U$3,0)),0)</f>
        <v>0</v>
      </c>
      <c r="X492" s="56"/>
      <c r="Y492" s="57"/>
      <c r="Z492" s="58">
        <f t="shared" si="4"/>
        <v>0</v>
      </c>
      <c r="AA492" s="56"/>
      <c r="AB492" s="56"/>
      <c r="AC492" s="56"/>
      <c r="AD492" s="23">
        <f>IFERROR((SUMIFS(COMPRAS_HILO!$H$4:$H$203,COMPRAS_HILO!$B$4:$B$203,A492))*F492/SUMIFS($F$4:$F$503,$A$4:$A$503,A492),0)</f>
        <v>0</v>
      </c>
      <c r="AE492" s="23">
        <f t="shared" si="5"/>
        <v>0</v>
      </c>
      <c r="AF492" s="23">
        <f t="shared" si="6"/>
        <v>0</v>
      </c>
      <c r="AG492" s="25">
        <f t="shared" si="7"/>
        <v>0</v>
      </c>
      <c r="AH492" s="25">
        <f t="shared" si="8"/>
        <v>0</v>
      </c>
      <c r="AI492" s="59"/>
    </row>
    <row r="493" ht="15.75" customHeight="1">
      <c r="A493" s="40"/>
      <c r="B493" s="33"/>
      <c r="C493" s="45" t="str">
        <f>IFERROR(VLOOKUP(B493,COLORES!$A$4:$B$52,2,FALSE()),"")</f>
        <v/>
      </c>
      <c r="D493" s="33"/>
      <c r="E493" s="46"/>
      <c r="F493" s="34"/>
      <c r="G493" s="33"/>
      <c r="H493" s="47"/>
      <c r="I493" s="47"/>
      <c r="J493" s="48">
        <f>IFERROR(VLOOKUP(VLOOKUP(A493,PROGRAMAS!$A$4:$G$103,7,FALSE()),PRECIOS_TEJEDURIA!$A$4:$B$22,2,FALSE()),0)</f>
        <v>0</v>
      </c>
      <c r="K493" s="49"/>
      <c r="L493" s="50"/>
      <c r="M493" s="51">
        <f t="shared" si="1"/>
        <v>0</v>
      </c>
      <c r="N493" s="49"/>
      <c r="O493" s="49"/>
      <c r="P493" s="49"/>
      <c r="Q493" s="52"/>
      <c r="R493" s="53"/>
      <c r="S493" s="53"/>
      <c r="T493" s="54"/>
      <c r="U493" s="19">
        <f t="shared" si="2"/>
        <v>0</v>
      </c>
      <c r="V493" s="20">
        <f t="shared" si="3"/>
        <v>0</v>
      </c>
      <c r="W493" s="55">
        <f t="array" ref="W493">IFERROR(INDEX(PRECIOS_TINTORERIA!$B$4:$U$15,MATCH(D493,PRECIOS_TINTORERIA!$A$4:$A$15,0),MATCH(VLOOKUP(A493,PROGRAMAS!$A$4:$G$103,7,FALSE()),PRECIOS_TINTORERIA!$B$3:$U$3,0)),0)</f>
        <v>0</v>
      </c>
      <c r="X493" s="56"/>
      <c r="Y493" s="57"/>
      <c r="Z493" s="58">
        <f t="shared" si="4"/>
        <v>0</v>
      </c>
      <c r="AA493" s="56"/>
      <c r="AB493" s="56"/>
      <c r="AC493" s="56"/>
      <c r="AD493" s="23">
        <f>IFERROR((SUMIFS(COMPRAS_HILO!$H$4:$H$203,COMPRAS_HILO!$B$4:$B$203,A493))*F493/SUMIFS($F$4:$F$503,$A$4:$A$503,A493),0)</f>
        <v>0</v>
      </c>
      <c r="AE493" s="23">
        <f t="shared" si="5"/>
        <v>0</v>
      </c>
      <c r="AF493" s="23">
        <f t="shared" si="6"/>
        <v>0</v>
      </c>
      <c r="AG493" s="25">
        <f t="shared" si="7"/>
        <v>0</v>
      </c>
      <c r="AH493" s="25">
        <f t="shared" si="8"/>
        <v>0</v>
      </c>
      <c r="AI493" s="59"/>
    </row>
    <row r="494" ht="15.75" customHeight="1">
      <c r="A494" s="40"/>
      <c r="B494" s="33"/>
      <c r="C494" s="45" t="str">
        <f>IFERROR(VLOOKUP(B494,COLORES!$A$4:$B$52,2,FALSE()),"")</f>
        <v/>
      </c>
      <c r="D494" s="33"/>
      <c r="E494" s="46"/>
      <c r="F494" s="34"/>
      <c r="G494" s="33"/>
      <c r="H494" s="47"/>
      <c r="I494" s="47"/>
      <c r="J494" s="48">
        <f>IFERROR(VLOOKUP(VLOOKUP(A494,PROGRAMAS!$A$4:$G$103,7,FALSE()),PRECIOS_TEJEDURIA!$A$4:$B$22,2,FALSE()),0)</f>
        <v>0</v>
      </c>
      <c r="K494" s="49"/>
      <c r="L494" s="50"/>
      <c r="M494" s="51">
        <f t="shared" si="1"/>
        <v>0</v>
      </c>
      <c r="N494" s="49"/>
      <c r="O494" s="49"/>
      <c r="P494" s="49"/>
      <c r="Q494" s="52"/>
      <c r="R494" s="53"/>
      <c r="S494" s="53"/>
      <c r="T494" s="54"/>
      <c r="U494" s="19">
        <f t="shared" si="2"/>
        <v>0</v>
      </c>
      <c r="V494" s="20">
        <f t="shared" si="3"/>
        <v>0</v>
      </c>
      <c r="W494" s="55">
        <f t="array" ref="W494">IFERROR(INDEX(PRECIOS_TINTORERIA!$B$4:$U$15,MATCH(D494,PRECIOS_TINTORERIA!$A$4:$A$15,0),MATCH(VLOOKUP(A494,PROGRAMAS!$A$4:$G$103,7,FALSE()),PRECIOS_TINTORERIA!$B$3:$U$3,0)),0)</f>
        <v>0</v>
      </c>
      <c r="X494" s="56"/>
      <c r="Y494" s="57"/>
      <c r="Z494" s="58">
        <f t="shared" si="4"/>
        <v>0</v>
      </c>
      <c r="AA494" s="56"/>
      <c r="AB494" s="56"/>
      <c r="AC494" s="56"/>
      <c r="AD494" s="23">
        <f>IFERROR((SUMIFS(COMPRAS_HILO!$H$4:$H$203,COMPRAS_HILO!$B$4:$B$203,A494))*F494/SUMIFS($F$4:$F$503,$A$4:$A$503,A494),0)</f>
        <v>0</v>
      </c>
      <c r="AE494" s="23">
        <f t="shared" si="5"/>
        <v>0</v>
      </c>
      <c r="AF494" s="23">
        <f t="shared" si="6"/>
        <v>0</v>
      </c>
      <c r="AG494" s="25">
        <f t="shared" si="7"/>
        <v>0</v>
      </c>
      <c r="AH494" s="25">
        <f t="shared" si="8"/>
        <v>0</v>
      </c>
      <c r="AI494" s="59"/>
    </row>
    <row r="495" ht="15.75" customHeight="1">
      <c r="A495" s="40"/>
      <c r="B495" s="33"/>
      <c r="C495" s="45" t="str">
        <f>IFERROR(VLOOKUP(B495,COLORES!$A$4:$B$52,2,FALSE()),"")</f>
        <v/>
      </c>
      <c r="D495" s="33"/>
      <c r="E495" s="46"/>
      <c r="F495" s="34"/>
      <c r="G495" s="33"/>
      <c r="H495" s="47"/>
      <c r="I495" s="47"/>
      <c r="J495" s="48">
        <f>IFERROR(VLOOKUP(VLOOKUP(A495,PROGRAMAS!$A$4:$G$103,7,FALSE()),PRECIOS_TEJEDURIA!$A$4:$B$22,2,FALSE()),0)</f>
        <v>0</v>
      </c>
      <c r="K495" s="49"/>
      <c r="L495" s="50"/>
      <c r="M495" s="51">
        <f t="shared" si="1"/>
        <v>0</v>
      </c>
      <c r="N495" s="49"/>
      <c r="O495" s="49"/>
      <c r="P495" s="49"/>
      <c r="Q495" s="52"/>
      <c r="R495" s="53"/>
      <c r="S495" s="53"/>
      <c r="T495" s="54"/>
      <c r="U495" s="19">
        <f t="shared" si="2"/>
        <v>0</v>
      </c>
      <c r="V495" s="20">
        <f t="shared" si="3"/>
        <v>0</v>
      </c>
      <c r="W495" s="55">
        <f t="array" ref="W495">IFERROR(INDEX(PRECIOS_TINTORERIA!$B$4:$U$15,MATCH(D495,PRECIOS_TINTORERIA!$A$4:$A$15,0),MATCH(VLOOKUP(A495,PROGRAMAS!$A$4:$G$103,7,FALSE()),PRECIOS_TINTORERIA!$B$3:$U$3,0)),0)</f>
        <v>0</v>
      </c>
      <c r="X495" s="56"/>
      <c r="Y495" s="57"/>
      <c r="Z495" s="58">
        <f t="shared" si="4"/>
        <v>0</v>
      </c>
      <c r="AA495" s="56"/>
      <c r="AB495" s="56"/>
      <c r="AC495" s="56"/>
      <c r="AD495" s="23">
        <f>IFERROR((SUMIFS(COMPRAS_HILO!$H$4:$H$203,COMPRAS_HILO!$B$4:$B$203,A495))*F495/SUMIFS($F$4:$F$503,$A$4:$A$503,A495),0)</f>
        <v>0</v>
      </c>
      <c r="AE495" s="23">
        <f t="shared" si="5"/>
        <v>0</v>
      </c>
      <c r="AF495" s="23">
        <f t="shared" si="6"/>
        <v>0</v>
      </c>
      <c r="AG495" s="25">
        <f t="shared" si="7"/>
        <v>0</v>
      </c>
      <c r="AH495" s="25">
        <f t="shared" si="8"/>
        <v>0</v>
      </c>
      <c r="AI495" s="59"/>
    </row>
    <row r="496" ht="15.75" customHeight="1">
      <c r="A496" s="40"/>
      <c r="B496" s="33"/>
      <c r="C496" s="45" t="str">
        <f>IFERROR(VLOOKUP(B496,COLORES!$A$4:$B$52,2,FALSE()),"")</f>
        <v/>
      </c>
      <c r="D496" s="33"/>
      <c r="E496" s="46"/>
      <c r="F496" s="34"/>
      <c r="G496" s="33"/>
      <c r="H496" s="47"/>
      <c r="I496" s="47"/>
      <c r="J496" s="48">
        <f>IFERROR(VLOOKUP(VLOOKUP(A496,PROGRAMAS!$A$4:$G$103,7,FALSE()),PRECIOS_TEJEDURIA!$A$4:$B$22,2,FALSE()),0)</f>
        <v>0</v>
      </c>
      <c r="K496" s="49"/>
      <c r="L496" s="50"/>
      <c r="M496" s="51">
        <f t="shared" si="1"/>
        <v>0</v>
      </c>
      <c r="N496" s="49"/>
      <c r="O496" s="49"/>
      <c r="P496" s="49"/>
      <c r="Q496" s="52"/>
      <c r="R496" s="53"/>
      <c r="S496" s="53"/>
      <c r="T496" s="54"/>
      <c r="U496" s="19">
        <f t="shared" si="2"/>
        <v>0</v>
      </c>
      <c r="V496" s="20">
        <f t="shared" si="3"/>
        <v>0</v>
      </c>
      <c r="W496" s="55">
        <f t="array" ref="W496">IFERROR(INDEX(PRECIOS_TINTORERIA!$B$4:$U$15,MATCH(D496,PRECIOS_TINTORERIA!$A$4:$A$15,0),MATCH(VLOOKUP(A496,PROGRAMAS!$A$4:$G$103,7,FALSE()),PRECIOS_TINTORERIA!$B$3:$U$3,0)),0)</f>
        <v>0</v>
      </c>
      <c r="X496" s="56"/>
      <c r="Y496" s="57"/>
      <c r="Z496" s="58">
        <f t="shared" si="4"/>
        <v>0</v>
      </c>
      <c r="AA496" s="56"/>
      <c r="AB496" s="56"/>
      <c r="AC496" s="56"/>
      <c r="AD496" s="23">
        <f>IFERROR((SUMIFS(COMPRAS_HILO!$H$4:$H$203,COMPRAS_HILO!$B$4:$B$203,A496))*F496/SUMIFS($F$4:$F$503,$A$4:$A$503,A496),0)</f>
        <v>0</v>
      </c>
      <c r="AE496" s="23">
        <f t="shared" si="5"/>
        <v>0</v>
      </c>
      <c r="AF496" s="23">
        <f t="shared" si="6"/>
        <v>0</v>
      </c>
      <c r="AG496" s="25">
        <f t="shared" si="7"/>
        <v>0</v>
      </c>
      <c r="AH496" s="25">
        <f t="shared" si="8"/>
        <v>0</v>
      </c>
      <c r="AI496" s="59"/>
    </row>
    <row r="497" ht="15.75" customHeight="1">
      <c r="A497" s="40"/>
      <c r="B497" s="33"/>
      <c r="C497" s="45" t="str">
        <f>IFERROR(VLOOKUP(B497,COLORES!$A$4:$B$52,2,FALSE()),"")</f>
        <v/>
      </c>
      <c r="D497" s="33"/>
      <c r="E497" s="46"/>
      <c r="F497" s="34"/>
      <c r="G497" s="33"/>
      <c r="H497" s="47"/>
      <c r="I497" s="47"/>
      <c r="J497" s="48">
        <f>IFERROR(VLOOKUP(VLOOKUP(A497,PROGRAMAS!$A$4:$G$103,7,FALSE()),PRECIOS_TEJEDURIA!$A$4:$B$22,2,FALSE()),0)</f>
        <v>0</v>
      </c>
      <c r="K497" s="49"/>
      <c r="L497" s="50"/>
      <c r="M497" s="51">
        <f t="shared" si="1"/>
        <v>0</v>
      </c>
      <c r="N497" s="49"/>
      <c r="O497" s="49"/>
      <c r="P497" s="49"/>
      <c r="Q497" s="52"/>
      <c r="R497" s="53"/>
      <c r="S497" s="53"/>
      <c r="T497" s="54"/>
      <c r="U497" s="19">
        <f t="shared" si="2"/>
        <v>0</v>
      </c>
      <c r="V497" s="20">
        <f t="shared" si="3"/>
        <v>0</v>
      </c>
      <c r="W497" s="55">
        <f t="array" ref="W497">IFERROR(INDEX(PRECIOS_TINTORERIA!$B$4:$U$15,MATCH(D497,PRECIOS_TINTORERIA!$A$4:$A$15,0),MATCH(VLOOKUP(A497,PROGRAMAS!$A$4:$G$103,7,FALSE()),PRECIOS_TINTORERIA!$B$3:$U$3,0)),0)</f>
        <v>0</v>
      </c>
      <c r="X497" s="56"/>
      <c r="Y497" s="57"/>
      <c r="Z497" s="58">
        <f t="shared" si="4"/>
        <v>0</v>
      </c>
      <c r="AA497" s="56"/>
      <c r="AB497" s="56"/>
      <c r="AC497" s="56"/>
      <c r="AD497" s="23">
        <f>IFERROR((SUMIFS(COMPRAS_HILO!$H$4:$H$203,COMPRAS_HILO!$B$4:$B$203,A497))*F497/SUMIFS($F$4:$F$503,$A$4:$A$503,A497),0)</f>
        <v>0</v>
      </c>
      <c r="AE497" s="23">
        <f t="shared" si="5"/>
        <v>0</v>
      </c>
      <c r="AF497" s="23">
        <f t="shared" si="6"/>
        <v>0</v>
      </c>
      <c r="AG497" s="25">
        <f t="shared" si="7"/>
        <v>0</v>
      </c>
      <c r="AH497" s="25">
        <f t="shared" si="8"/>
        <v>0</v>
      </c>
      <c r="AI497" s="59"/>
    </row>
    <row r="498" ht="15.75" customHeight="1">
      <c r="A498" s="40"/>
      <c r="B498" s="33"/>
      <c r="C498" s="45" t="str">
        <f>IFERROR(VLOOKUP(B498,COLORES!$A$4:$B$52,2,FALSE()),"")</f>
        <v/>
      </c>
      <c r="D498" s="33"/>
      <c r="E498" s="46"/>
      <c r="F498" s="34"/>
      <c r="G498" s="33"/>
      <c r="H498" s="47"/>
      <c r="I498" s="47"/>
      <c r="J498" s="48">
        <f>IFERROR(VLOOKUP(VLOOKUP(A498,PROGRAMAS!$A$4:$G$103,7,FALSE()),PRECIOS_TEJEDURIA!$A$4:$B$22,2,FALSE()),0)</f>
        <v>0</v>
      </c>
      <c r="K498" s="49"/>
      <c r="L498" s="50"/>
      <c r="M498" s="51">
        <f t="shared" si="1"/>
        <v>0</v>
      </c>
      <c r="N498" s="49"/>
      <c r="O498" s="49"/>
      <c r="P498" s="49"/>
      <c r="Q498" s="52"/>
      <c r="R498" s="53"/>
      <c r="S498" s="53"/>
      <c r="T498" s="54"/>
      <c r="U498" s="19">
        <f t="shared" si="2"/>
        <v>0</v>
      </c>
      <c r="V498" s="20">
        <f t="shared" si="3"/>
        <v>0</v>
      </c>
      <c r="W498" s="55">
        <f t="array" ref="W498">IFERROR(INDEX(PRECIOS_TINTORERIA!$B$4:$U$15,MATCH(D498,PRECIOS_TINTORERIA!$A$4:$A$15,0),MATCH(VLOOKUP(A498,PROGRAMAS!$A$4:$G$103,7,FALSE()),PRECIOS_TINTORERIA!$B$3:$U$3,0)),0)</f>
        <v>0</v>
      </c>
      <c r="X498" s="56"/>
      <c r="Y498" s="57"/>
      <c r="Z498" s="58">
        <f t="shared" si="4"/>
        <v>0</v>
      </c>
      <c r="AA498" s="56"/>
      <c r="AB498" s="56"/>
      <c r="AC498" s="56"/>
      <c r="AD498" s="23">
        <f>IFERROR((SUMIFS(COMPRAS_HILO!$H$4:$H$203,COMPRAS_HILO!$B$4:$B$203,A498))*F498/SUMIFS($F$4:$F$503,$A$4:$A$503,A498),0)</f>
        <v>0</v>
      </c>
      <c r="AE498" s="23">
        <f t="shared" si="5"/>
        <v>0</v>
      </c>
      <c r="AF498" s="23">
        <f t="shared" si="6"/>
        <v>0</v>
      </c>
      <c r="AG498" s="25">
        <f t="shared" si="7"/>
        <v>0</v>
      </c>
      <c r="AH498" s="25">
        <f t="shared" si="8"/>
        <v>0</v>
      </c>
      <c r="AI498" s="59"/>
    </row>
    <row r="499" ht="15.75" customHeight="1">
      <c r="A499" s="40"/>
      <c r="B499" s="33"/>
      <c r="C499" s="45" t="str">
        <f>IFERROR(VLOOKUP(B499,COLORES!$A$4:$B$52,2,FALSE()),"")</f>
        <v/>
      </c>
      <c r="D499" s="33"/>
      <c r="E499" s="46"/>
      <c r="F499" s="34"/>
      <c r="G499" s="33"/>
      <c r="H499" s="47"/>
      <c r="I499" s="47"/>
      <c r="J499" s="48">
        <f>IFERROR(VLOOKUP(VLOOKUP(A499,PROGRAMAS!$A$4:$G$103,7,FALSE()),PRECIOS_TEJEDURIA!$A$4:$B$22,2,FALSE()),0)</f>
        <v>0</v>
      </c>
      <c r="K499" s="49"/>
      <c r="L499" s="50"/>
      <c r="M499" s="51">
        <f t="shared" si="1"/>
        <v>0</v>
      </c>
      <c r="N499" s="49"/>
      <c r="O499" s="49"/>
      <c r="P499" s="49"/>
      <c r="Q499" s="52"/>
      <c r="R499" s="53"/>
      <c r="S499" s="53"/>
      <c r="T499" s="54"/>
      <c r="U499" s="19">
        <f t="shared" si="2"/>
        <v>0</v>
      </c>
      <c r="V499" s="20">
        <f t="shared" si="3"/>
        <v>0</v>
      </c>
      <c r="W499" s="55">
        <f t="array" ref="W499">IFERROR(INDEX(PRECIOS_TINTORERIA!$B$4:$U$15,MATCH(D499,PRECIOS_TINTORERIA!$A$4:$A$15,0),MATCH(VLOOKUP(A499,PROGRAMAS!$A$4:$G$103,7,FALSE()),PRECIOS_TINTORERIA!$B$3:$U$3,0)),0)</f>
        <v>0</v>
      </c>
      <c r="X499" s="56"/>
      <c r="Y499" s="57"/>
      <c r="Z499" s="58">
        <f t="shared" si="4"/>
        <v>0</v>
      </c>
      <c r="AA499" s="56"/>
      <c r="AB499" s="56"/>
      <c r="AC499" s="56"/>
      <c r="AD499" s="23">
        <f>IFERROR((SUMIFS(COMPRAS_HILO!$H$4:$H$203,COMPRAS_HILO!$B$4:$B$203,A499))*F499/SUMIFS($F$4:$F$503,$A$4:$A$503,A499),0)</f>
        <v>0</v>
      </c>
      <c r="AE499" s="23">
        <f t="shared" si="5"/>
        <v>0</v>
      </c>
      <c r="AF499" s="23">
        <f t="shared" si="6"/>
        <v>0</v>
      </c>
      <c r="AG499" s="25">
        <f t="shared" si="7"/>
        <v>0</v>
      </c>
      <c r="AH499" s="25">
        <f t="shared" si="8"/>
        <v>0</v>
      </c>
      <c r="AI499" s="59"/>
    </row>
    <row r="500" ht="15.75" customHeight="1">
      <c r="A500" s="40"/>
      <c r="B500" s="33"/>
      <c r="C500" s="45" t="str">
        <f>IFERROR(VLOOKUP(B500,COLORES!$A$4:$B$52,2,FALSE()),"")</f>
        <v/>
      </c>
      <c r="D500" s="33"/>
      <c r="E500" s="46"/>
      <c r="F500" s="34"/>
      <c r="G500" s="33"/>
      <c r="H500" s="47"/>
      <c r="I500" s="47"/>
      <c r="J500" s="48">
        <f>IFERROR(VLOOKUP(VLOOKUP(A500,PROGRAMAS!$A$4:$G$103,7,FALSE()),PRECIOS_TEJEDURIA!$A$4:$B$22,2,FALSE()),0)</f>
        <v>0</v>
      </c>
      <c r="K500" s="49"/>
      <c r="L500" s="50"/>
      <c r="M500" s="51">
        <f t="shared" si="1"/>
        <v>0</v>
      </c>
      <c r="N500" s="49"/>
      <c r="O500" s="49"/>
      <c r="P500" s="49"/>
      <c r="Q500" s="52"/>
      <c r="R500" s="53"/>
      <c r="S500" s="53"/>
      <c r="T500" s="54"/>
      <c r="U500" s="19">
        <f t="shared" si="2"/>
        <v>0</v>
      </c>
      <c r="V500" s="20">
        <f t="shared" si="3"/>
        <v>0</v>
      </c>
      <c r="W500" s="55">
        <f t="array" ref="W500">IFERROR(INDEX(PRECIOS_TINTORERIA!$B$4:$U$15,MATCH(D500,PRECIOS_TINTORERIA!$A$4:$A$15,0),MATCH(VLOOKUP(A500,PROGRAMAS!$A$4:$G$103,7,FALSE()),PRECIOS_TINTORERIA!$B$3:$U$3,0)),0)</f>
        <v>0</v>
      </c>
      <c r="X500" s="56"/>
      <c r="Y500" s="57"/>
      <c r="Z500" s="58">
        <f t="shared" si="4"/>
        <v>0</v>
      </c>
      <c r="AA500" s="56"/>
      <c r="AB500" s="56"/>
      <c r="AC500" s="56"/>
      <c r="AD500" s="23">
        <f>IFERROR((SUMIFS(COMPRAS_HILO!$H$4:$H$203,COMPRAS_HILO!$B$4:$B$203,A500))*F500/SUMIFS($F$4:$F$503,$A$4:$A$503,A500),0)</f>
        <v>0</v>
      </c>
      <c r="AE500" s="23">
        <f t="shared" si="5"/>
        <v>0</v>
      </c>
      <c r="AF500" s="23">
        <f t="shared" si="6"/>
        <v>0</v>
      </c>
      <c r="AG500" s="25">
        <f t="shared" si="7"/>
        <v>0</v>
      </c>
      <c r="AH500" s="25">
        <f t="shared" si="8"/>
        <v>0</v>
      </c>
      <c r="AI500" s="59"/>
    </row>
    <row r="501" ht="15.75" customHeight="1">
      <c r="A501" s="40"/>
      <c r="B501" s="33"/>
      <c r="C501" s="45" t="str">
        <f>IFERROR(VLOOKUP(B501,COLORES!$A$4:$B$52,2,FALSE()),"")</f>
        <v/>
      </c>
      <c r="D501" s="33"/>
      <c r="E501" s="46"/>
      <c r="F501" s="34"/>
      <c r="G501" s="33"/>
      <c r="H501" s="47"/>
      <c r="I501" s="47"/>
      <c r="J501" s="48">
        <f>IFERROR(VLOOKUP(VLOOKUP(A501,PROGRAMAS!$A$4:$G$103,7,FALSE()),PRECIOS_TEJEDURIA!$A$4:$B$22,2,FALSE()),0)</f>
        <v>0</v>
      </c>
      <c r="K501" s="49"/>
      <c r="L501" s="50"/>
      <c r="M501" s="51">
        <f t="shared" si="1"/>
        <v>0</v>
      </c>
      <c r="N501" s="49"/>
      <c r="O501" s="49"/>
      <c r="P501" s="49"/>
      <c r="Q501" s="52"/>
      <c r="R501" s="53"/>
      <c r="S501" s="53"/>
      <c r="T501" s="54"/>
      <c r="U501" s="19">
        <f t="shared" si="2"/>
        <v>0</v>
      </c>
      <c r="V501" s="20">
        <f t="shared" si="3"/>
        <v>0</v>
      </c>
      <c r="W501" s="55">
        <f t="array" ref="W501">IFERROR(INDEX(PRECIOS_TINTORERIA!$B$4:$U$15,MATCH(D501,PRECIOS_TINTORERIA!$A$4:$A$15,0),MATCH(VLOOKUP(A501,PROGRAMAS!$A$4:$G$103,7,FALSE()),PRECIOS_TINTORERIA!$B$3:$U$3,0)),0)</f>
        <v>0</v>
      </c>
      <c r="X501" s="56"/>
      <c r="Y501" s="57"/>
      <c r="Z501" s="58">
        <f t="shared" si="4"/>
        <v>0</v>
      </c>
      <c r="AA501" s="56"/>
      <c r="AB501" s="56"/>
      <c r="AC501" s="56"/>
      <c r="AD501" s="23">
        <f>IFERROR((SUMIFS(COMPRAS_HILO!$H$4:$H$203,COMPRAS_HILO!$B$4:$B$203,A501))*F501/SUMIFS($F$4:$F$503,$A$4:$A$503,A501),0)</f>
        <v>0</v>
      </c>
      <c r="AE501" s="23">
        <f t="shared" si="5"/>
        <v>0</v>
      </c>
      <c r="AF501" s="23">
        <f t="shared" si="6"/>
        <v>0</v>
      </c>
      <c r="AG501" s="25">
        <f t="shared" si="7"/>
        <v>0</v>
      </c>
      <c r="AH501" s="25">
        <f t="shared" si="8"/>
        <v>0</v>
      </c>
      <c r="AI501" s="59"/>
    </row>
    <row r="502" ht="15.75" customHeight="1">
      <c r="A502" s="40"/>
      <c r="B502" s="33"/>
      <c r="C502" s="45" t="str">
        <f>IFERROR(VLOOKUP(B502,COLORES!$A$4:$B$52,2,FALSE()),"")</f>
        <v/>
      </c>
      <c r="D502" s="33"/>
      <c r="E502" s="46"/>
      <c r="F502" s="34"/>
      <c r="G502" s="33"/>
      <c r="H502" s="47"/>
      <c r="I502" s="47"/>
      <c r="J502" s="48">
        <f>IFERROR(VLOOKUP(VLOOKUP(A502,PROGRAMAS!$A$4:$G$103,7,FALSE()),PRECIOS_TEJEDURIA!$A$4:$B$22,2,FALSE()),0)</f>
        <v>0</v>
      </c>
      <c r="K502" s="49"/>
      <c r="L502" s="50"/>
      <c r="M502" s="51">
        <f t="shared" si="1"/>
        <v>0</v>
      </c>
      <c r="N502" s="49"/>
      <c r="O502" s="49"/>
      <c r="P502" s="49"/>
      <c r="Q502" s="52"/>
      <c r="R502" s="53"/>
      <c r="S502" s="53"/>
      <c r="T502" s="54"/>
      <c r="U502" s="19">
        <f t="shared" si="2"/>
        <v>0</v>
      </c>
      <c r="V502" s="20">
        <f t="shared" si="3"/>
        <v>0</v>
      </c>
      <c r="W502" s="55">
        <f t="array" ref="W502">IFERROR(INDEX(PRECIOS_TINTORERIA!$B$4:$U$15,MATCH(D502,PRECIOS_TINTORERIA!$A$4:$A$15,0),MATCH(VLOOKUP(A502,PROGRAMAS!$A$4:$G$103,7,FALSE()),PRECIOS_TINTORERIA!$B$3:$U$3,0)),0)</f>
        <v>0</v>
      </c>
      <c r="X502" s="56"/>
      <c r="Y502" s="57"/>
      <c r="Z502" s="58">
        <f t="shared" si="4"/>
        <v>0</v>
      </c>
      <c r="AA502" s="56"/>
      <c r="AB502" s="56"/>
      <c r="AC502" s="56"/>
      <c r="AD502" s="23">
        <f>IFERROR((SUMIFS(COMPRAS_HILO!$H$4:$H$203,COMPRAS_HILO!$B$4:$B$203,A502))*F502/SUMIFS($F$4:$F$503,$A$4:$A$503,A502),0)</f>
        <v>0</v>
      </c>
      <c r="AE502" s="23">
        <f t="shared" si="5"/>
        <v>0</v>
      </c>
      <c r="AF502" s="23">
        <f t="shared" si="6"/>
        <v>0</v>
      </c>
      <c r="AG502" s="25">
        <f t="shared" si="7"/>
        <v>0</v>
      </c>
      <c r="AH502" s="25">
        <f t="shared" si="8"/>
        <v>0</v>
      </c>
      <c r="AI502" s="59"/>
    </row>
    <row r="503" ht="15.75" customHeight="1">
      <c r="A503" s="40"/>
      <c r="B503" s="33"/>
      <c r="C503" s="45" t="str">
        <f>IFERROR(VLOOKUP(B503,COLORES!$A$4:$B$52,2,FALSE()),"")</f>
        <v/>
      </c>
      <c r="D503" s="33"/>
      <c r="E503" s="46"/>
      <c r="F503" s="34"/>
      <c r="G503" s="33"/>
      <c r="H503" s="47"/>
      <c r="I503" s="47"/>
      <c r="J503" s="48">
        <f>IFERROR(VLOOKUP(VLOOKUP(A503,PROGRAMAS!$A$4:$G$103,7,FALSE()),PRECIOS_TEJEDURIA!$A$4:$B$22,2,FALSE()),0)</f>
        <v>0</v>
      </c>
      <c r="K503" s="49"/>
      <c r="L503" s="50"/>
      <c r="M503" s="51">
        <f t="shared" si="1"/>
        <v>0</v>
      </c>
      <c r="N503" s="49"/>
      <c r="O503" s="49"/>
      <c r="P503" s="49"/>
      <c r="Q503" s="52"/>
      <c r="R503" s="53"/>
      <c r="S503" s="53"/>
      <c r="T503" s="54"/>
      <c r="U503" s="19">
        <f t="shared" si="2"/>
        <v>0</v>
      </c>
      <c r="V503" s="20">
        <f t="shared" si="3"/>
        <v>0</v>
      </c>
      <c r="W503" s="55">
        <f t="array" ref="W503">IFERROR(INDEX(PRECIOS_TINTORERIA!$B$4:$U$15,MATCH(D503,PRECIOS_TINTORERIA!$A$4:$A$15,0),MATCH(VLOOKUP(A503,PROGRAMAS!$A$4:$G$103,7,FALSE()),PRECIOS_TINTORERIA!$B$3:$U$3,0)),0)</f>
        <v>0</v>
      </c>
      <c r="X503" s="56"/>
      <c r="Y503" s="57"/>
      <c r="Z503" s="58">
        <f t="shared" si="4"/>
        <v>0</v>
      </c>
      <c r="AA503" s="56"/>
      <c r="AB503" s="56"/>
      <c r="AC503" s="56"/>
      <c r="AD503" s="23">
        <f>IFERROR((SUMIFS(COMPRAS_HILO!$H$4:$H$203,COMPRAS_HILO!$B$4:$B$203,A503))*F503/SUMIFS($F$4:$F$503,$A$4:$A$503,A503),0)</f>
        <v>0</v>
      </c>
      <c r="AE503" s="23">
        <f t="shared" si="5"/>
        <v>0</v>
      </c>
      <c r="AF503" s="23">
        <f t="shared" si="6"/>
        <v>0</v>
      </c>
      <c r="AG503" s="25">
        <f t="shared" si="7"/>
        <v>0</v>
      </c>
      <c r="AH503" s="25">
        <f t="shared" si="8"/>
        <v>0</v>
      </c>
      <c r="AI503" s="59"/>
    </row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AI$503"/>
  <mergeCells count="2">
    <mergeCell ref="A1:AI1"/>
    <mergeCell ref="A2:AI2"/>
  </mergeCells>
  <conditionalFormatting sqref="B4:B503">
    <cfRule type="expression" dxfId="6" priority="1">
      <formula>AND($A4&lt;&gt;"",$B4&lt;&gt;"",COUNTIFS($A$4:$A$503,$A4,$B$4:$B$503,$B4)&gt;1)</formula>
    </cfRule>
  </conditionalFormatting>
  <conditionalFormatting sqref="G4:G503">
    <cfRule type="expression" dxfId="6" priority="2">
      <formula>G4="URGENTE"</formula>
    </cfRule>
  </conditionalFormatting>
  <conditionalFormatting sqref="G4:G503">
    <cfRule type="expression" dxfId="7" priority="3">
      <formula>G4="ALTA"</formula>
    </cfRule>
  </conditionalFormatting>
  <conditionalFormatting sqref="G4:G503">
    <cfRule type="expression" dxfId="1" priority="4">
      <formula>G4="MEDIA"</formula>
    </cfRule>
  </conditionalFormatting>
  <conditionalFormatting sqref="G4:G503">
    <cfRule type="expression" dxfId="0" priority="5">
      <formula>G4="BAJA"</formula>
    </cfRule>
  </conditionalFormatting>
  <conditionalFormatting sqref="G4:G503">
    <cfRule type="expression" dxfId="5" priority="6">
      <formula>G4="OPCIONAL"</formula>
    </cfRule>
  </conditionalFormatting>
  <conditionalFormatting sqref="L4:L503">
    <cfRule type="expression" dxfId="6" priority="7">
      <formula>AND($K4="USD",$L4="")</formula>
    </cfRule>
  </conditionalFormatting>
  <conditionalFormatting sqref="P4:P503">
    <cfRule type="expression" dxfId="4" priority="8">
      <formula>P4="PAGADO"</formula>
    </cfRule>
  </conditionalFormatting>
  <conditionalFormatting sqref="P4:P503">
    <cfRule type="expression" dxfId="6" priority="9">
      <formula>P4="PENDIENTE"</formula>
    </cfRule>
  </conditionalFormatting>
  <conditionalFormatting sqref="P4:P503">
    <cfRule type="expression" dxfId="1" priority="10">
      <formula>P4="PARCIAL"</formula>
    </cfRule>
  </conditionalFormatting>
  <conditionalFormatting sqref="P4:P503">
    <cfRule type="expression" dxfId="5" priority="11">
      <formula>P4="ANULADO"</formula>
    </cfRule>
  </conditionalFormatting>
  <conditionalFormatting sqref="R4:R503">
    <cfRule type="expression" dxfId="6" priority="12">
      <formula>AND($F4&lt;&gt;"",$R4&gt;$F4)</formula>
    </cfRule>
  </conditionalFormatting>
  <conditionalFormatting sqref="Y4:Y503">
    <cfRule type="expression" dxfId="6" priority="13">
      <formula>AND($X4="USD",$Y4="")</formula>
    </cfRule>
  </conditionalFormatting>
  <conditionalFormatting sqref="AC4:AC503">
    <cfRule type="expression" dxfId="4" priority="14">
      <formula>AC4="PAGADO"</formula>
    </cfRule>
  </conditionalFormatting>
  <conditionalFormatting sqref="AC4:AC503">
    <cfRule type="expression" dxfId="6" priority="15">
      <formula>AC4="PENDIENTE"</formula>
    </cfRule>
  </conditionalFormatting>
  <conditionalFormatting sqref="AC4:AC503">
    <cfRule type="expression" dxfId="1" priority="16">
      <formula>AC4="PARCIAL"</formula>
    </cfRule>
  </conditionalFormatting>
  <conditionalFormatting sqref="AC4:AC503">
    <cfRule type="expression" dxfId="5" priority="17">
      <formula>AC4="ANULADO"</formula>
    </cfRule>
  </conditionalFormatting>
  <dataValidations>
    <dataValidation type="list" allowBlank="1" sqref="G4:G503">
      <formula1>"URGENTE,ALTA,MEDIA,BAJA,OPCIONAL"</formula1>
    </dataValidation>
    <dataValidation type="list" allowBlank="1" sqref="K4:K503 X4:X503">
      <formula1>"PEN,USD"</formula1>
    </dataValidation>
    <dataValidation type="list" allowBlank="1" sqref="A4:A503">
      <formula1>LISTA_PROGRAMAS</formula1>
    </dataValidation>
    <dataValidation type="list" allowBlank="1" sqref="B4:B503">
      <formula1>LISTA_COLORES</formula1>
    </dataValidation>
    <dataValidation type="list" allowBlank="1" sqref="D4:D503">
      <formula1>LISTA_SERVICIOS_TINTOR</formula1>
    </dataValidation>
    <dataValidation type="list" allowBlank="1" sqref="P4:P503 AC4:AC503">
      <formula1>"PAGADO,PENDIENTE,PARCIAL,ANULADO"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24.0"/>
    <col customWidth="1" min="2" max="2" width="14.71"/>
    <col customWidth="1" min="3" max="3" width="13.0"/>
    <col customWidth="1" min="4" max="4" width="11.29"/>
    <col customWidth="1" min="5" max="8" width="13.0"/>
    <col customWidth="1" min="9" max="9" width="12.43"/>
    <col customWidth="1" min="10" max="10" width="17.0"/>
    <col customWidth="1" min="11" max="12" width="13.0"/>
    <col customWidth="1" min="13" max="13" width="18.86"/>
    <col customWidth="1" min="14" max="21" width="13.0"/>
    <col customWidth="1" min="22" max="26" width="8.71"/>
  </cols>
  <sheetData>
    <row r="1" ht="27.75" customHeight="1">
      <c r="A1" s="62" t="s">
        <v>142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>
      <c r="A2" s="4" t="s">
        <v>143</v>
      </c>
    </row>
    <row r="3" ht="31.5" customHeight="1">
      <c r="A3" s="63" t="s">
        <v>85</v>
      </c>
      <c r="B3" s="64" t="s">
        <v>144</v>
      </c>
      <c r="C3" s="63" t="s">
        <v>38</v>
      </c>
      <c r="D3" s="63" t="s">
        <v>145</v>
      </c>
      <c r="E3" s="63" t="s">
        <v>146</v>
      </c>
      <c r="F3" s="63" t="s">
        <v>58</v>
      </c>
      <c r="G3" s="63" t="s">
        <v>147</v>
      </c>
      <c r="H3" s="63" t="s">
        <v>148</v>
      </c>
      <c r="I3" s="63" t="s">
        <v>149</v>
      </c>
      <c r="J3" s="63" t="s">
        <v>150</v>
      </c>
      <c r="K3" s="63" t="s">
        <v>151</v>
      </c>
      <c r="L3" s="63" t="s">
        <v>152</v>
      </c>
      <c r="M3" s="63" t="s">
        <v>153</v>
      </c>
      <c r="N3" s="64" t="s">
        <v>154</v>
      </c>
      <c r="O3" s="63"/>
      <c r="P3" s="63"/>
      <c r="Q3" s="63"/>
      <c r="R3" s="63"/>
      <c r="S3" s="63"/>
      <c r="T3" s="63"/>
      <c r="U3" s="63"/>
    </row>
    <row r="4">
      <c r="A4" s="65" t="s">
        <v>114</v>
      </c>
      <c r="B4" s="66">
        <v>4.0</v>
      </c>
      <c r="C4" s="67">
        <v>2.7</v>
      </c>
      <c r="D4" s="67">
        <v>3.0</v>
      </c>
      <c r="E4" s="67">
        <v>3.5</v>
      </c>
      <c r="F4" s="67">
        <v>3.0</v>
      </c>
      <c r="G4" s="67">
        <v>3.2</v>
      </c>
      <c r="H4" s="67">
        <v>4.0</v>
      </c>
      <c r="I4" s="67">
        <v>3.0</v>
      </c>
      <c r="J4" s="67">
        <v>3.05</v>
      </c>
      <c r="K4" s="67">
        <v>3.5</v>
      </c>
      <c r="L4" s="67">
        <v>3.3</v>
      </c>
      <c r="M4" s="67">
        <v>3.8</v>
      </c>
      <c r="N4" s="66">
        <v>3.0</v>
      </c>
      <c r="O4" s="67"/>
      <c r="P4" s="67"/>
      <c r="Q4" s="67"/>
      <c r="R4" s="67"/>
      <c r="S4" s="67"/>
      <c r="T4" s="67"/>
      <c r="U4" s="67"/>
    </row>
    <row r="5">
      <c r="A5" s="65" t="s">
        <v>124</v>
      </c>
      <c r="B5" s="67">
        <v>1.9</v>
      </c>
      <c r="C5" s="67">
        <v>1.95</v>
      </c>
      <c r="D5" s="67">
        <v>1.9</v>
      </c>
      <c r="E5" s="67">
        <v>2.3</v>
      </c>
      <c r="F5" s="67">
        <v>1.9</v>
      </c>
      <c r="G5" s="67">
        <v>2.1</v>
      </c>
      <c r="H5" s="67">
        <v>2.5</v>
      </c>
      <c r="I5" s="67">
        <v>1.9</v>
      </c>
      <c r="J5" s="67">
        <v>2.3</v>
      </c>
      <c r="K5" s="67">
        <v>2.3</v>
      </c>
      <c r="L5" s="67">
        <v>2.1</v>
      </c>
      <c r="M5" s="67">
        <v>2.5</v>
      </c>
      <c r="N5" s="66">
        <v>3.0</v>
      </c>
      <c r="O5" s="67"/>
      <c r="P5" s="67"/>
      <c r="Q5" s="67"/>
      <c r="R5" s="67"/>
      <c r="S5" s="67"/>
      <c r="T5" s="67"/>
      <c r="U5" s="67"/>
    </row>
    <row r="6">
      <c r="A6" s="65" t="s">
        <v>119</v>
      </c>
      <c r="B6" s="67">
        <v>1.2</v>
      </c>
      <c r="C6" s="67">
        <v>1.1</v>
      </c>
      <c r="D6" s="67">
        <v>1.2</v>
      </c>
      <c r="E6" s="67">
        <v>1.5</v>
      </c>
      <c r="F6" s="67">
        <v>1.2</v>
      </c>
      <c r="G6" s="67">
        <v>1.3</v>
      </c>
      <c r="H6" s="67">
        <v>1.8</v>
      </c>
      <c r="I6" s="67">
        <v>1.2</v>
      </c>
      <c r="J6" s="67">
        <v>1.5</v>
      </c>
      <c r="K6" s="67">
        <v>1.5</v>
      </c>
      <c r="L6" s="67">
        <v>1.3</v>
      </c>
      <c r="M6" s="67">
        <v>1.8</v>
      </c>
      <c r="N6" s="66">
        <v>3.0</v>
      </c>
      <c r="O6" s="67"/>
      <c r="P6" s="67"/>
      <c r="Q6" s="67"/>
      <c r="R6" s="67"/>
      <c r="S6" s="67"/>
      <c r="T6" s="67"/>
      <c r="U6" s="67"/>
    </row>
    <row r="7">
      <c r="A7" s="65" t="s">
        <v>129</v>
      </c>
      <c r="B7" s="67">
        <v>1.0</v>
      </c>
      <c r="C7" s="67">
        <v>1.1</v>
      </c>
      <c r="D7" s="67">
        <v>1.0</v>
      </c>
      <c r="E7" s="67">
        <v>1.2</v>
      </c>
      <c r="F7" s="67">
        <v>1.0</v>
      </c>
      <c r="G7" s="67">
        <v>1.1</v>
      </c>
      <c r="H7" s="67">
        <v>1.5</v>
      </c>
      <c r="I7" s="67">
        <v>1.0</v>
      </c>
      <c r="J7" s="67">
        <v>1.2</v>
      </c>
      <c r="K7" s="67">
        <v>1.2</v>
      </c>
      <c r="L7" s="67">
        <v>1.1</v>
      </c>
      <c r="M7" s="67">
        <v>1.5</v>
      </c>
      <c r="N7" s="66">
        <v>3.0</v>
      </c>
      <c r="O7" s="67"/>
      <c r="P7" s="67"/>
      <c r="Q7" s="67"/>
      <c r="R7" s="67"/>
      <c r="S7" s="67"/>
      <c r="T7" s="67"/>
      <c r="U7" s="67"/>
    </row>
    <row r="8">
      <c r="A8" s="65" t="s">
        <v>155</v>
      </c>
      <c r="B8" s="67"/>
      <c r="C8" s="67"/>
      <c r="D8" s="67"/>
      <c r="E8" s="67"/>
      <c r="F8" s="67"/>
      <c r="G8" s="67">
        <v>1.5</v>
      </c>
      <c r="H8" s="67"/>
      <c r="I8" s="67"/>
      <c r="J8" s="67">
        <v>1.5</v>
      </c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</row>
    <row r="9">
      <c r="A9" s="65" t="s">
        <v>156</v>
      </c>
      <c r="B9" s="67">
        <v>0.8</v>
      </c>
      <c r="C9" s="67">
        <v>0.85</v>
      </c>
      <c r="D9" s="67">
        <v>0.8</v>
      </c>
      <c r="E9" s="67">
        <v>0.9</v>
      </c>
      <c r="F9" s="67">
        <v>0.8</v>
      </c>
      <c r="G9" s="67"/>
      <c r="H9" s="67">
        <v>1.0</v>
      </c>
      <c r="I9" s="67">
        <v>0.8</v>
      </c>
      <c r="J9" s="67">
        <v>0.9</v>
      </c>
      <c r="K9" s="67">
        <v>1.0</v>
      </c>
      <c r="L9" s="67">
        <v>0.95</v>
      </c>
      <c r="M9" s="67">
        <v>1.05</v>
      </c>
      <c r="N9" s="66">
        <v>3.0</v>
      </c>
      <c r="O9" s="67"/>
      <c r="P9" s="67"/>
      <c r="Q9" s="67"/>
      <c r="R9" s="67"/>
      <c r="S9" s="67"/>
      <c r="T9" s="67"/>
      <c r="U9" s="67"/>
    </row>
    <row r="10">
      <c r="A10" s="6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</row>
    <row r="11">
      <c r="A11" s="6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</row>
    <row r="12">
      <c r="A12" s="6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</row>
    <row r="13">
      <c r="A13" s="6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</row>
    <row r="14">
      <c r="A14" s="6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</row>
    <row r="15">
      <c r="A15" s="6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U1"/>
    <mergeCell ref="A2:U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3" width="22.0"/>
    <col customWidth="1" min="4" max="4" width="30.0"/>
    <col customWidth="1" min="5" max="26" width="8.71"/>
  </cols>
  <sheetData>
    <row r="1" ht="27.75" customHeight="1">
      <c r="A1" s="62" t="s">
        <v>157</v>
      </c>
      <c r="B1" s="2"/>
      <c r="C1" s="2"/>
      <c r="D1" s="3"/>
    </row>
    <row r="2">
      <c r="A2" s="4" t="s">
        <v>158</v>
      </c>
    </row>
    <row r="3" ht="21.75" customHeight="1">
      <c r="A3" s="63" t="s">
        <v>8</v>
      </c>
      <c r="B3" s="63" t="s">
        <v>159</v>
      </c>
      <c r="C3" s="63" t="s">
        <v>160</v>
      </c>
      <c r="D3" s="63" t="s">
        <v>11</v>
      </c>
    </row>
    <row r="4">
      <c r="A4" s="64" t="s">
        <v>144</v>
      </c>
      <c r="B4" s="68">
        <v>0.5</v>
      </c>
      <c r="C4" s="6" t="s">
        <v>161</v>
      </c>
      <c r="D4" s="6"/>
    </row>
    <row r="5">
      <c r="A5" s="6" t="s">
        <v>38</v>
      </c>
      <c r="B5" s="68">
        <v>0.5</v>
      </c>
      <c r="C5" s="6" t="s">
        <v>161</v>
      </c>
      <c r="D5" s="6"/>
    </row>
    <row r="6">
      <c r="A6" s="6" t="s">
        <v>145</v>
      </c>
      <c r="B6" s="68">
        <v>0.45</v>
      </c>
      <c r="C6" s="6" t="s">
        <v>161</v>
      </c>
      <c r="D6" s="6"/>
    </row>
    <row r="7">
      <c r="A7" s="6" t="s">
        <v>49</v>
      </c>
      <c r="B7" s="68">
        <v>0.4</v>
      </c>
      <c r="C7" s="6" t="s">
        <v>162</v>
      </c>
      <c r="D7" s="6"/>
    </row>
    <row r="8">
      <c r="A8" s="6" t="s">
        <v>58</v>
      </c>
      <c r="B8" s="68">
        <v>0.6</v>
      </c>
      <c r="C8" s="6" t="s">
        <v>162</v>
      </c>
      <c r="D8" s="6"/>
    </row>
    <row r="9">
      <c r="A9" s="6" t="s">
        <v>147</v>
      </c>
      <c r="B9" s="68">
        <v>0.8</v>
      </c>
      <c r="C9" s="6" t="s">
        <v>162</v>
      </c>
      <c r="D9" s="6" t="s">
        <v>163</v>
      </c>
    </row>
    <row r="10">
      <c r="A10" s="6" t="s">
        <v>148</v>
      </c>
      <c r="B10" s="68">
        <v>1.2</v>
      </c>
      <c r="C10" s="6" t="s">
        <v>161</v>
      </c>
      <c r="D10" s="6"/>
    </row>
    <row r="11">
      <c r="A11" s="6" t="s">
        <v>149</v>
      </c>
      <c r="B11" s="68">
        <v>0.45</v>
      </c>
      <c r="C11" s="6" t="s">
        <v>161</v>
      </c>
      <c r="D11" s="6"/>
    </row>
    <row r="12">
      <c r="A12" s="6" t="s">
        <v>45</v>
      </c>
      <c r="B12" s="68">
        <v>0.7</v>
      </c>
      <c r="C12" s="6"/>
      <c r="D12" s="6"/>
    </row>
    <row r="13">
      <c r="A13" s="63" t="s">
        <v>151</v>
      </c>
      <c r="B13" s="68">
        <v>0.7</v>
      </c>
      <c r="C13" s="6"/>
      <c r="D13" s="6"/>
    </row>
    <row r="14">
      <c r="A14" s="63" t="s">
        <v>152</v>
      </c>
      <c r="B14" s="68">
        <v>0.7</v>
      </c>
      <c r="C14" s="6"/>
      <c r="D14" s="6"/>
    </row>
    <row r="15">
      <c r="A15" s="63" t="s">
        <v>153</v>
      </c>
      <c r="B15" s="68">
        <v>0.7</v>
      </c>
      <c r="C15" s="6"/>
      <c r="D15" s="6"/>
    </row>
    <row r="16">
      <c r="A16" s="64" t="s">
        <v>154</v>
      </c>
      <c r="B16" s="68">
        <v>0.7</v>
      </c>
      <c r="C16" s="6"/>
      <c r="D16" s="6"/>
    </row>
    <row r="17">
      <c r="A17" s="6"/>
      <c r="B17" s="68"/>
      <c r="C17" s="6"/>
      <c r="D17" s="6"/>
    </row>
    <row r="18">
      <c r="A18" s="6"/>
      <c r="B18" s="68"/>
      <c r="C18" s="6"/>
      <c r="D18" s="6"/>
    </row>
    <row r="19">
      <c r="A19" s="6"/>
      <c r="B19" s="68"/>
      <c r="C19" s="6"/>
      <c r="D19" s="6"/>
    </row>
    <row r="20">
      <c r="A20" s="6"/>
      <c r="B20" s="68"/>
      <c r="C20" s="6"/>
      <c r="D20" s="6"/>
    </row>
    <row r="21" ht="15.75" customHeight="1">
      <c r="A21" s="6"/>
      <c r="B21" s="68"/>
      <c r="C21" s="6"/>
      <c r="D21" s="6"/>
    </row>
    <row r="22" ht="15.75" customHeight="1">
      <c r="A22" s="6"/>
      <c r="B22" s="68"/>
      <c r="C22" s="6"/>
      <c r="D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/>
  </sheetViews>
  <sheetFormatPr customHeight="1" defaultColWidth="14.43" defaultRowHeight="15.0"/>
  <cols>
    <col customWidth="1" min="1" max="1" width="130.0"/>
    <col customWidth="1" min="2" max="26" width="8.71"/>
  </cols>
  <sheetData>
    <row r="1" ht="27.75" customHeight="1">
      <c r="A1" s="69" t="s">
        <v>164</v>
      </c>
    </row>
    <row r="3" ht="18.0" customHeight="1">
      <c r="A3" s="70" t="s">
        <v>165</v>
      </c>
    </row>
    <row r="4" ht="18.0" customHeight="1">
      <c r="A4" s="71" t="s">
        <v>166</v>
      </c>
    </row>
    <row r="5" ht="18.0" customHeight="1">
      <c r="A5" s="71" t="s">
        <v>167</v>
      </c>
    </row>
    <row r="6" ht="18.0" customHeight="1">
      <c r="A6" s="71" t="s">
        <v>168</v>
      </c>
    </row>
    <row r="7" ht="18.0" customHeight="1">
      <c r="A7" s="71" t="s">
        <v>169</v>
      </c>
    </row>
    <row r="8" ht="18.0" customHeight="1">
      <c r="A8" s="71" t="s">
        <v>170</v>
      </c>
    </row>
    <row r="9" ht="18.0" customHeight="1">
      <c r="A9" s="71" t="s">
        <v>171</v>
      </c>
    </row>
    <row r="10" ht="18.0" customHeight="1">
      <c r="A10" s="71"/>
    </row>
    <row r="11" ht="18.0" customHeight="1">
      <c r="A11" s="70" t="s">
        <v>172</v>
      </c>
    </row>
    <row r="12" ht="18.0" customHeight="1">
      <c r="A12" s="71" t="s">
        <v>173</v>
      </c>
    </row>
    <row r="13" ht="18.0" customHeight="1">
      <c r="A13" s="71" t="s">
        <v>174</v>
      </c>
    </row>
    <row r="14" ht="18.0" customHeight="1">
      <c r="A14" s="71" t="s">
        <v>175</v>
      </c>
    </row>
    <row r="15" ht="18.0" customHeight="1">
      <c r="A15" s="71" t="s">
        <v>176</v>
      </c>
    </row>
    <row r="16" ht="18.0" customHeight="1">
      <c r="A16" s="71"/>
    </row>
    <row r="17" ht="18.0" customHeight="1">
      <c r="A17" s="70" t="s">
        <v>177</v>
      </c>
    </row>
    <row r="18" ht="18.0" customHeight="1">
      <c r="A18" s="71" t="s">
        <v>178</v>
      </c>
    </row>
    <row r="19" ht="18.0" customHeight="1">
      <c r="A19" s="71" t="s">
        <v>179</v>
      </c>
    </row>
    <row r="20" ht="18.0" customHeight="1">
      <c r="A20" s="71" t="s">
        <v>180</v>
      </c>
    </row>
    <row r="21" ht="18.0" customHeight="1">
      <c r="A21" s="71"/>
    </row>
    <row r="22" ht="18.0" customHeight="1">
      <c r="A22" s="70" t="s">
        <v>181</v>
      </c>
    </row>
    <row r="23" ht="18.0" customHeight="1">
      <c r="A23" s="71" t="s">
        <v>182</v>
      </c>
    </row>
    <row r="24" ht="18.0" customHeight="1">
      <c r="A24" s="71" t="s">
        <v>183</v>
      </c>
    </row>
    <row r="25" ht="18.0" customHeight="1">
      <c r="A25" s="71" t="s">
        <v>184</v>
      </c>
    </row>
    <row r="26" ht="18.0" customHeight="1">
      <c r="A26" s="71" t="s">
        <v>185</v>
      </c>
    </row>
    <row r="27" ht="18.0" customHeight="1">
      <c r="A27" s="71"/>
    </row>
    <row r="28" ht="18.0" customHeight="1">
      <c r="A28" s="70" t="s">
        <v>186</v>
      </c>
    </row>
    <row r="29" ht="18.0" customHeight="1">
      <c r="A29" s="71" t="s">
        <v>187</v>
      </c>
    </row>
    <row r="30" ht="18.0" customHeight="1">
      <c r="A30" s="71" t="s">
        <v>188</v>
      </c>
    </row>
    <row r="31" ht="18.0" customHeight="1">
      <c r="A31" s="71" t="s">
        <v>189</v>
      </c>
    </row>
    <row r="32" ht="18.0" customHeight="1">
      <c r="A32" s="71" t="s">
        <v>190</v>
      </c>
    </row>
    <row r="33" ht="18.0" customHeight="1">
      <c r="A33" s="71" t="s">
        <v>191</v>
      </c>
    </row>
    <row r="34" ht="18.0" customHeight="1">
      <c r="A34" s="71" t="s">
        <v>192</v>
      </c>
    </row>
    <row r="35" ht="18.0" customHeight="1">
      <c r="A35" s="71"/>
    </row>
    <row r="36" ht="18.0" customHeight="1">
      <c r="A36" s="70" t="s">
        <v>193</v>
      </c>
    </row>
    <row r="37" ht="18.0" customHeight="1">
      <c r="A37" s="71" t="s">
        <v>194</v>
      </c>
    </row>
    <row r="38" ht="18.0" customHeight="1">
      <c r="A38" s="71" t="s">
        <v>195</v>
      </c>
    </row>
    <row r="39" ht="18.0" customHeight="1">
      <c r="A39" s="71" t="s">
        <v>196</v>
      </c>
    </row>
    <row r="40" ht="18.0" customHeight="1">
      <c r="A40" s="71" t="s">
        <v>197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2" width="16.0"/>
    <col customWidth="1" min="3" max="3" width="60.0"/>
    <col customWidth="1" min="4" max="26" width="8.71"/>
  </cols>
  <sheetData>
    <row r="1" ht="27.75" customHeight="1">
      <c r="A1" s="62" t="s">
        <v>198</v>
      </c>
      <c r="B1" s="2"/>
      <c r="C1" s="3"/>
    </row>
    <row r="2">
      <c r="A2" s="63" t="s">
        <v>199</v>
      </c>
      <c r="B2" s="63" t="s">
        <v>200</v>
      </c>
      <c r="C2" s="63" t="s">
        <v>201</v>
      </c>
    </row>
    <row r="3">
      <c r="A3" s="72" t="s">
        <v>202</v>
      </c>
      <c r="B3" s="68">
        <v>3.5</v>
      </c>
      <c r="C3" s="73" t="s">
        <v>203</v>
      </c>
    </row>
    <row r="4">
      <c r="A4" s="72" t="s">
        <v>204</v>
      </c>
      <c r="B4" s="8">
        <v>15000.0</v>
      </c>
      <c r="C4" s="73" t="s">
        <v>205</v>
      </c>
    </row>
    <row r="5">
      <c r="A5" s="72" t="s">
        <v>206</v>
      </c>
      <c r="B5" s="74">
        <v>8000.0</v>
      </c>
      <c r="C5" s="73" t="s">
        <v>207</v>
      </c>
    </row>
    <row r="6">
      <c r="A6" s="72" t="s">
        <v>208</v>
      </c>
      <c r="B6" s="74">
        <v>0.005</v>
      </c>
      <c r="C6" s="73" t="s">
        <v>209</v>
      </c>
    </row>
    <row r="7">
      <c r="A7" s="72" t="s">
        <v>210</v>
      </c>
      <c r="B7" s="74">
        <v>0.01</v>
      </c>
      <c r="C7" s="73" t="s">
        <v>211</v>
      </c>
    </row>
    <row r="8">
      <c r="A8" s="72" t="s">
        <v>212</v>
      </c>
      <c r="B8" s="74">
        <v>0.05</v>
      </c>
      <c r="C8" s="73" t="s">
        <v>213</v>
      </c>
    </row>
    <row r="9">
      <c r="A9" s="72" t="s">
        <v>214</v>
      </c>
      <c r="B9" s="8">
        <v>0.07</v>
      </c>
      <c r="C9" s="73" t="s">
        <v>215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8.0"/>
    <col customWidth="1" min="2" max="3" width="14.0"/>
    <col customWidth="1" min="4" max="4" width="22.0"/>
    <col customWidth="1" min="5" max="5" width="32.0"/>
    <col customWidth="1" min="6" max="26" width="8.71"/>
  </cols>
  <sheetData>
    <row r="1" ht="27.75" customHeight="1">
      <c r="A1" s="62" t="s">
        <v>216</v>
      </c>
      <c r="B1" s="2"/>
      <c r="C1" s="2"/>
      <c r="D1" s="2"/>
      <c r="E1" s="3"/>
    </row>
    <row r="2">
      <c r="A2" s="4" t="s">
        <v>217</v>
      </c>
    </row>
    <row r="3" ht="21.75" customHeight="1">
      <c r="A3" s="63" t="s">
        <v>68</v>
      </c>
      <c r="B3" s="63" t="s">
        <v>218</v>
      </c>
      <c r="C3" s="63" t="s">
        <v>219</v>
      </c>
      <c r="D3" s="63" t="s">
        <v>220</v>
      </c>
      <c r="E3" s="63" t="s">
        <v>11</v>
      </c>
    </row>
    <row r="4">
      <c r="A4" s="27" t="s">
        <v>77</v>
      </c>
      <c r="B4" s="8" t="s">
        <v>221</v>
      </c>
      <c r="C4" s="8" t="s">
        <v>222</v>
      </c>
      <c r="D4" s="6" t="s">
        <v>223</v>
      </c>
      <c r="E4" s="6" t="s">
        <v>224</v>
      </c>
    </row>
    <row r="5">
      <c r="A5" s="27" t="s">
        <v>225</v>
      </c>
      <c r="B5" s="8" t="s">
        <v>221</v>
      </c>
      <c r="C5" s="8" t="s">
        <v>226</v>
      </c>
      <c r="D5" s="6" t="s">
        <v>227</v>
      </c>
      <c r="E5" s="6" t="s">
        <v>228</v>
      </c>
    </row>
    <row r="6">
      <c r="A6" s="6" t="s">
        <v>161</v>
      </c>
      <c r="B6" s="8" t="s">
        <v>229</v>
      </c>
      <c r="C6" s="8" t="s">
        <v>230</v>
      </c>
      <c r="D6" s="6" t="s">
        <v>231</v>
      </c>
      <c r="E6" s="6" t="s">
        <v>232</v>
      </c>
    </row>
    <row r="7">
      <c r="A7" s="6" t="s">
        <v>162</v>
      </c>
      <c r="B7" s="8" t="s">
        <v>229</v>
      </c>
      <c r="C7" s="8" t="s">
        <v>233</v>
      </c>
      <c r="D7" s="6"/>
      <c r="E7" s="6" t="s">
        <v>234</v>
      </c>
    </row>
    <row r="8">
      <c r="A8" s="6" t="s">
        <v>235</v>
      </c>
      <c r="B8" s="8" t="s">
        <v>236</v>
      </c>
      <c r="C8" s="8" t="s">
        <v>237</v>
      </c>
      <c r="D8" s="6" t="s">
        <v>238</v>
      </c>
      <c r="E8" s="6" t="s">
        <v>239</v>
      </c>
    </row>
    <row r="9">
      <c r="A9" s="6" t="s">
        <v>240</v>
      </c>
      <c r="B9" s="8" t="s">
        <v>236</v>
      </c>
      <c r="C9" s="8" t="s">
        <v>241</v>
      </c>
      <c r="D9" s="6"/>
      <c r="E9" s="6" t="s">
        <v>242</v>
      </c>
    </row>
    <row r="10">
      <c r="A10" s="6"/>
      <c r="B10" s="8"/>
      <c r="C10" s="8"/>
      <c r="D10" s="6"/>
      <c r="E10" s="6"/>
    </row>
    <row r="11">
      <c r="A11" s="6"/>
      <c r="B11" s="8"/>
      <c r="C11" s="8"/>
      <c r="D11" s="6"/>
      <c r="E11" s="6"/>
    </row>
    <row r="12">
      <c r="A12" s="6"/>
      <c r="B12" s="8"/>
      <c r="C12" s="8"/>
      <c r="D12" s="6"/>
      <c r="E12" s="6"/>
    </row>
    <row r="13">
      <c r="A13" s="6"/>
      <c r="B13" s="8"/>
      <c r="C13" s="8"/>
      <c r="D13" s="6"/>
      <c r="E13" s="6"/>
    </row>
    <row r="14">
      <c r="A14" s="6"/>
      <c r="B14" s="8"/>
      <c r="C14" s="8"/>
      <c r="D14" s="6"/>
      <c r="E14" s="6"/>
    </row>
    <row r="15">
      <c r="A15" s="6"/>
      <c r="B15" s="8"/>
      <c r="C15" s="8"/>
      <c r="D15" s="6"/>
      <c r="E15" s="6"/>
    </row>
    <row r="16">
      <c r="A16" s="6"/>
      <c r="B16" s="8"/>
      <c r="C16" s="8"/>
      <c r="D16" s="6"/>
      <c r="E16" s="6"/>
    </row>
    <row r="17">
      <c r="A17" s="6"/>
      <c r="B17" s="8"/>
      <c r="C17" s="8"/>
      <c r="D17" s="6"/>
      <c r="E17" s="6"/>
    </row>
    <row r="18">
      <c r="A18" s="6"/>
      <c r="B18" s="8"/>
      <c r="C18" s="8"/>
      <c r="D18" s="6"/>
      <c r="E18" s="6"/>
    </row>
    <row r="19">
      <c r="A19" s="6"/>
      <c r="B19" s="8"/>
      <c r="C19" s="8"/>
      <c r="D19" s="6"/>
      <c r="E19" s="6"/>
    </row>
    <row r="20">
      <c r="A20" s="6"/>
      <c r="B20" s="8"/>
      <c r="C20" s="8"/>
      <c r="D20" s="6"/>
      <c r="E20" s="6"/>
    </row>
    <row r="21" ht="15.75" customHeight="1">
      <c r="A21" s="6"/>
      <c r="B21" s="8"/>
      <c r="C21" s="8"/>
      <c r="D21" s="6"/>
      <c r="E21" s="6"/>
    </row>
    <row r="22" ht="15.75" customHeight="1">
      <c r="A22" s="6"/>
      <c r="B22" s="8"/>
      <c r="C22" s="8"/>
      <c r="D22" s="6"/>
      <c r="E22" s="6"/>
    </row>
    <row r="23" ht="15.75" customHeight="1">
      <c r="A23" s="6"/>
      <c r="B23" s="8"/>
      <c r="C23" s="8"/>
      <c r="D23" s="6"/>
      <c r="E23" s="6"/>
    </row>
    <row r="24" ht="15.75" customHeight="1">
      <c r="A24" s="6"/>
      <c r="B24" s="8"/>
      <c r="C24" s="8"/>
      <c r="D24" s="6"/>
      <c r="E24" s="6"/>
    </row>
    <row r="25" ht="15.75" customHeight="1">
      <c r="A25" s="6"/>
      <c r="B25" s="8"/>
      <c r="C25" s="8"/>
      <c r="D25" s="6"/>
      <c r="E25" s="6"/>
    </row>
    <row r="26" ht="15.75" customHeight="1">
      <c r="A26" s="6"/>
      <c r="B26" s="8"/>
      <c r="C26" s="8"/>
      <c r="D26" s="6"/>
      <c r="E26" s="6"/>
    </row>
    <row r="27" ht="15.75" customHeight="1">
      <c r="A27" s="6"/>
      <c r="B27" s="8"/>
      <c r="C27" s="8"/>
      <c r="D27" s="6"/>
      <c r="E27" s="6"/>
    </row>
    <row r="28" ht="15.75" customHeight="1">
      <c r="A28" s="6"/>
      <c r="B28" s="8"/>
      <c r="C28" s="8"/>
      <c r="D28" s="6"/>
      <c r="E28" s="6"/>
    </row>
    <row r="29" ht="15.75" customHeight="1">
      <c r="A29" s="6"/>
      <c r="B29" s="8"/>
      <c r="C29" s="8"/>
      <c r="D29" s="6"/>
      <c r="E29" s="6"/>
    </row>
    <row r="30" ht="15.75" customHeight="1">
      <c r="A30" s="6"/>
      <c r="B30" s="8"/>
      <c r="C30" s="8"/>
      <c r="D30" s="6"/>
      <c r="E30" s="6"/>
    </row>
    <row r="31" ht="15.75" customHeight="1">
      <c r="A31" s="6"/>
      <c r="B31" s="8"/>
      <c r="C31" s="8"/>
      <c r="D31" s="6"/>
      <c r="E31" s="6"/>
    </row>
    <row r="32" ht="15.75" customHeight="1">
      <c r="A32" s="6"/>
      <c r="B32" s="8"/>
      <c r="C32" s="8"/>
      <c r="D32" s="6"/>
      <c r="E32" s="6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dataValidations>
    <dataValidation type="list" allowBlank="1" sqref="B4:B32">
      <formula1>"HILO,TEJEDURÍA,TINTORERÍA"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8.29"/>
    <col customWidth="1" min="2" max="2" width="38.0"/>
    <col customWidth="1" min="3" max="3" width="18.0"/>
    <col customWidth="1" min="4" max="4" width="16.0"/>
    <col customWidth="1" min="5" max="5" width="36.0"/>
    <col customWidth="1" min="6" max="26" width="8.71"/>
  </cols>
  <sheetData>
    <row r="1" ht="27.75" customHeight="1">
      <c r="A1" s="62" t="s">
        <v>243</v>
      </c>
      <c r="B1" s="2"/>
      <c r="C1" s="2"/>
      <c r="D1" s="2"/>
      <c r="E1" s="3"/>
    </row>
    <row r="2">
      <c r="A2" s="4" t="s">
        <v>244</v>
      </c>
    </row>
    <row r="3" ht="21.75" customHeight="1">
      <c r="A3" s="63" t="s">
        <v>5</v>
      </c>
      <c r="B3" s="63" t="s">
        <v>245</v>
      </c>
      <c r="C3" s="63" t="s">
        <v>246</v>
      </c>
      <c r="D3" s="63" t="s">
        <v>247</v>
      </c>
      <c r="E3" s="63" t="s">
        <v>11</v>
      </c>
    </row>
    <row r="4">
      <c r="A4" s="6" t="s">
        <v>37</v>
      </c>
      <c r="B4" s="6" t="s">
        <v>248</v>
      </c>
      <c r="C4" s="68">
        <v>3.3</v>
      </c>
      <c r="D4" s="7" t="s">
        <v>249</v>
      </c>
      <c r="E4" s="6" t="s">
        <v>250</v>
      </c>
    </row>
    <row r="5">
      <c r="A5" s="6" t="s">
        <v>251</v>
      </c>
      <c r="B5" s="6" t="s">
        <v>252</v>
      </c>
      <c r="C5" s="68">
        <v>3.1</v>
      </c>
      <c r="D5" s="7" t="s">
        <v>249</v>
      </c>
      <c r="E5" s="6" t="s">
        <v>253</v>
      </c>
    </row>
    <row r="6">
      <c r="A6" s="27" t="s">
        <v>53</v>
      </c>
      <c r="B6" s="6" t="s">
        <v>254</v>
      </c>
      <c r="C6" s="68">
        <v>8.5</v>
      </c>
      <c r="D6" s="7" t="s">
        <v>255</v>
      </c>
      <c r="E6" s="6" t="s">
        <v>256</v>
      </c>
    </row>
    <row r="7">
      <c r="A7" s="6" t="s">
        <v>257</v>
      </c>
      <c r="B7" s="6" t="s">
        <v>258</v>
      </c>
      <c r="C7" s="68">
        <v>5.8</v>
      </c>
      <c r="D7" s="7" t="s">
        <v>259</v>
      </c>
      <c r="E7" s="6" t="s">
        <v>260</v>
      </c>
    </row>
    <row r="8">
      <c r="A8" s="6" t="s">
        <v>261</v>
      </c>
      <c r="B8" s="6" t="s">
        <v>254</v>
      </c>
      <c r="C8" s="68">
        <v>9.5</v>
      </c>
      <c r="D8" s="7" t="s">
        <v>255</v>
      </c>
      <c r="E8" s="6" t="s">
        <v>262</v>
      </c>
    </row>
    <row r="9">
      <c r="A9" s="6" t="s">
        <v>263</v>
      </c>
      <c r="B9" s="6" t="s">
        <v>264</v>
      </c>
      <c r="C9" s="68">
        <v>4.8</v>
      </c>
      <c r="D9" s="7" t="s">
        <v>259</v>
      </c>
      <c r="E9" s="6" t="s">
        <v>265</v>
      </c>
    </row>
    <row r="10">
      <c r="A10" s="6" t="s">
        <v>266</v>
      </c>
      <c r="B10" s="6"/>
      <c r="C10" s="68">
        <v>10.0</v>
      </c>
      <c r="D10" s="7"/>
      <c r="E10" s="6"/>
    </row>
    <row r="11">
      <c r="A11" s="6" t="s">
        <v>44</v>
      </c>
      <c r="B11" s="6"/>
      <c r="C11" s="68"/>
      <c r="D11" s="7"/>
      <c r="E11" s="6"/>
    </row>
    <row r="12">
      <c r="A12" s="6"/>
      <c r="B12" s="6"/>
      <c r="C12" s="68"/>
      <c r="D12" s="7"/>
      <c r="E12" s="6"/>
    </row>
    <row r="13">
      <c r="A13" s="6"/>
      <c r="B13" s="6"/>
      <c r="C13" s="68"/>
      <c r="D13" s="7"/>
      <c r="E13" s="6"/>
    </row>
    <row r="14">
      <c r="A14" s="6"/>
      <c r="B14" s="6"/>
      <c r="C14" s="68"/>
      <c r="D14" s="7"/>
      <c r="E14" s="6"/>
    </row>
    <row r="15">
      <c r="A15" s="6"/>
      <c r="B15" s="6"/>
      <c r="C15" s="68"/>
      <c r="D15" s="7"/>
      <c r="E15" s="6"/>
    </row>
    <row r="16">
      <c r="A16" s="6"/>
      <c r="B16" s="6"/>
      <c r="C16" s="68"/>
      <c r="D16" s="7"/>
      <c r="E16" s="6"/>
    </row>
    <row r="17">
      <c r="A17" s="6"/>
      <c r="B17" s="6"/>
      <c r="C17" s="68"/>
      <c r="D17" s="7"/>
      <c r="E17" s="6"/>
    </row>
    <row r="18">
      <c r="A18" s="6"/>
      <c r="B18" s="6"/>
      <c r="C18" s="68"/>
      <c r="D18" s="7"/>
      <c r="E18" s="6"/>
    </row>
    <row r="19">
      <c r="A19" s="6"/>
      <c r="B19" s="6"/>
      <c r="C19" s="68"/>
      <c r="D19" s="7"/>
      <c r="E19" s="6"/>
    </row>
    <row r="20">
      <c r="A20" s="6"/>
      <c r="B20" s="6"/>
      <c r="C20" s="68"/>
      <c r="D20" s="7"/>
      <c r="E20" s="6"/>
    </row>
    <row r="21" ht="15.75" customHeight="1">
      <c r="A21" s="6"/>
      <c r="B21" s="6"/>
      <c r="C21" s="68"/>
      <c r="D21" s="7"/>
      <c r="E21" s="6"/>
    </row>
    <row r="22" ht="15.75" customHeight="1">
      <c r="A22" s="6"/>
      <c r="B22" s="6"/>
      <c r="C22" s="68"/>
      <c r="D22" s="7"/>
      <c r="E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12.0"/>
    <col customWidth="1" min="3" max="3" width="22.0"/>
    <col customWidth="1" min="4" max="4" width="30.0"/>
    <col customWidth="1" min="5" max="26" width="8.71"/>
  </cols>
  <sheetData>
    <row r="1" ht="27.75" customHeight="1">
      <c r="A1" s="62" t="s">
        <v>267</v>
      </c>
      <c r="B1" s="2"/>
      <c r="C1" s="2"/>
      <c r="D1" s="3"/>
    </row>
    <row r="2">
      <c r="A2" s="4" t="s">
        <v>268</v>
      </c>
    </row>
    <row r="3" ht="21.75" customHeight="1">
      <c r="A3" s="63" t="s">
        <v>83</v>
      </c>
      <c r="B3" s="63" t="s">
        <v>269</v>
      </c>
      <c r="C3" s="63" t="s">
        <v>270</v>
      </c>
      <c r="D3" s="63" t="s">
        <v>11</v>
      </c>
    </row>
    <row r="4">
      <c r="A4" s="6" t="s">
        <v>113</v>
      </c>
      <c r="B4" s="8" t="s">
        <v>271</v>
      </c>
      <c r="C4" s="8" t="s">
        <v>114</v>
      </c>
      <c r="D4" s="6"/>
    </row>
    <row r="5">
      <c r="A5" s="6" t="s">
        <v>118</v>
      </c>
      <c r="B5" s="8" t="s">
        <v>272</v>
      </c>
      <c r="C5" s="8" t="s">
        <v>119</v>
      </c>
      <c r="D5" s="6"/>
    </row>
    <row r="6">
      <c r="A6" s="6" t="s">
        <v>273</v>
      </c>
      <c r="B6" s="8" t="s">
        <v>272</v>
      </c>
      <c r="C6" s="8" t="s">
        <v>119</v>
      </c>
      <c r="D6" s="6"/>
    </row>
    <row r="7">
      <c r="A7" s="6" t="s">
        <v>123</v>
      </c>
      <c r="B7" s="8" t="s">
        <v>274</v>
      </c>
      <c r="C7" s="8" t="s">
        <v>124</v>
      </c>
      <c r="D7" s="6"/>
    </row>
    <row r="8">
      <c r="A8" s="6" t="s">
        <v>139</v>
      </c>
      <c r="B8" s="8" t="s">
        <v>274</v>
      </c>
      <c r="C8" s="8" t="s">
        <v>124</v>
      </c>
      <c r="D8" s="6"/>
    </row>
    <row r="9">
      <c r="A9" s="6" t="s">
        <v>275</v>
      </c>
      <c r="B9" s="8" t="s">
        <v>274</v>
      </c>
      <c r="C9" s="8" t="s">
        <v>124</v>
      </c>
      <c r="D9" s="6"/>
    </row>
    <row r="10">
      <c r="A10" s="6" t="s">
        <v>138</v>
      </c>
      <c r="B10" s="8" t="s">
        <v>274</v>
      </c>
      <c r="C10" s="8" t="s">
        <v>124</v>
      </c>
      <c r="D10" s="6"/>
    </row>
    <row r="11">
      <c r="A11" s="6" t="s">
        <v>137</v>
      </c>
      <c r="B11" s="8" t="s">
        <v>274</v>
      </c>
      <c r="C11" s="8" t="s">
        <v>124</v>
      </c>
      <c r="D11" s="6"/>
    </row>
    <row r="12">
      <c r="A12" s="6" t="s">
        <v>140</v>
      </c>
      <c r="B12" s="8" t="s">
        <v>274</v>
      </c>
      <c r="C12" s="8" t="s">
        <v>124</v>
      </c>
      <c r="D12" s="6"/>
    </row>
    <row r="13">
      <c r="A13" s="6" t="s">
        <v>276</v>
      </c>
      <c r="B13" s="8" t="s">
        <v>274</v>
      </c>
      <c r="C13" s="8" t="s">
        <v>124</v>
      </c>
      <c r="D13" s="6"/>
    </row>
    <row r="14">
      <c r="A14" s="6" t="s">
        <v>135</v>
      </c>
      <c r="B14" s="8" t="s">
        <v>271</v>
      </c>
      <c r="C14" s="8" t="s">
        <v>114</v>
      </c>
      <c r="D14" s="6"/>
    </row>
    <row r="15">
      <c r="A15" s="6" t="s">
        <v>136</v>
      </c>
      <c r="B15" s="8" t="s">
        <v>271</v>
      </c>
      <c r="C15" s="8" t="s">
        <v>114</v>
      </c>
      <c r="D15" s="6"/>
    </row>
    <row r="16">
      <c r="A16" s="6" t="s">
        <v>277</v>
      </c>
      <c r="B16" s="8" t="s">
        <v>271</v>
      </c>
      <c r="C16" s="8" t="s">
        <v>114</v>
      </c>
      <c r="D16" s="6"/>
    </row>
    <row r="17">
      <c r="A17" s="6" t="s">
        <v>133</v>
      </c>
      <c r="B17" s="8" t="s">
        <v>271</v>
      </c>
      <c r="C17" s="8" t="s">
        <v>114</v>
      </c>
      <c r="D17" s="6"/>
    </row>
    <row r="18">
      <c r="A18" s="6" t="s">
        <v>278</v>
      </c>
      <c r="B18" s="8" t="s">
        <v>271</v>
      </c>
      <c r="C18" s="8" t="s">
        <v>114</v>
      </c>
      <c r="D18" s="6"/>
    </row>
    <row r="19">
      <c r="A19" s="6" t="s">
        <v>141</v>
      </c>
      <c r="B19" s="8" t="s">
        <v>271</v>
      </c>
      <c r="C19" s="8" t="s">
        <v>114</v>
      </c>
      <c r="D19" s="6"/>
    </row>
    <row r="20">
      <c r="A20" s="6" t="s">
        <v>279</v>
      </c>
      <c r="B20" s="8" t="s">
        <v>271</v>
      </c>
      <c r="C20" s="8" t="s">
        <v>114</v>
      </c>
      <c r="D20" s="6"/>
    </row>
    <row r="21" ht="15.75" customHeight="1">
      <c r="A21" s="6" t="s">
        <v>128</v>
      </c>
      <c r="B21" s="8" t="s">
        <v>280</v>
      </c>
      <c r="C21" s="8" t="s">
        <v>129</v>
      </c>
      <c r="D21" s="6"/>
    </row>
    <row r="22" ht="15.75" customHeight="1">
      <c r="A22" s="6" t="s">
        <v>281</v>
      </c>
      <c r="B22" s="8" t="s">
        <v>271</v>
      </c>
      <c r="C22" s="8" t="s">
        <v>114</v>
      </c>
      <c r="D22" s="6"/>
    </row>
    <row r="23" ht="15.75" customHeight="1">
      <c r="A23" s="6" t="s">
        <v>282</v>
      </c>
      <c r="B23" s="8" t="s">
        <v>274</v>
      </c>
      <c r="C23" s="8" t="s">
        <v>124</v>
      </c>
      <c r="D23" s="6"/>
    </row>
    <row r="24" ht="15.75" customHeight="1">
      <c r="A24" s="6"/>
      <c r="B24" s="8"/>
      <c r="C24" s="8"/>
      <c r="D24" s="6"/>
    </row>
    <row r="25" ht="15.75" customHeight="1">
      <c r="A25" s="6"/>
      <c r="B25" s="8"/>
      <c r="C25" s="8"/>
      <c r="D25" s="6"/>
    </row>
    <row r="26" ht="15.75" customHeight="1">
      <c r="A26" s="6"/>
      <c r="B26" s="8"/>
      <c r="C26" s="8"/>
      <c r="D26" s="6"/>
    </row>
    <row r="27" ht="15.75" customHeight="1">
      <c r="A27" s="6"/>
      <c r="B27" s="8"/>
      <c r="C27" s="8"/>
      <c r="D27" s="6"/>
    </row>
    <row r="28" ht="15.75" customHeight="1">
      <c r="A28" s="6"/>
      <c r="B28" s="8"/>
      <c r="C28" s="8"/>
      <c r="D28" s="6"/>
    </row>
    <row r="29" ht="15.75" customHeight="1">
      <c r="A29" s="6"/>
      <c r="B29" s="8"/>
      <c r="C29" s="8"/>
      <c r="D29" s="6"/>
    </row>
    <row r="30" ht="15.75" customHeight="1">
      <c r="A30" s="6"/>
      <c r="B30" s="8"/>
      <c r="C30" s="8"/>
      <c r="D30" s="6"/>
    </row>
    <row r="31" ht="15.75" customHeight="1">
      <c r="A31" s="6"/>
      <c r="B31" s="8"/>
      <c r="C31" s="8"/>
      <c r="D31" s="6"/>
    </row>
    <row r="32" ht="15.75" customHeight="1">
      <c r="A32" s="6"/>
      <c r="B32" s="8"/>
      <c r="C32" s="8"/>
      <c r="D32" s="6"/>
    </row>
    <row r="33" ht="15.75" customHeight="1">
      <c r="A33" s="6"/>
      <c r="B33" s="8"/>
      <c r="C33" s="8"/>
      <c r="D33" s="6"/>
    </row>
    <row r="34" ht="15.75" customHeight="1">
      <c r="A34" s="6"/>
      <c r="B34" s="8"/>
      <c r="C34" s="8"/>
      <c r="D34" s="6"/>
    </row>
    <row r="35" ht="15.75" customHeight="1">
      <c r="A35" s="6"/>
      <c r="B35" s="8"/>
      <c r="C35" s="8"/>
      <c r="D35" s="6"/>
    </row>
    <row r="36" ht="15.75" customHeight="1">
      <c r="A36" s="6"/>
      <c r="B36" s="8"/>
      <c r="C36" s="8"/>
      <c r="D36" s="6"/>
    </row>
    <row r="37" ht="15.75" customHeight="1">
      <c r="A37" s="6"/>
      <c r="B37" s="8"/>
      <c r="C37" s="8"/>
      <c r="D37" s="6"/>
    </row>
    <row r="38" ht="15.75" customHeight="1">
      <c r="A38" s="6"/>
      <c r="B38" s="8"/>
      <c r="C38" s="8"/>
      <c r="D38" s="6"/>
    </row>
    <row r="39" ht="15.75" customHeight="1">
      <c r="A39" s="6"/>
      <c r="B39" s="8"/>
      <c r="C39" s="8"/>
      <c r="D39" s="6"/>
    </row>
    <row r="40" ht="15.75" customHeight="1">
      <c r="A40" s="6"/>
      <c r="B40" s="8"/>
      <c r="C40" s="8"/>
      <c r="D40" s="6"/>
    </row>
    <row r="41" ht="15.75" customHeight="1">
      <c r="A41" s="6"/>
      <c r="B41" s="8"/>
      <c r="C41" s="8"/>
      <c r="D41" s="6"/>
    </row>
    <row r="42" ht="15.75" customHeight="1">
      <c r="A42" s="6"/>
      <c r="B42" s="8"/>
      <c r="C42" s="8"/>
      <c r="D42" s="6"/>
    </row>
    <row r="43" ht="15.75" customHeight="1">
      <c r="A43" s="6"/>
      <c r="B43" s="8"/>
      <c r="C43" s="8"/>
      <c r="D43" s="6"/>
    </row>
    <row r="44" ht="15.75" customHeight="1">
      <c r="A44" s="6"/>
      <c r="B44" s="8"/>
      <c r="C44" s="8"/>
      <c r="D44" s="6"/>
    </row>
    <row r="45" ht="15.75" customHeight="1">
      <c r="A45" s="6"/>
      <c r="B45" s="8"/>
      <c r="C45" s="8"/>
      <c r="D45" s="6"/>
    </row>
    <row r="46" ht="15.75" customHeight="1">
      <c r="A46" s="6"/>
      <c r="B46" s="8"/>
      <c r="C46" s="8"/>
      <c r="D46" s="6"/>
    </row>
    <row r="47" ht="15.75" customHeight="1">
      <c r="A47" s="6"/>
      <c r="B47" s="8"/>
      <c r="C47" s="8"/>
      <c r="D47" s="6"/>
    </row>
    <row r="48" ht="15.75" customHeight="1">
      <c r="A48" s="6"/>
      <c r="B48" s="8"/>
      <c r="C48" s="8"/>
      <c r="D48" s="6"/>
    </row>
    <row r="49" ht="15.75" customHeight="1">
      <c r="A49" s="6"/>
      <c r="B49" s="8"/>
      <c r="C49" s="8"/>
      <c r="D49" s="6"/>
    </row>
    <row r="50" ht="15.75" customHeight="1">
      <c r="A50" s="6"/>
      <c r="B50" s="8"/>
      <c r="C50" s="8"/>
      <c r="D50" s="6"/>
    </row>
    <row r="51" ht="15.75" customHeight="1">
      <c r="A51" s="6"/>
      <c r="B51" s="8"/>
      <c r="C51" s="8"/>
      <c r="D51" s="6"/>
    </row>
    <row r="52" ht="15.75" customHeight="1">
      <c r="A52" s="6"/>
      <c r="B52" s="8"/>
      <c r="C52" s="8"/>
      <c r="D52" s="6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dataValidations>
    <dataValidation type="list" allowBlank="1" sqref="B4:B52">
      <formula1>"OSCURO,CLARO,PPT,MELANGE"</formula1>
    </dataValidation>
    <dataValidation type="list" allowBlank="1" sqref="C4:C52">
      <formula1>LISTA_SERVICIOS_TINTOR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6E6E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3" width="18.0"/>
    <col customWidth="1" min="4" max="5" width="14.0"/>
    <col customWidth="1" min="6" max="6" width="16.0"/>
    <col customWidth="1" min="7" max="26" width="8.71"/>
  </cols>
  <sheetData>
    <row r="1" ht="27.75" customHeight="1">
      <c r="A1" s="75" t="s">
        <v>283</v>
      </c>
      <c r="B1" s="2"/>
      <c r="C1" s="2"/>
      <c r="D1" s="2"/>
      <c r="E1" s="2"/>
      <c r="F1" s="3"/>
    </row>
    <row r="2">
      <c r="A2" s="4" t="s">
        <v>284</v>
      </c>
    </row>
    <row r="3" ht="27.75" customHeight="1">
      <c r="A3" s="76" t="s">
        <v>5</v>
      </c>
      <c r="B3" s="76" t="s">
        <v>285</v>
      </c>
      <c r="C3" s="76" t="s">
        <v>286</v>
      </c>
      <c r="D3" s="76" t="s">
        <v>287</v>
      </c>
      <c r="E3" s="76" t="s">
        <v>288</v>
      </c>
      <c r="F3" s="76" t="s">
        <v>289</v>
      </c>
    </row>
    <row r="4">
      <c r="A4" s="77" t="str">
        <f>IF(HILOS!A4="","",HILOS!A4)</f>
        <v>Hilo 30/1 PC</v>
      </c>
      <c r="B4" s="12">
        <f>IFERROR(SUMIFS(PROGRAMAS!$S$4:$S$103,PROGRAMAS!$D$4:$D$103,A4),0)</f>
        <v>5</v>
      </c>
      <c r="C4" s="78">
        <f>IFERROR(SUMIFS(COMPRAS_HILO!$H$4:$H$203,COMPRAS_HILO!$C$4:$C$203,A4)/SUMIFS(COMPRAS_HILO!$D$4:$D$203,COMPRAS_HILO!$C$4:$C$203,A4),0)</f>
        <v>10.3875</v>
      </c>
      <c r="D4" s="79">
        <f t="shared" ref="D4:D22" si="1">B4*C4</f>
        <v>51.9375</v>
      </c>
      <c r="E4" s="80"/>
      <c r="F4" s="81">
        <f t="shared" ref="F4:F22" si="2">B4-E4</f>
        <v>5</v>
      </c>
    </row>
    <row r="5">
      <c r="A5" s="77" t="str">
        <f>IF(HILOS!A5="","",HILOS!A5)</f>
        <v>Hilo 20/1 PC</v>
      </c>
      <c r="B5" s="12">
        <f>IFERROR(SUMIFS(PROGRAMAS!$S$4:$S$103,PROGRAMAS!$D$4:$D$103,A5),0)</f>
        <v>0</v>
      </c>
      <c r="C5" s="78">
        <f>IFERROR(SUMIFS(COMPRAS_HILO!$H$4:$H$203,COMPRAS_HILO!$C$4:$C$203,A5)/SUMIFS(COMPRAS_HILO!$D$4:$D$203,COMPRAS_HILO!$C$4:$C$203,A5),0)</f>
        <v>0</v>
      </c>
      <c r="D5" s="79">
        <f t="shared" si="1"/>
        <v>0</v>
      </c>
      <c r="E5" s="80"/>
      <c r="F5" s="81">
        <f t="shared" si="2"/>
        <v>0</v>
      </c>
    </row>
    <row r="6">
      <c r="A6" s="77" t="str">
        <f>IF(HILOS!A6="","",HILOS!A6)</f>
        <v>Hilo 30/1 ALGODON</v>
      </c>
      <c r="B6" s="12">
        <f>IFERROR(SUMIFS(PROGRAMAS!$S$4:$S$103,PROGRAMAS!$D$4:$D$103,A6),0)</f>
        <v>0</v>
      </c>
      <c r="C6" s="78">
        <f>IFERROR(SUMIFS(COMPRAS_HILO!$H$4:$H$203,COMPRAS_HILO!$C$4:$C$203,A6)/SUMIFS(COMPRAS_HILO!$D$4:$D$203,COMPRAS_HILO!$C$4:$C$203,A6),0)</f>
        <v>13.8</v>
      </c>
      <c r="D6" s="79">
        <f t="shared" si="1"/>
        <v>0</v>
      </c>
      <c r="E6" s="80"/>
      <c r="F6" s="81">
        <f t="shared" si="2"/>
        <v>0</v>
      </c>
    </row>
    <row r="7">
      <c r="A7" s="77" t="str">
        <f>IF(HILOS!A7="","",HILOS!A7)</f>
        <v>Hilo 24/1 Algodón</v>
      </c>
      <c r="B7" s="12">
        <f>IFERROR(SUMIFS(PROGRAMAS!$S$4:$S$103,PROGRAMAS!$D$4:$D$103,A7),0)</f>
        <v>0</v>
      </c>
      <c r="C7" s="78">
        <f>IFERROR(SUMIFS(COMPRAS_HILO!$H$4:$H$203,COMPRAS_HILO!$C$4:$C$203,A7)/SUMIFS(COMPRAS_HILO!$D$4:$D$203,COMPRAS_HILO!$C$4:$C$203,A7),0)</f>
        <v>0</v>
      </c>
      <c r="D7" s="79">
        <f t="shared" si="1"/>
        <v>0</v>
      </c>
      <c r="E7" s="80"/>
      <c r="F7" s="81">
        <f t="shared" si="2"/>
        <v>0</v>
      </c>
    </row>
    <row r="8">
      <c r="A8" s="77" t="str">
        <f>IF(HILOS!A8="","",HILOS!A8)</f>
        <v>Hilo 50/1 Pima</v>
      </c>
      <c r="B8" s="12">
        <f>IFERROR(SUMIFS(PROGRAMAS!$S$4:$S$103,PROGRAMAS!$D$4:$D$103,A8),0)</f>
        <v>0</v>
      </c>
      <c r="C8" s="78">
        <f>IFERROR(SUMIFS(COMPRAS_HILO!$H$4:$H$203,COMPRAS_HILO!$C$4:$C$203,A8)/SUMIFS(COMPRAS_HILO!$D$4:$D$203,COMPRAS_HILO!$C$4:$C$203,A8),0)</f>
        <v>0</v>
      </c>
      <c r="D8" s="79">
        <f t="shared" si="1"/>
        <v>0</v>
      </c>
      <c r="E8" s="80"/>
      <c r="F8" s="81">
        <f t="shared" si="2"/>
        <v>0</v>
      </c>
    </row>
    <row r="9">
      <c r="A9" s="77" t="str">
        <f>IF(HILOS!A9="","",HILOS!A9)</f>
        <v>Hilo 30/1 con Lycra</v>
      </c>
      <c r="B9" s="12">
        <f>IFERROR(SUMIFS(PROGRAMAS!$S$4:$S$103,PROGRAMAS!$D$4:$D$103,A9),0)</f>
        <v>0</v>
      </c>
      <c r="C9" s="78">
        <f>IFERROR(SUMIFS(COMPRAS_HILO!$H$4:$H$203,COMPRAS_HILO!$C$4:$C$203,A9)/SUMIFS(COMPRAS_HILO!$D$4:$D$203,COMPRAS_HILO!$C$4:$C$203,A9),0)</f>
        <v>0</v>
      </c>
      <c r="D9" s="79">
        <f t="shared" si="1"/>
        <v>0</v>
      </c>
      <c r="E9" s="80"/>
      <c r="F9" s="81">
        <f t="shared" si="2"/>
        <v>0</v>
      </c>
    </row>
    <row r="10">
      <c r="A10" s="77" t="str">
        <f>IF(HILOS!A10="","",HILOS!A10)</f>
        <v>hilo 50/1 cottom</v>
      </c>
      <c r="B10" s="12">
        <f>IFERROR(SUMIFS(PROGRAMAS!$S$4:$S$103,PROGRAMAS!$D$4:$D$103,A10),0)</f>
        <v>0</v>
      </c>
      <c r="C10" s="78">
        <f>IFERROR(SUMIFS(COMPRAS_HILO!$H$4:$H$203,COMPRAS_HILO!$C$4:$C$203,A10)/SUMIFS(COMPRAS_HILO!$D$4:$D$203,COMPRAS_HILO!$C$4:$C$203,A10),0)</f>
        <v>0</v>
      </c>
      <c r="D10" s="79">
        <f t="shared" si="1"/>
        <v>0</v>
      </c>
      <c r="E10" s="80"/>
      <c r="F10" s="81">
        <f t="shared" si="2"/>
        <v>0</v>
      </c>
    </row>
    <row r="11">
      <c r="A11" s="77" t="str">
        <f>IF(HILOS!A11="","",HILOS!A11)</f>
        <v>hilo 50/1 cotton +lycra 4%</v>
      </c>
      <c r="B11" s="12">
        <f>IFERROR(SUMIFS(PROGRAMAS!$S$4:$S$103,PROGRAMAS!$D$4:$D$103,A11),0)</f>
        <v>0</v>
      </c>
      <c r="C11" s="78">
        <f>IFERROR(SUMIFS(COMPRAS_HILO!$H$4:$H$203,COMPRAS_HILO!$C$4:$C$203,A11)/SUMIFS(COMPRAS_HILO!$D$4:$D$203,COMPRAS_HILO!$C$4:$C$203,A11),0)</f>
        <v>19.25</v>
      </c>
      <c r="D11" s="79">
        <f t="shared" si="1"/>
        <v>0</v>
      </c>
      <c r="E11" s="80"/>
      <c r="F11" s="81">
        <f t="shared" si="2"/>
        <v>0</v>
      </c>
    </row>
    <row r="12">
      <c r="A12" s="77" t="str">
        <f>IF(HILOS!A12="","",HILOS!A12)</f>
        <v/>
      </c>
      <c r="B12" s="12">
        <f>IFERROR(SUMIFS(PROGRAMAS!$S$4:$S$103,PROGRAMAS!$D$4:$D$103,A12),0)</f>
        <v>0</v>
      </c>
      <c r="C12" s="78">
        <f>IFERROR(SUMIFS(COMPRAS_HILO!$H$4:$H$203,COMPRAS_HILO!$C$4:$C$203,A12)/SUMIFS(COMPRAS_HILO!$D$4:$D$203,COMPRAS_HILO!$C$4:$C$203,A12),0)</f>
        <v>0</v>
      </c>
      <c r="D12" s="79">
        <f t="shared" si="1"/>
        <v>0</v>
      </c>
      <c r="E12" s="80"/>
      <c r="F12" s="81">
        <f t="shared" si="2"/>
        <v>0</v>
      </c>
    </row>
    <row r="13">
      <c r="A13" s="77" t="str">
        <f>IF(HILOS!A13="","",HILOS!A13)</f>
        <v/>
      </c>
      <c r="B13" s="12">
        <f>IFERROR(SUMIFS(PROGRAMAS!$S$4:$S$103,PROGRAMAS!$D$4:$D$103,A13),0)</f>
        <v>0</v>
      </c>
      <c r="C13" s="78">
        <f>IFERROR(SUMIFS(COMPRAS_HILO!$H$4:$H$203,COMPRAS_HILO!$C$4:$C$203,A13)/SUMIFS(COMPRAS_HILO!$D$4:$D$203,COMPRAS_HILO!$C$4:$C$203,A13),0)</f>
        <v>0</v>
      </c>
      <c r="D13" s="79">
        <f t="shared" si="1"/>
        <v>0</v>
      </c>
      <c r="E13" s="80"/>
      <c r="F13" s="81">
        <f t="shared" si="2"/>
        <v>0</v>
      </c>
    </row>
    <row r="14">
      <c r="A14" s="77" t="str">
        <f>IF(HILOS!A14="","",HILOS!A14)</f>
        <v/>
      </c>
      <c r="B14" s="12">
        <f>IFERROR(SUMIFS(PROGRAMAS!$S$4:$S$103,PROGRAMAS!$D$4:$D$103,A14),0)</f>
        <v>0</v>
      </c>
      <c r="C14" s="78">
        <f>IFERROR(SUMIFS(COMPRAS_HILO!$H$4:$H$203,COMPRAS_HILO!$C$4:$C$203,A14)/SUMIFS(COMPRAS_HILO!$D$4:$D$203,COMPRAS_HILO!$C$4:$C$203,A14),0)</f>
        <v>0</v>
      </c>
      <c r="D14" s="79">
        <f t="shared" si="1"/>
        <v>0</v>
      </c>
      <c r="E14" s="80"/>
      <c r="F14" s="81">
        <f t="shared" si="2"/>
        <v>0</v>
      </c>
    </row>
    <row r="15">
      <c r="A15" s="77" t="str">
        <f>IF(HILOS!A15="","",HILOS!A15)</f>
        <v/>
      </c>
      <c r="B15" s="12">
        <f>IFERROR(SUMIFS(PROGRAMAS!$S$4:$S$103,PROGRAMAS!$D$4:$D$103,A15),0)</f>
        <v>0</v>
      </c>
      <c r="C15" s="78">
        <f>IFERROR(SUMIFS(COMPRAS_HILO!$H$4:$H$203,COMPRAS_HILO!$C$4:$C$203,A15)/SUMIFS(COMPRAS_HILO!$D$4:$D$203,COMPRAS_HILO!$C$4:$C$203,A15),0)</f>
        <v>0</v>
      </c>
      <c r="D15" s="79">
        <f t="shared" si="1"/>
        <v>0</v>
      </c>
      <c r="E15" s="80"/>
      <c r="F15" s="81">
        <f t="shared" si="2"/>
        <v>0</v>
      </c>
    </row>
    <row r="16">
      <c r="A16" s="77" t="str">
        <f>IF(HILOS!A16="","",HILOS!A16)</f>
        <v/>
      </c>
      <c r="B16" s="12">
        <f>IFERROR(SUMIFS(PROGRAMAS!$S$4:$S$103,PROGRAMAS!$D$4:$D$103,A16),0)</f>
        <v>0</v>
      </c>
      <c r="C16" s="78">
        <f>IFERROR(SUMIFS(COMPRAS_HILO!$H$4:$H$203,COMPRAS_HILO!$C$4:$C$203,A16)/SUMIFS(COMPRAS_HILO!$D$4:$D$203,COMPRAS_HILO!$C$4:$C$203,A16),0)</f>
        <v>0</v>
      </c>
      <c r="D16" s="79">
        <f t="shared" si="1"/>
        <v>0</v>
      </c>
      <c r="E16" s="80"/>
      <c r="F16" s="81">
        <f t="shared" si="2"/>
        <v>0</v>
      </c>
    </row>
    <row r="17">
      <c r="A17" s="77" t="str">
        <f>IF(HILOS!A17="","",HILOS!A17)</f>
        <v/>
      </c>
      <c r="B17" s="12">
        <f>IFERROR(SUMIFS(PROGRAMAS!$S$4:$S$103,PROGRAMAS!$D$4:$D$103,A17),0)</f>
        <v>0</v>
      </c>
      <c r="C17" s="78">
        <f>IFERROR(SUMIFS(COMPRAS_HILO!$H$4:$H$203,COMPRAS_HILO!$C$4:$C$203,A17)/SUMIFS(COMPRAS_HILO!$D$4:$D$203,COMPRAS_HILO!$C$4:$C$203,A17),0)</f>
        <v>0</v>
      </c>
      <c r="D17" s="79">
        <f t="shared" si="1"/>
        <v>0</v>
      </c>
      <c r="E17" s="80"/>
      <c r="F17" s="81">
        <f t="shared" si="2"/>
        <v>0</v>
      </c>
    </row>
    <row r="18">
      <c r="A18" s="77" t="str">
        <f>IF(HILOS!A18="","",HILOS!A18)</f>
        <v/>
      </c>
      <c r="B18" s="12">
        <f>IFERROR(SUMIFS(PROGRAMAS!$S$4:$S$103,PROGRAMAS!$D$4:$D$103,A18),0)</f>
        <v>0</v>
      </c>
      <c r="C18" s="78">
        <f>IFERROR(SUMIFS(COMPRAS_HILO!$H$4:$H$203,COMPRAS_HILO!$C$4:$C$203,A18)/SUMIFS(COMPRAS_HILO!$D$4:$D$203,COMPRAS_HILO!$C$4:$C$203,A18),0)</f>
        <v>0</v>
      </c>
      <c r="D18" s="79">
        <f t="shared" si="1"/>
        <v>0</v>
      </c>
      <c r="E18" s="80"/>
      <c r="F18" s="81">
        <f t="shared" si="2"/>
        <v>0</v>
      </c>
    </row>
    <row r="19">
      <c r="A19" s="77" t="str">
        <f>IF(HILOS!A19="","",HILOS!A19)</f>
        <v/>
      </c>
      <c r="B19" s="12">
        <f>IFERROR(SUMIFS(PROGRAMAS!$S$4:$S$103,PROGRAMAS!$D$4:$D$103,A19),0)</f>
        <v>0</v>
      </c>
      <c r="C19" s="78">
        <f>IFERROR(SUMIFS(COMPRAS_HILO!$H$4:$H$203,COMPRAS_HILO!$C$4:$C$203,A19)/SUMIFS(COMPRAS_HILO!$D$4:$D$203,COMPRAS_HILO!$C$4:$C$203,A19),0)</f>
        <v>0</v>
      </c>
      <c r="D19" s="79">
        <f t="shared" si="1"/>
        <v>0</v>
      </c>
      <c r="E19" s="80"/>
      <c r="F19" s="81">
        <f t="shared" si="2"/>
        <v>0</v>
      </c>
    </row>
    <row r="20">
      <c r="A20" s="77" t="str">
        <f>IF(HILOS!A20="","",HILOS!A20)</f>
        <v/>
      </c>
      <c r="B20" s="12">
        <f>IFERROR(SUMIFS(PROGRAMAS!$S$4:$S$103,PROGRAMAS!$D$4:$D$103,A20),0)</f>
        <v>0</v>
      </c>
      <c r="C20" s="78">
        <f>IFERROR(SUMIFS(COMPRAS_HILO!$H$4:$H$203,COMPRAS_HILO!$C$4:$C$203,A20)/SUMIFS(COMPRAS_HILO!$D$4:$D$203,COMPRAS_HILO!$C$4:$C$203,A20),0)</f>
        <v>0</v>
      </c>
      <c r="D20" s="79">
        <f t="shared" si="1"/>
        <v>0</v>
      </c>
      <c r="E20" s="80"/>
      <c r="F20" s="81">
        <f t="shared" si="2"/>
        <v>0</v>
      </c>
    </row>
    <row r="21" ht="15.75" customHeight="1">
      <c r="A21" s="77" t="str">
        <f>IF(HILOS!A21="","",HILOS!A21)</f>
        <v/>
      </c>
      <c r="B21" s="12">
        <f>IFERROR(SUMIFS(PROGRAMAS!$S$4:$S$103,PROGRAMAS!$D$4:$D$103,A21),0)</f>
        <v>0</v>
      </c>
      <c r="C21" s="78">
        <f>IFERROR(SUMIFS(COMPRAS_HILO!$H$4:$H$203,COMPRAS_HILO!$C$4:$C$203,A21)/SUMIFS(COMPRAS_HILO!$D$4:$D$203,COMPRAS_HILO!$C$4:$C$203,A21),0)</f>
        <v>0</v>
      </c>
      <c r="D21" s="79">
        <f t="shared" si="1"/>
        <v>0</v>
      </c>
      <c r="E21" s="80"/>
      <c r="F21" s="81">
        <f t="shared" si="2"/>
        <v>0</v>
      </c>
    </row>
    <row r="22" ht="15.75" customHeight="1">
      <c r="A22" s="77" t="str">
        <f>IF(HILOS!A22="","",HILOS!A22)</f>
        <v/>
      </c>
      <c r="B22" s="12">
        <f>IFERROR(SUMIFS(PROGRAMAS!$S$4:$S$103,PROGRAMAS!$D$4:$D$103,A22),0)</f>
        <v>0</v>
      </c>
      <c r="C22" s="78">
        <f>IFERROR(SUMIFS(COMPRAS_HILO!$H$4:$H$203,COMPRAS_HILO!$C$4:$C$203,A22)/SUMIFS(COMPRAS_HILO!$D$4:$D$203,COMPRAS_HILO!$C$4:$C$203,A22),0)</f>
        <v>0</v>
      </c>
      <c r="D22" s="79">
        <f t="shared" si="1"/>
        <v>0</v>
      </c>
      <c r="E22" s="80"/>
      <c r="F22" s="81">
        <f t="shared" si="2"/>
        <v>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6E6E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0"/>
    <col customWidth="1" min="2" max="2" width="22.0"/>
    <col customWidth="1" min="3" max="4" width="14.0"/>
    <col customWidth="1" min="5" max="6" width="16.0"/>
    <col customWidth="1" min="7" max="7" width="24.0"/>
    <col customWidth="1" min="8" max="26" width="8.71"/>
  </cols>
  <sheetData>
    <row r="1" ht="27.75" customHeight="1">
      <c r="A1" s="75" t="s">
        <v>290</v>
      </c>
      <c r="B1" s="2"/>
      <c r="C1" s="2"/>
      <c r="D1" s="2"/>
      <c r="E1" s="2"/>
      <c r="F1" s="2"/>
      <c r="G1" s="3"/>
    </row>
    <row r="2">
      <c r="A2" s="4" t="s">
        <v>291</v>
      </c>
    </row>
    <row r="3" ht="25.5" customHeight="1">
      <c r="A3" s="76" t="s">
        <v>269</v>
      </c>
      <c r="B3" s="76" t="s">
        <v>218</v>
      </c>
      <c r="C3" s="76" t="s">
        <v>292</v>
      </c>
      <c r="D3" s="76" t="s">
        <v>293</v>
      </c>
      <c r="E3" s="76" t="s">
        <v>294</v>
      </c>
      <c r="F3" s="76" t="s">
        <v>295</v>
      </c>
      <c r="G3" s="76" t="s">
        <v>11</v>
      </c>
    </row>
    <row r="4" ht="21.75" customHeight="1">
      <c r="A4" s="82" t="s">
        <v>296</v>
      </c>
      <c r="B4" s="2"/>
      <c r="C4" s="2"/>
      <c r="D4" s="2"/>
      <c r="E4" s="2"/>
      <c r="F4" s="2"/>
      <c r="G4" s="3"/>
    </row>
    <row r="5">
      <c r="A5" s="83" t="s">
        <v>221</v>
      </c>
      <c r="B5" s="84" t="str">
        <f>IF(HILOS!A4="","",HILOS!A4)</f>
        <v>Hilo 30/1 PC</v>
      </c>
      <c r="C5" s="12">
        <f>IFERROR(SUMIFS(COMPRAS_HILO!$D$4:$D$203,COMPRAS_HILO!$C$4:$C$203,B5),0)</f>
        <v>4000</v>
      </c>
      <c r="D5" s="12">
        <f>IFERROR(SUMIFS(PROGRAMAS!$Q$4:$Q$103,PROGRAMAS!$D$4:$D$103,B5),0)</f>
        <v>1000</v>
      </c>
      <c r="E5" s="85">
        <f t="shared" ref="E5:E23" si="1">C5-D5</f>
        <v>3000</v>
      </c>
      <c r="F5" s="79">
        <f>IFERROR(E5*SUMIFS(COMPRAS_HILO!$H$4:$H$203,COMPRAS_HILO!$C$4:$C$203,B5)/SUMIFS(COMPRAS_HILO!$D$4:$D$203,COMPRAS_HILO!$C$4:$C$203,B5),0)</f>
        <v>31162.5</v>
      </c>
    </row>
    <row r="6">
      <c r="A6" s="83" t="s">
        <v>221</v>
      </c>
      <c r="B6" s="84" t="str">
        <f>IF(HILOS!A5="","",HILOS!A5)</f>
        <v>Hilo 20/1 PC</v>
      </c>
      <c r="C6" s="12">
        <f>IFERROR(SUMIFS(COMPRAS_HILO!$D$4:$D$203,COMPRAS_HILO!$C$4:$C$203,B6),0)</f>
        <v>0</v>
      </c>
      <c r="D6" s="12">
        <f>IFERROR(SUMIFS(PROGRAMAS!$Q$4:$Q$103,PROGRAMAS!$D$4:$D$103,B6),0)</f>
        <v>0</v>
      </c>
      <c r="E6" s="85">
        <f t="shared" si="1"/>
        <v>0</v>
      </c>
      <c r="F6" s="79">
        <f>IFERROR(E6*SUMIFS(COMPRAS_HILO!$H$4:$H$203,COMPRAS_HILO!$C$4:$C$203,B6)/SUMIFS(COMPRAS_HILO!$D$4:$D$203,COMPRAS_HILO!$C$4:$C$203,B6),0)</f>
        <v>0</v>
      </c>
    </row>
    <row r="7">
      <c r="A7" s="83" t="s">
        <v>221</v>
      </c>
      <c r="B7" s="84" t="str">
        <f>IF(HILOS!A6="","",HILOS!A6)</f>
        <v>Hilo 30/1 ALGODON</v>
      </c>
      <c r="C7" s="12">
        <f>IFERROR(SUMIFS(COMPRAS_HILO!$D$4:$D$203,COMPRAS_HILO!$C$4:$C$203,B7),0)</f>
        <v>660</v>
      </c>
      <c r="D7" s="12">
        <f>IFERROR(SUMIFS(PROGRAMAS!$Q$4:$Q$103,PROGRAMAS!$D$4:$D$103,B7),0)</f>
        <v>0</v>
      </c>
      <c r="E7" s="85">
        <f t="shared" si="1"/>
        <v>660</v>
      </c>
      <c r="F7" s="79">
        <f>IFERROR(E7*SUMIFS(COMPRAS_HILO!$H$4:$H$203,COMPRAS_HILO!$C$4:$C$203,B7)/SUMIFS(COMPRAS_HILO!$D$4:$D$203,COMPRAS_HILO!$C$4:$C$203,B7),0)</f>
        <v>9108</v>
      </c>
    </row>
    <row r="8">
      <c r="A8" s="83" t="s">
        <v>221</v>
      </c>
      <c r="B8" s="84" t="str">
        <f>IF(HILOS!A7="","",HILOS!A7)</f>
        <v>Hilo 24/1 Algodón</v>
      </c>
      <c r="C8" s="12">
        <f>IFERROR(SUMIFS(COMPRAS_HILO!$D$4:$D$203,COMPRAS_HILO!$C$4:$C$203,B8),0)</f>
        <v>0</v>
      </c>
      <c r="D8" s="12">
        <f>IFERROR(SUMIFS(PROGRAMAS!$Q$4:$Q$103,PROGRAMAS!$D$4:$D$103,B8),0)</f>
        <v>0</v>
      </c>
      <c r="E8" s="85">
        <f t="shared" si="1"/>
        <v>0</v>
      </c>
      <c r="F8" s="79">
        <f>IFERROR(E8*SUMIFS(COMPRAS_HILO!$H$4:$H$203,COMPRAS_HILO!$C$4:$C$203,B8)/SUMIFS(COMPRAS_HILO!$D$4:$D$203,COMPRAS_HILO!$C$4:$C$203,B8),0)</f>
        <v>0</v>
      </c>
    </row>
    <row r="9">
      <c r="A9" s="83" t="s">
        <v>221</v>
      </c>
      <c r="B9" s="84" t="str">
        <f>IF(HILOS!A8="","",HILOS!A8)</f>
        <v>Hilo 50/1 Pima</v>
      </c>
      <c r="C9" s="12">
        <f>IFERROR(SUMIFS(COMPRAS_HILO!$D$4:$D$203,COMPRAS_HILO!$C$4:$C$203,B9),0)</f>
        <v>0</v>
      </c>
      <c r="D9" s="12">
        <f>IFERROR(SUMIFS(PROGRAMAS!$Q$4:$Q$103,PROGRAMAS!$D$4:$D$103,B9),0)</f>
        <v>0</v>
      </c>
      <c r="E9" s="85">
        <f t="shared" si="1"/>
        <v>0</v>
      </c>
      <c r="F9" s="79">
        <f>IFERROR(E9*SUMIFS(COMPRAS_HILO!$H$4:$H$203,COMPRAS_HILO!$C$4:$C$203,B9)/SUMIFS(COMPRAS_HILO!$D$4:$D$203,COMPRAS_HILO!$C$4:$C$203,B9),0)</f>
        <v>0</v>
      </c>
    </row>
    <row r="10">
      <c r="A10" s="83" t="s">
        <v>221</v>
      </c>
      <c r="B10" s="84" t="str">
        <f>IF(HILOS!A9="","",HILOS!A9)</f>
        <v>Hilo 30/1 con Lycra</v>
      </c>
      <c r="C10" s="12">
        <f>IFERROR(SUMIFS(COMPRAS_HILO!$D$4:$D$203,COMPRAS_HILO!$C$4:$C$203,B10),0)</f>
        <v>0</v>
      </c>
      <c r="D10" s="12">
        <f>IFERROR(SUMIFS(PROGRAMAS!$Q$4:$Q$103,PROGRAMAS!$D$4:$D$103,B10),0)</f>
        <v>0</v>
      </c>
      <c r="E10" s="85">
        <f t="shared" si="1"/>
        <v>0</v>
      </c>
      <c r="F10" s="79">
        <f>IFERROR(E10*SUMIFS(COMPRAS_HILO!$H$4:$H$203,COMPRAS_HILO!$C$4:$C$203,B10)/SUMIFS(COMPRAS_HILO!$D$4:$D$203,COMPRAS_HILO!$C$4:$C$203,B10),0)</f>
        <v>0</v>
      </c>
    </row>
    <row r="11">
      <c r="A11" s="83" t="s">
        <v>221</v>
      </c>
      <c r="B11" s="84" t="str">
        <f>IF(HILOS!A10="","",HILOS!A10)</f>
        <v>hilo 50/1 cottom</v>
      </c>
      <c r="C11" s="12">
        <f>IFERROR(SUMIFS(COMPRAS_HILO!$D$4:$D$203,COMPRAS_HILO!$C$4:$C$203,B11),0)</f>
        <v>0</v>
      </c>
      <c r="D11" s="12">
        <f>IFERROR(SUMIFS(PROGRAMAS!$Q$4:$Q$103,PROGRAMAS!$D$4:$D$103,B11),0)</f>
        <v>0</v>
      </c>
      <c r="E11" s="85">
        <f t="shared" si="1"/>
        <v>0</v>
      </c>
      <c r="F11" s="79">
        <f>IFERROR(E11*SUMIFS(COMPRAS_HILO!$H$4:$H$203,COMPRAS_HILO!$C$4:$C$203,B11)/SUMIFS(COMPRAS_HILO!$D$4:$D$203,COMPRAS_HILO!$C$4:$C$203,B11),0)</f>
        <v>0</v>
      </c>
    </row>
    <row r="12">
      <c r="A12" s="83" t="s">
        <v>221</v>
      </c>
      <c r="B12" s="84" t="str">
        <f>IF(HILOS!A11="","",HILOS!A11)</f>
        <v>hilo 50/1 cotton +lycra 4%</v>
      </c>
      <c r="C12" s="12">
        <f>IFERROR(SUMIFS(COMPRAS_HILO!$D$4:$D$203,COMPRAS_HILO!$C$4:$C$203,B12),0)</f>
        <v>500</v>
      </c>
      <c r="D12" s="12">
        <f>IFERROR(SUMIFS(PROGRAMAS!$Q$4:$Q$103,PROGRAMAS!$D$4:$D$103,B12),0)</f>
        <v>500</v>
      </c>
      <c r="E12" s="85">
        <f t="shared" si="1"/>
        <v>0</v>
      </c>
      <c r="F12" s="79">
        <f>IFERROR(E12*SUMIFS(COMPRAS_HILO!$H$4:$H$203,COMPRAS_HILO!$C$4:$C$203,B12)/SUMIFS(COMPRAS_HILO!$D$4:$D$203,COMPRAS_HILO!$C$4:$C$203,B12),0)</f>
        <v>0</v>
      </c>
    </row>
    <row r="13">
      <c r="A13" s="83" t="s">
        <v>221</v>
      </c>
      <c r="B13" s="84" t="str">
        <f>IF(HILOS!A12="","",HILOS!A12)</f>
        <v/>
      </c>
      <c r="C13" s="12">
        <f>IFERROR(SUMIFS(COMPRAS_HILO!$D$4:$D$203,COMPRAS_HILO!$C$4:$C$203,B13),0)</f>
        <v>0</v>
      </c>
      <c r="D13" s="12">
        <f>IFERROR(SUMIFS(PROGRAMAS!$Q$4:$Q$103,PROGRAMAS!$D$4:$D$103,B13),0)</f>
        <v>0</v>
      </c>
      <c r="E13" s="85">
        <f t="shared" si="1"/>
        <v>0</v>
      </c>
      <c r="F13" s="79">
        <f>IFERROR(E13*SUMIFS(COMPRAS_HILO!$H$4:$H$203,COMPRAS_HILO!$C$4:$C$203,B13)/SUMIFS(COMPRAS_HILO!$D$4:$D$203,COMPRAS_HILO!$C$4:$C$203,B13),0)</f>
        <v>0</v>
      </c>
    </row>
    <row r="14">
      <c r="A14" s="83" t="s">
        <v>221</v>
      </c>
      <c r="B14" s="84" t="str">
        <f>IF(HILOS!A13="","",HILOS!A13)</f>
        <v/>
      </c>
      <c r="C14" s="12">
        <f>IFERROR(SUMIFS(COMPRAS_HILO!$D$4:$D$203,COMPRAS_HILO!$C$4:$C$203,B14),0)</f>
        <v>0</v>
      </c>
      <c r="D14" s="12">
        <f>IFERROR(SUMIFS(PROGRAMAS!$Q$4:$Q$103,PROGRAMAS!$D$4:$D$103,B14),0)</f>
        <v>0</v>
      </c>
      <c r="E14" s="85">
        <f t="shared" si="1"/>
        <v>0</v>
      </c>
      <c r="F14" s="79">
        <f>IFERROR(E14*SUMIFS(COMPRAS_HILO!$H$4:$H$203,COMPRAS_HILO!$C$4:$C$203,B14)/SUMIFS(COMPRAS_HILO!$D$4:$D$203,COMPRAS_HILO!$C$4:$C$203,B14),0)</f>
        <v>0</v>
      </c>
    </row>
    <row r="15">
      <c r="A15" s="83" t="s">
        <v>221</v>
      </c>
      <c r="B15" s="84" t="str">
        <f>IF(HILOS!A14="","",HILOS!A14)</f>
        <v/>
      </c>
      <c r="C15" s="12">
        <f>IFERROR(SUMIFS(COMPRAS_HILO!$D$4:$D$203,COMPRAS_HILO!$C$4:$C$203,B15),0)</f>
        <v>0</v>
      </c>
      <c r="D15" s="12">
        <f>IFERROR(SUMIFS(PROGRAMAS!$Q$4:$Q$103,PROGRAMAS!$D$4:$D$103,B15),0)</f>
        <v>0</v>
      </c>
      <c r="E15" s="85">
        <f t="shared" si="1"/>
        <v>0</v>
      </c>
      <c r="F15" s="79">
        <f>IFERROR(E15*SUMIFS(COMPRAS_HILO!$H$4:$H$203,COMPRAS_HILO!$C$4:$C$203,B15)/SUMIFS(COMPRAS_HILO!$D$4:$D$203,COMPRAS_HILO!$C$4:$C$203,B15),0)</f>
        <v>0</v>
      </c>
    </row>
    <row r="16">
      <c r="A16" s="83" t="s">
        <v>221</v>
      </c>
      <c r="B16" s="84" t="str">
        <f>IF(HILOS!A15="","",HILOS!A15)</f>
        <v/>
      </c>
      <c r="C16" s="12">
        <f>IFERROR(SUMIFS(COMPRAS_HILO!$D$4:$D$203,COMPRAS_HILO!$C$4:$C$203,B16),0)</f>
        <v>0</v>
      </c>
      <c r="D16" s="12">
        <f>IFERROR(SUMIFS(PROGRAMAS!$Q$4:$Q$103,PROGRAMAS!$D$4:$D$103,B16),0)</f>
        <v>0</v>
      </c>
      <c r="E16" s="85">
        <f t="shared" si="1"/>
        <v>0</v>
      </c>
      <c r="F16" s="79">
        <f>IFERROR(E16*SUMIFS(COMPRAS_HILO!$H$4:$H$203,COMPRAS_HILO!$C$4:$C$203,B16)/SUMIFS(COMPRAS_HILO!$D$4:$D$203,COMPRAS_HILO!$C$4:$C$203,B16),0)</f>
        <v>0</v>
      </c>
    </row>
    <row r="17">
      <c r="A17" s="83" t="s">
        <v>221</v>
      </c>
      <c r="B17" s="84" t="str">
        <f>IF(HILOS!A16="","",HILOS!A16)</f>
        <v/>
      </c>
      <c r="C17" s="12">
        <f>IFERROR(SUMIFS(COMPRAS_HILO!$D$4:$D$203,COMPRAS_HILO!$C$4:$C$203,B17),0)</f>
        <v>0</v>
      </c>
      <c r="D17" s="12">
        <f>IFERROR(SUMIFS(PROGRAMAS!$Q$4:$Q$103,PROGRAMAS!$D$4:$D$103,B17),0)</f>
        <v>0</v>
      </c>
      <c r="E17" s="85">
        <f t="shared" si="1"/>
        <v>0</v>
      </c>
      <c r="F17" s="79">
        <f>IFERROR(E17*SUMIFS(COMPRAS_HILO!$H$4:$H$203,COMPRAS_HILO!$C$4:$C$203,B17)/SUMIFS(COMPRAS_HILO!$D$4:$D$203,COMPRAS_HILO!$C$4:$C$203,B17),0)</f>
        <v>0</v>
      </c>
    </row>
    <row r="18">
      <c r="A18" s="83" t="s">
        <v>221</v>
      </c>
      <c r="B18" s="84" t="str">
        <f>IF(HILOS!A17="","",HILOS!A17)</f>
        <v/>
      </c>
      <c r="C18" s="12">
        <f>IFERROR(SUMIFS(COMPRAS_HILO!$D$4:$D$203,COMPRAS_HILO!$C$4:$C$203,B18),0)</f>
        <v>0</v>
      </c>
      <c r="D18" s="12">
        <f>IFERROR(SUMIFS(PROGRAMAS!$Q$4:$Q$103,PROGRAMAS!$D$4:$D$103,B18),0)</f>
        <v>0</v>
      </c>
      <c r="E18" s="85">
        <f t="shared" si="1"/>
        <v>0</v>
      </c>
      <c r="F18" s="79">
        <f>IFERROR(E18*SUMIFS(COMPRAS_HILO!$H$4:$H$203,COMPRAS_HILO!$C$4:$C$203,B18)/SUMIFS(COMPRAS_HILO!$D$4:$D$203,COMPRAS_HILO!$C$4:$C$203,B18),0)</f>
        <v>0</v>
      </c>
    </row>
    <row r="19">
      <c r="A19" s="83" t="s">
        <v>221</v>
      </c>
      <c r="B19" s="84" t="str">
        <f>IF(HILOS!A18="","",HILOS!A18)</f>
        <v/>
      </c>
      <c r="C19" s="12">
        <f>IFERROR(SUMIFS(COMPRAS_HILO!$D$4:$D$203,COMPRAS_HILO!$C$4:$C$203,B19),0)</f>
        <v>0</v>
      </c>
      <c r="D19" s="12">
        <f>IFERROR(SUMIFS(PROGRAMAS!$Q$4:$Q$103,PROGRAMAS!$D$4:$D$103,B19),0)</f>
        <v>0</v>
      </c>
      <c r="E19" s="85">
        <f t="shared" si="1"/>
        <v>0</v>
      </c>
      <c r="F19" s="79">
        <f>IFERROR(E19*SUMIFS(COMPRAS_HILO!$H$4:$H$203,COMPRAS_HILO!$C$4:$C$203,B19)/SUMIFS(COMPRAS_HILO!$D$4:$D$203,COMPRAS_HILO!$C$4:$C$203,B19),0)</f>
        <v>0</v>
      </c>
    </row>
    <row r="20">
      <c r="A20" s="83" t="s">
        <v>221</v>
      </c>
      <c r="B20" s="84" t="str">
        <f>IF(HILOS!A19="","",HILOS!A19)</f>
        <v/>
      </c>
      <c r="C20" s="12">
        <f>IFERROR(SUMIFS(COMPRAS_HILO!$D$4:$D$203,COMPRAS_HILO!$C$4:$C$203,B20),0)</f>
        <v>0</v>
      </c>
      <c r="D20" s="12">
        <f>IFERROR(SUMIFS(PROGRAMAS!$Q$4:$Q$103,PROGRAMAS!$D$4:$D$103,B20),0)</f>
        <v>0</v>
      </c>
      <c r="E20" s="85">
        <f t="shared" si="1"/>
        <v>0</v>
      </c>
      <c r="F20" s="79">
        <f>IFERROR(E20*SUMIFS(COMPRAS_HILO!$H$4:$H$203,COMPRAS_HILO!$C$4:$C$203,B20)/SUMIFS(COMPRAS_HILO!$D$4:$D$203,COMPRAS_HILO!$C$4:$C$203,B20),0)</f>
        <v>0</v>
      </c>
    </row>
    <row r="21" ht="15.75" customHeight="1">
      <c r="A21" s="83" t="s">
        <v>221</v>
      </c>
      <c r="B21" s="84" t="str">
        <f>IF(HILOS!A20="","",HILOS!A20)</f>
        <v/>
      </c>
      <c r="C21" s="12">
        <f>IFERROR(SUMIFS(COMPRAS_HILO!$D$4:$D$203,COMPRAS_HILO!$C$4:$C$203,B21),0)</f>
        <v>0</v>
      </c>
      <c r="D21" s="12">
        <f>IFERROR(SUMIFS(PROGRAMAS!$Q$4:$Q$103,PROGRAMAS!$D$4:$D$103,B21),0)</f>
        <v>0</v>
      </c>
      <c r="E21" s="85">
        <f t="shared" si="1"/>
        <v>0</v>
      </c>
      <c r="F21" s="79">
        <f>IFERROR(E21*SUMIFS(COMPRAS_HILO!$H$4:$H$203,COMPRAS_HILO!$C$4:$C$203,B21)/SUMIFS(COMPRAS_HILO!$D$4:$D$203,COMPRAS_HILO!$C$4:$C$203,B21),0)</f>
        <v>0</v>
      </c>
    </row>
    <row r="22" ht="15.75" customHeight="1">
      <c r="A22" s="83" t="s">
        <v>221</v>
      </c>
      <c r="B22" s="84" t="str">
        <f>IF(HILOS!A21="","",HILOS!A21)</f>
        <v/>
      </c>
      <c r="C22" s="12">
        <f>IFERROR(SUMIFS(COMPRAS_HILO!$D$4:$D$203,COMPRAS_HILO!$C$4:$C$203,B22),0)</f>
        <v>0</v>
      </c>
      <c r="D22" s="12">
        <f>IFERROR(SUMIFS(PROGRAMAS!$Q$4:$Q$103,PROGRAMAS!$D$4:$D$103,B22),0)</f>
        <v>0</v>
      </c>
      <c r="E22" s="85">
        <f t="shared" si="1"/>
        <v>0</v>
      </c>
      <c r="F22" s="79">
        <f>IFERROR(E22*SUMIFS(COMPRAS_HILO!$H$4:$H$203,COMPRAS_HILO!$C$4:$C$203,B22)/SUMIFS(COMPRAS_HILO!$D$4:$D$203,COMPRAS_HILO!$C$4:$C$203,B22),0)</f>
        <v>0</v>
      </c>
    </row>
    <row r="23" ht="15.75" customHeight="1">
      <c r="A23" s="83" t="s">
        <v>221</v>
      </c>
      <c r="B23" s="84" t="str">
        <f>IF(HILOS!A22="","",HILOS!A22)</f>
        <v/>
      </c>
      <c r="C23" s="12">
        <f>IFERROR(SUMIFS(COMPRAS_HILO!$D$4:$D$203,COMPRAS_HILO!$C$4:$C$203,B23),0)</f>
        <v>0</v>
      </c>
      <c r="D23" s="12">
        <f>IFERROR(SUMIFS(PROGRAMAS!$Q$4:$Q$103,PROGRAMAS!$D$4:$D$103,B23),0)</f>
        <v>0</v>
      </c>
      <c r="E23" s="85">
        <f t="shared" si="1"/>
        <v>0</v>
      </c>
      <c r="F23" s="79">
        <f>IFERROR(E23*SUMIFS(COMPRAS_HILO!$H$4:$H$203,COMPRAS_HILO!$C$4:$C$203,B23)/SUMIFS(COMPRAS_HILO!$D$4:$D$203,COMPRAS_HILO!$C$4:$C$203,B23),0)</f>
        <v>0</v>
      </c>
    </row>
    <row r="24" ht="15.75" customHeight="1"/>
    <row r="25" ht="21.75" customHeight="1">
      <c r="A25" s="86" t="s">
        <v>297</v>
      </c>
      <c r="B25" s="2"/>
      <c r="C25" s="2"/>
      <c r="D25" s="2"/>
      <c r="E25" s="2"/>
      <c r="F25" s="2"/>
      <c r="G25" s="3"/>
    </row>
    <row r="26" ht="15.75" customHeight="1">
      <c r="A26" s="87" t="s">
        <v>298</v>
      </c>
      <c r="B26" s="84" t="str">
        <f>IF(PRECIOS_TEJEDURIA!A4="","",PRECIOS_TEJEDURIA!A4)</f>
        <v>Jersey cotton</v>
      </c>
      <c r="C26" s="12">
        <f>IFERROR(SUMIFS(PROGRAMAS!$R$4:$R$103,PROGRAMAS!$G$4:$G$103,B26),0)</f>
        <v>0</v>
      </c>
      <c r="D26" s="12">
        <f>IFERROR(SUMIFS(PROGRAMAS!$V$4:$V$103,PROGRAMAS!$G$4:$G$103,B26),0)</f>
        <v>0</v>
      </c>
      <c r="E26" s="85">
        <f t="shared" ref="E26:E44" si="2">C26-D26</f>
        <v>0</v>
      </c>
      <c r="F26" s="45" t="str">
        <f t="shared" ref="F26:F44" si="3">""</f>
        <v/>
      </c>
    </row>
    <row r="27" ht="15.75" customHeight="1">
      <c r="A27" s="87" t="s">
        <v>298</v>
      </c>
      <c r="B27" s="84" t="str">
        <f>IF(PRECIOS_TEJEDURIA!A5="","",PRECIOS_TEJEDURIA!A5)</f>
        <v>Pique 30/1</v>
      </c>
      <c r="C27" s="12">
        <f>IFERROR(SUMIFS(PROGRAMAS!$R$4:$R$103,PROGRAMAS!$G$4:$G$103,B27),0)</f>
        <v>980</v>
      </c>
      <c r="D27" s="12">
        <f>IFERROR(SUMIFS(PROGRAMAS!$V$4:$V$103,PROGRAMAS!$G$4:$G$103,B27),0)</f>
        <v>980</v>
      </c>
      <c r="E27" s="85">
        <f t="shared" si="2"/>
        <v>0</v>
      </c>
      <c r="F27" s="45" t="str">
        <f t="shared" si="3"/>
        <v/>
      </c>
    </row>
    <row r="28" ht="15.75" customHeight="1">
      <c r="A28" s="87" t="s">
        <v>298</v>
      </c>
      <c r="B28" s="84" t="str">
        <f>IF(PRECIOS_TEJEDURIA!A6="","",PRECIOS_TEJEDURIA!A6)</f>
        <v>Wafle 30/1</v>
      </c>
      <c r="C28" s="12">
        <f>IFERROR(SUMIFS(PROGRAMAS!$R$4:$R$103,PROGRAMAS!$G$4:$G$103,B28),0)</f>
        <v>0</v>
      </c>
      <c r="D28" s="12">
        <f>IFERROR(SUMIFS(PROGRAMAS!$V$4:$V$103,PROGRAMAS!$G$4:$G$103,B28),0)</f>
        <v>0</v>
      </c>
      <c r="E28" s="85">
        <f t="shared" si="2"/>
        <v>0</v>
      </c>
      <c r="F28" s="45" t="str">
        <f t="shared" si="3"/>
        <v/>
      </c>
    </row>
    <row r="29" ht="15.75" customHeight="1">
      <c r="A29" s="87" t="s">
        <v>298</v>
      </c>
      <c r="B29" s="84" t="str">
        <f>IF(PRECIOS_TEJEDURIA!A7="","",PRECIOS_TEJEDURIA!A7)</f>
        <v>French terry 30/1</v>
      </c>
      <c r="C29" s="12">
        <f>IFERROR(SUMIFS(PROGRAMAS!$R$4:$R$103,PROGRAMAS!$G$4:$G$103,B29),0)</f>
        <v>0</v>
      </c>
      <c r="D29" s="12">
        <f>IFERROR(SUMIFS(PROGRAMAS!$V$4:$V$103,PROGRAMAS!$G$4:$G$103,B29),0)</f>
        <v>0</v>
      </c>
      <c r="E29" s="85">
        <f t="shared" si="2"/>
        <v>0</v>
      </c>
      <c r="F29" s="45" t="str">
        <f t="shared" si="3"/>
        <v/>
      </c>
    </row>
    <row r="30" ht="15.75" customHeight="1">
      <c r="A30" s="87" t="s">
        <v>298</v>
      </c>
      <c r="B30" s="84" t="str">
        <f>IF(PRECIOS_TEJEDURIA!A8="","",PRECIOS_TEJEDURIA!A8)</f>
        <v>Rib 1x1</v>
      </c>
      <c r="C30" s="12">
        <f>IFERROR(SUMIFS(PROGRAMAS!$R$4:$R$103,PROGRAMAS!$G$4:$G$103,B30),0)</f>
        <v>0</v>
      </c>
      <c r="D30" s="12">
        <f>IFERROR(SUMIFS(PROGRAMAS!$V$4:$V$103,PROGRAMAS!$G$4:$G$103,B30),0)</f>
        <v>0</v>
      </c>
      <c r="E30" s="85">
        <f t="shared" si="2"/>
        <v>0</v>
      </c>
      <c r="F30" s="45" t="str">
        <f t="shared" si="3"/>
        <v/>
      </c>
    </row>
    <row r="31" ht="15.75" customHeight="1">
      <c r="A31" s="87" t="s">
        <v>298</v>
      </c>
      <c r="B31" s="84" t="str">
        <f>IF(PRECIOS_TEJEDURIA!A9="","",PRECIOS_TEJEDURIA!A9)</f>
        <v>Rib 2x1 lycrado</v>
      </c>
      <c r="C31" s="12">
        <f>IFERROR(SUMIFS(PROGRAMAS!$R$4:$R$103,PROGRAMAS!$G$4:$G$103,B31),0)</f>
        <v>0</v>
      </c>
      <c r="D31" s="12">
        <f>IFERROR(SUMIFS(PROGRAMAS!$V$4:$V$103,PROGRAMAS!$G$4:$G$103,B31),0)</f>
        <v>0</v>
      </c>
      <c r="E31" s="85">
        <f t="shared" si="2"/>
        <v>0</v>
      </c>
      <c r="F31" s="45" t="str">
        <f t="shared" si="3"/>
        <v/>
      </c>
    </row>
    <row r="32" ht="15.75" customHeight="1">
      <c r="A32" s="87" t="s">
        <v>298</v>
      </c>
      <c r="B32" s="84" t="str">
        <f>IF(PRECIOS_TEJEDURIA!A10="","",PRECIOS_TEJEDURIA!A10)</f>
        <v>Interlock 50/1 Pima</v>
      </c>
      <c r="C32" s="12">
        <f>IFERROR(SUMIFS(PROGRAMAS!$R$4:$R$103,PROGRAMAS!$G$4:$G$103,B32),0)</f>
        <v>0</v>
      </c>
      <c r="D32" s="12">
        <f>IFERROR(SUMIFS(PROGRAMAS!$V$4:$V$103,PROGRAMAS!$G$4:$G$103,B32),0)</f>
        <v>0</v>
      </c>
      <c r="E32" s="85">
        <f t="shared" si="2"/>
        <v>0</v>
      </c>
      <c r="F32" s="45" t="str">
        <f t="shared" si="3"/>
        <v/>
      </c>
    </row>
    <row r="33" ht="15.75" customHeight="1">
      <c r="A33" s="87" t="s">
        <v>298</v>
      </c>
      <c r="B33" s="84" t="str">
        <f>IF(PRECIOS_TEJEDURIA!A11="","",PRECIOS_TEJEDURIA!A11)</f>
        <v>Jersey 20/1</v>
      </c>
      <c r="C33" s="12">
        <f>IFERROR(SUMIFS(PROGRAMAS!$R$4:$R$103,PROGRAMAS!$G$4:$G$103,B33),0)</f>
        <v>0</v>
      </c>
      <c r="D33" s="12">
        <f>IFERROR(SUMIFS(PROGRAMAS!$V$4:$V$103,PROGRAMAS!$G$4:$G$103,B33),0)</f>
        <v>0</v>
      </c>
      <c r="E33" s="85">
        <f t="shared" si="2"/>
        <v>0</v>
      </c>
      <c r="F33" s="45" t="str">
        <f t="shared" si="3"/>
        <v/>
      </c>
    </row>
    <row r="34" ht="15.75" customHeight="1">
      <c r="A34" s="87" t="s">
        <v>298</v>
      </c>
      <c r="B34" s="84" t="str">
        <f>IF(PRECIOS_TEJEDURIA!A12="","",PRECIOS_TEJEDURIA!A12)</f>
        <v>full lycra </v>
      </c>
      <c r="C34" s="12">
        <f>IFERROR(SUMIFS(PROGRAMAS!$R$4:$R$103,PROGRAMAS!$G$4:$G$103,B34),0)</f>
        <v>0</v>
      </c>
      <c r="D34" s="12">
        <f>IFERROR(SUMIFS(PROGRAMAS!$V$4:$V$103,PROGRAMAS!$G$4:$G$103,B34),0)</f>
        <v>0</v>
      </c>
      <c r="E34" s="85">
        <f t="shared" si="2"/>
        <v>0</v>
      </c>
      <c r="F34" s="45" t="str">
        <f t="shared" si="3"/>
        <v/>
      </c>
    </row>
    <row r="35" ht="15.75" customHeight="1">
      <c r="A35" s="87" t="s">
        <v>298</v>
      </c>
      <c r="B35" s="84" t="str">
        <f>IF(PRECIOS_TEJEDURIA!A13="","",PRECIOS_TEJEDURIA!A13)</f>
        <v>Pique pima</v>
      </c>
      <c r="C35" s="12">
        <f>IFERROR(SUMIFS(PROGRAMAS!$R$4:$R$103,PROGRAMAS!$G$4:$G$103,B35),0)</f>
        <v>0</v>
      </c>
      <c r="D35" s="12">
        <f>IFERROR(SUMIFS(PROGRAMAS!$V$4:$V$103,PROGRAMAS!$G$4:$G$103,B35),0)</f>
        <v>0</v>
      </c>
      <c r="E35" s="85">
        <f t="shared" si="2"/>
        <v>0</v>
      </c>
      <c r="F35" s="45" t="str">
        <f t="shared" si="3"/>
        <v/>
      </c>
    </row>
    <row r="36" ht="15.75" customHeight="1">
      <c r="A36" s="87" t="s">
        <v>298</v>
      </c>
      <c r="B36" s="84" t="str">
        <f>IF(PRECIOS_TEJEDURIA!A14="","",PRECIOS_TEJEDURIA!A14)</f>
        <v>Wafle pima</v>
      </c>
      <c r="C36" s="12">
        <f>IFERROR(SUMIFS(PROGRAMAS!$R$4:$R$103,PROGRAMAS!$G$4:$G$103,B36),0)</f>
        <v>0</v>
      </c>
      <c r="D36" s="12">
        <f>IFERROR(SUMIFS(PROGRAMAS!$V$4:$V$103,PROGRAMAS!$G$4:$G$103,B36),0)</f>
        <v>0</v>
      </c>
      <c r="E36" s="85">
        <f t="shared" si="2"/>
        <v>0</v>
      </c>
      <c r="F36" s="45" t="str">
        <f t="shared" si="3"/>
        <v/>
      </c>
    </row>
    <row r="37" ht="15.75" customHeight="1">
      <c r="A37" s="87" t="s">
        <v>298</v>
      </c>
      <c r="B37" s="84" t="str">
        <f>IF(PRECIOS_TEJEDURIA!A15="","",PRECIOS_TEJEDURIA!A15)</f>
        <v>French terry pima</v>
      </c>
      <c r="C37" s="12">
        <f>IFERROR(SUMIFS(PROGRAMAS!$R$4:$R$103,PROGRAMAS!$G$4:$G$103,B37),0)</f>
        <v>0</v>
      </c>
      <c r="D37" s="12">
        <f>IFERROR(SUMIFS(PROGRAMAS!$V$4:$V$103,PROGRAMAS!$G$4:$G$103,B37),0)</f>
        <v>0</v>
      </c>
      <c r="E37" s="85">
        <f t="shared" si="2"/>
        <v>0</v>
      </c>
      <c r="F37" s="45" t="str">
        <f t="shared" si="3"/>
        <v/>
      </c>
    </row>
    <row r="38" ht="15.75" customHeight="1">
      <c r="A38" s="87" t="s">
        <v>298</v>
      </c>
      <c r="B38" s="84" t="str">
        <f>IF(PRECIOS_TEJEDURIA!A16="","",PRECIOS_TEJEDURIA!A16)</f>
        <v>jersey pc</v>
      </c>
      <c r="C38" s="12">
        <f>IFERROR(SUMIFS(PROGRAMAS!$R$4:$R$103,PROGRAMAS!$G$4:$G$103,B38),0)</f>
        <v>0</v>
      </c>
      <c r="D38" s="12">
        <f>IFERROR(SUMIFS(PROGRAMAS!$V$4:$V$103,PROGRAMAS!$G$4:$G$103,B38),0)</f>
        <v>0</v>
      </c>
      <c r="E38" s="85">
        <f t="shared" si="2"/>
        <v>0</v>
      </c>
      <c r="F38" s="45" t="str">
        <f t="shared" si="3"/>
        <v/>
      </c>
    </row>
    <row r="39" ht="15.75" customHeight="1">
      <c r="A39" s="87" t="s">
        <v>298</v>
      </c>
      <c r="B39" s="84" t="str">
        <f>IF(PRECIOS_TEJEDURIA!A17="","",PRECIOS_TEJEDURIA!A17)</f>
        <v/>
      </c>
      <c r="C39" s="12">
        <f>IFERROR(SUMIFS(PROGRAMAS!$R$4:$R$103,PROGRAMAS!$G$4:$G$103,B39),0)</f>
        <v>0</v>
      </c>
      <c r="D39" s="12">
        <f>IFERROR(SUMIFS(PROGRAMAS!$V$4:$V$103,PROGRAMAS!$G$4:$G$103,B39),0)</f>
        <v>0</v>
      </c>
      <c r="E39" s="85">
        <f t="shared" si="2"/>
        <v>0</v>
      </c>
      <c r="F39" s="45" t="str">
        <f t="shared" si="3"/>
        <v/>
      </c>
    </row>
    <row r="40" ht="15.75" customHeight="1">
      <c r="A40" s="87" t="s">
        <v>298</v>
      </c>
      <c r="B40" s="84" t="str">
        <f>IF(PRECIOS_TEJEDURIA!A18="","",PRECIOS_TEJEDURIA!A18)</f>
        <v/>
      </c>
      <c r="C40" s="12">
        <f>IFERROR(SUMIFS(PROGRAMAS!$R$4:$R$103,PROGRAMAS!$G$4:$G$103,B40),0)</f>
        <v>0</v>
      </c>
      <c r="D40" s="12">
        <f>IFERROR(SUMIFS(PROGRAMAS!$V$4:$V$103,PROGRAMAS!$G$4:$G$103,B40),0)</f>
        <v>0</v>
      </c>
      <c r="E40" s="85">
        <f t="shared" si="2"/>
        <v>0</v>
      </c>
      <c r="F40" s="45" t="str">
        <f t="shared" si="3"/>
        <v/>
      </c>
    </row>
    <row r="41" ht="15.75" customHeight="1">
      <c r="A41" s="87" t="s">
        <v>298</v>
      </c>
      <c r="B41" s="84" t="str">
        <f>IF(PRECIOS_TEJEDURIA!A19="","",PRECIOS_TEJEDURIA!A19)</f>
        <v/>
      </c>
      <c r="C41" s="12">
        <f>IFERROR(SUMIFS(PROGRAMAS!$R$4:$R$103,PROGRAMAS!$G$4:$G$103,B41),0)</f>
        <v>0</v>
      </c>
      <c r="D41" s="12">
        <f>IFERROR(SUMIFS(PROGRAMAS!$V$4:$V$103,PROGRAMAS!$G$4:$G$103,B41),0)</f>
        <v>0</v>
      </c>
      <c r="E41" s="85">
        <f t="shared" si="2"/>
        <v>0</v>
      </c>
      <c r="F41" s="45" t="str">
        <f t="shared" si="3"/>
        <v/>
      </c>
    </row>
    <row r="42" ht="15.75" customHeight="1">
      <c r="A42" s="87" t="s">
        <v>298</v>
      </c>
      <c r="B42" s="84" t="str">
        <f>IF(PRECIOS_TEJEDURIA!A20="","",PRECIOS_TEJEDURIA!A20)</f>
        <v/>
      </c>
      <c r="C42" s="12">
        <f>IFERROR(SUMIFS(PROGRAMAS!$R$4:$R$103,PROGRAMAS!$G$4:$G$103,B42),0)</f>
        <v>0</v>
      </c>
      <c r="D42" s="12">
        <f>IFERROR(SUMIFS(PROGRAMAS!$V$4:$V$103,PROGRAMAS!$G$4:$G$103,B42),0)</f>
        <v>0</v>
      </c>
      <c r="E42" s="85">
        <f t="shared" si="2"/>
        <v>0</v>
      </c>
      <c r="F42" s="45" t="str">
        <f t="shared" si="3"/>
        <v/>
      </c>
    </row>
    <row r="43" ht="15.75" customHeight="1">
      <c r="A43" s="87" t="s">
        <v>298</v>
      </c>
      <c r="B43" s="84" t="str">
        <f>IF(PRECIOS_TEJEDURIA!A21="","",PRECIOS_TEJEDURIA!A21)</f>
        <v/>
      </c>
      <c r="C43" s="12">
        <f>IFERROR(SUMIFS(PROGRAMAS!$R$4:$R$103,PROGRAMAS!$G$4:$G$103,B43),0)</f>
        <v>0</v>
      </c>
      <c r="D43" s="12">
        <f>IFERROR(SUMIFS(PROGRAMAS!$V$4:$V$103,PROGRAMAS!$G$4:$G$103,B43),0)</f>
        <v>0</v>
      </c>
      <c r="E43" s="85">
        <f t="shared" si="2"/>
        <v>0</v>
      </c>
      <c r="F43" s="45" t="str">
        <f t="shared" si="3"/>
        <v/>
      </c>
    </row>
    <row r="44" ht="15.75" customHeight="1">
      <c r="A44" s="87" t="s">
        <v>298</v>
      </c>
      <c r="B44" s="84" t="str">
        <f>IF(PRECIOS_TEJEDURIA!A22="","",PRECIOS_TEJEDURIA!A22)</f>
        <v/>
      </c>
      <c r="C44" s="12">
        <f>IFERROR(SUMIFS(PROGRAMAS!$R$4:$R$103,PROGRAMAS!$G$4:$G$103,B44),0)</f>
        <v>0</v>
      </c>
      <c r="D44" s="12">
        <f>IFERROR(SUMIFS(PROGRAMAS!$V$4:$V$103,PROGRAMAS!$G$4:$G$103,B44),0)</f>
        <v>0</v>
      </c>
      <c r="E44" s="85">
        <f t="shared" si="2"/>
        <v>0</v>
      </c>
      <c r="F44" s="45" t="str">
        <f t="shared" si="3"/>
        <v/>
      </c>
    </row>
    <row r="45" ht="15.75" customHeight="1"/>
    <row r="46" ht="21.75" customHeight="1">
      <c r="A46" s="88" t="s">
        <v>299</v>
      </c>
      <c r="B46" s="2"/>
      <c r="C46" s="2"/>
      <c r="D46" s="2"/>
      <c r="E46" s="2"/>
      <c r="F46" s="2"/>
      <c r="G46" s="3"/>
    </row>
    <row r="47" ht="15.75" customHeight="1">
      <c r="A47" s="89" t="s">
        <v>300</v>
      </c>
      <c r="B47" s="84" t="str">
        <f>IF(PRECIOS_TEJEDURIA!A4="","",PRECIOS_TEJEDURIA!A4)</f>
        <v>Jersey cotton</v>
      </c>
      <c r="C47" s="12">
        <f>IFERROR(SUMIFS(PROGRAMAS!$W$4:$W$103,PROGRAMAS!$G$4:$G$103,B47),0)</f>
        <v>0</v>
      </c>
      <c r="D47" s="12">
        <v>0.0</v>
      </c>
      <c r="E47" s="85">
        <f t="shared" ref="E47:E65" si="4">C47-D47</f>
        <v>0</v>
      </c>
    </row>
    <row r="48" ht="15.75" customHeight="1">
      <c r="A48" s="89" t="s">
        <v>300</v>
      </c>
      <c r="B48" s="84" t="str">
        <f>IF(PRECIOS_TEJEDURIA!A5="","",PRECIOS_TEJEDURIA!A5)</f>
        <v>Pique 30/1</v>
      </c>
      <c r="C48" s="12">
        <f>IFERROR(SUMIFS(PROGRAMAS!$W$4:$W$103,PROGRAMAS!$G$4:$G$103,B48),0)</f>
        <v>890</v>
      </c>
      <c r="D48" s="12">
        <v>0.0</v>
      </c>
      <c r="E48" s="85">
        <f t="shared" si="4"/>
        <v>890</v>
      </c>
    </row>
    <row r="49" ht="15.75" customHeight="1">
      <c r="A49" s="89" t="s">
        <v>300</v>
      </c>
      <c r="B49" s="84" t="str">
        <f>IF(PRECIOS_TEJEDURIA!A6="","",PRECIOS_TEJEDURIA!A6)</f>
        <v>Wafle 30/1</v>
      </c>
      <c r="C49" s="12">
        <f>IFERROR(SUMIFS(PROGRAMAS!$W$4:$W$103,PROGRAMAS!$G$4:$G$103,B49),0)</f>
        <v>0</v>
      </c>
      <c r="D49" s="12">
        <v>0.0</v>
      </c>
      <c r="E49" s="85">
        <f t="shared" si="4"/>
        <v>0</v>
      </c>
    </row>
    <row r="50" ht="15.75" customHeight="1">
      <c r="A50" s="89" t="s">
        <v>300</v>
      </c>
      <c r="B50" s="84" t="str">
        <f>IF(PRECIOS_TEJEDURIA!A7="","",PRECIOS_TEJEDURIA!A7)</f>
        <v>French terry 30/1</v>
      </c>
      <c r="C50" s="12">
        <f>IFERROR(SUMIFS(PROGRAMAS!$W$4:$W$103,PROGRAMAS!$G$4:$G$103,B50),0)</f>
        <v>0</v>
      </c>
      <c r="D50" s="12">
        <v>0.0</v>
      </c>
      <c r="E50" s="85">
        <f t="shared" si="4"/>
        <v>0</v>
      </c>
    </row>
    <row r="51" ht="15.75" customHeight="1">
      <c r="A51" s="89" t="s">
        <v>300</v>
      </c>
      <c r="B51" s="84" t="str">
        <f>IF(PRECIOS_TEJEDURIA!A8="","",PRECIOS_TEJEDURIA!A8)</f>
        <v>Rib 1x1</v>
      </c>
      <c r="C51" s="12">
        <f>IFERROR(SUMIFS(PROGRAMAS!$W$4:$W$103,PROGRAMAS!$G$4:$G$103,B51),0)</f>
        <v>0</v>
      </c>
      <c r="D51" s="12">
        <v>0.0</v>
      </c>
      <c r="E51" s="85">
        <f t="shared" si="4"/>
        <v>0</v>
      </c>
    </row>
    <row r="52" ht="15.75" customHeight="1">
      <c r="A52" s="89" t="s">
        <v>300</v>
      </c>
      <c r="B52" s="84" t="str">
        <f>IF(PRECIOS_TEJEDURIA!A9="","",PRECIOS_TEJEDURIA!A9)</f>
        <v>Rib 2x1 lycrado</v>
      </c>
      <c r="C52" s="12">
        <f>IFERROR(SUMIFS(PROGRAMAS!$W$4:$W$103,PROGRAMAS!$G$4:$G$103,B52),0)</f>
        <v>0</v>
      </c>
      <c r="D52" s="12">
        <v>0.0</v>
      </c>
      <c r="E52" s="85">
        <f t="shared" si="4"/>
        <v>0</v>
      </c>
    </row>
    <row r="53" ht="15.75" customHeight="1">
      <c r="A53" s="89" t="s">
        <v>300</v>
      </c>
      <c r="B53" s="84" t="str">
        <f>IF(PRECIOS_TEJEDURIA!A10="","",PRECIOS_TEJEDURIA!A10)</f>
        <v>Interlock 50/1 Pima</v>
      </c>
      <c r="C53" s="12">
        <f>IFERROR(SUMIFS(PROGRAMAS!$W$4:$W$103,PROGRAMAS!$G$4:$G$103,B53),0)</f>
        <v>0</v>
      </c>
      <c r="D53" s="12">
        <v>0.0</v>
      </c>
      <c r="E53" s="85">
        <f t="shared" si="4"/>
        <v>0</v>
      </c>
    </row>
    <row r="54" ht="15.75" customHeight="1">
      <c r="A54" s="89" t="s">
        <v>300</v>
      </c>
      <c r="B54" s="84" t="str">
        <f>IF(PRECIOS_TEJEDURIA!A11="","",PRECIOS_TEJEDURIA!A11)</f>
        <v>Jersey 20/1</v>
      </c>
      <c r="C54" s="12">
        <f>IFERROR(SUMIFS(PROGRAMAS!$W$4:$W$103,PROGRAMAS!$G$4:$G$103,B54),0)</f>
        <v>0</v>
      </c>
      <c r="D54" s="12">
        <v>0.0</v>
      </c>
      <c r="E54" s="85">
        <f t="shared" si="4"/>
        <v>0</v>
      </c>
    </row>
    <row r="55" ht="15.75" customHeight="1">
      <c r="A55" s="89" t="s">
        <v>300</v>
      </c>
      <c r="B55" s="84" t="str">
        <f>IF(PRECIOS_TEJEDURIA!A12="","",PRECIOS_TEJEDURIA!A12)</f>
        <v>full lycra </v>
      </c>
      <c r="C55" s="12">
        <f>IFERROR(SUMIFS(PROGRAMAS!$W$4:$W$103,PROGRAMAS!$G$4:$G$103,B55),0)</f>
        <v>0</v>
      </c>
      <c r="D55" s="12">
        <v>0.0</v>
      </c>
      <c r="E55" s="85">
        <f t="shared" si="4"/>
        <v>0</v>
      </c>
    </row>
    <row r="56" ht="15.75" customHeight="1">
      <c r="A56" s="89" t="s">
        <v>300</v>
      </c>
      <c r="B56" s="84" t="str">
        <f>IF(PRECIOS_TEJEDURIA!A13="","",PRECIOS_TEJEDURIA!A13)</f>
        <v>Pique pima</v>
      </c>
      <c r="C56" s="12">
        <f>IFERROR(SUMIFS(PROGRAMAS!$W$4:$W$103,PROGRAMAS!$G$4:$G$103,B56),0)</f>
        <v>0</v>
      </c>
      <c r="D56" s="12">
        <v>0.0</v>
      </c>
      <c r="E56" s="85">
        <f t="shared" si="4"/>
        <v>0</v>
      </c>
    </row>
    <row r="57" ht="15.75" customHeight="1">
      <c r="A57" s="89" t="s">
        <v>300</v>
      </c>
      <c r="B57" s="84" t="str">
        <f>IF(PRECIOS_TEJEDURIA!A14="","",PRECIOS_TEJEDURIA!A14)</f>
        <v>Wafle pima</v>
      </c>
      <c r="C57" s="12">
        <f>IFERROR(SUMIFS(PROGRAMAS!$W$4:$W$103,PROGRAMAS!$G$4:$G$103,B57),0)</f>
        <v>0</v>
      </c>
      <c r="D57" s="12">
        <v>0.0</v>
      </c>
      <c r="E57" s="85">
        <f t="shared" si="4"/>
        <v>0</v>
      </c>
    </row>
    <row r="58" ht="15.75" customHeight="1">
      <c r="A58" s="89" t="s">
        <v>300</v>
      </c>
      <c r="B58" s="84" t="str">
        <f>IF(PRECIOS_TEJEDURIA!A15="","",PRECIOS_TEJEDURIA!A15)</f>
        <v>French terry pima</v>
      </c>
      <c r="C58" s="12">
        <f>IFERROR(SUMIFS(PROGRAMAS!$W$4:$W$103,PROGRAMAS!$G$4:$G$103,B58),0)</f>
        <v>0</v>
      </c>
      <c r="D58" s="12">
        <v>0.0</v>
      </c>
      <c r="E58" s="85">
        <f t="shared" si="4"/>
        <v>0</v>
      </c>
    </row>
    <row r="59" ht="15.75" customHeight="1">
      <c r="A59" s="89" t="s">
        <v>300</v>
      </c>
      <c r="B59" s="84" t="str">
        <f>IF(PRECIOS_TEJEDURIA!A16="","",PRECIOS_TEJEDURIA!A16)</f>
        <v>jersey pc</v>
      </c>
      <c r="C59" s="12">
        <f>IFERROR(SUMIFS(PROGRAMAS!$W$4:$W$103,PROGRAMAS!$G$4:$G$103,B59),0)</f>
        <v>0</v>
      </c>
      <c r="D59" s="12">
        <v>0.0</v>
      </c>
      <c r="E59" s="85">
        <f t="shared" si="4"/>
        <v>0</v>
      </c>
    </row>
    <row r="60" ht="15.75" customHeight="1">
      <c r="A60" s="89" t="s">
        <v>300</v>
      </c>
      <c r="B60" s="84" t="str">
        <f>IF(PRECIOS_TEJEDURIA!A17="","",PRECIOS_TEJEDURIA!A17)</f>
        <v/>
      </c>
      <c r="C60" s="12">
        <f>IFERROR(SUMIFS(PROGRAMAS!$W$4:$W$103,PROGRAMAS!$G$4:$G$103,B60),0)</f>
        <v>0</v>
      </c>
      <c r="D60" s="12">
        <v>0.0</v>
      </c>
      <c r="E60" s="85">
        <f t="shared" si="4"/>
        <v>0</v>
      </c>
    </row>
    <row r="61" ht="15.75" customHeight="1">
      <c r="A61" s="89" t="s">
        <v>300</v>
      </c>
      <c r="B61" s="84" t="str">
        <f>IF(PRECIOS_TEJEDURIA!A18="","",PRECIOS_TEJEDURIA!A18)</f>
        <v/>
      </c>
      <c r="C61" s="12">
        <f>IFERROR(SUMIFS(PROGRAMAS!$W$4:$W$103,PROGRAMAS!$G$4:$G$103,B61),0)</f>
        <v>0</v>
      </c>
      <c r="D61" s="12">
        <v>0.0</v>
      </c>
      <c r="E61" s="85">
        <f t="shared" si="4"/>
        <v>0</v>
      </c>
    </row>
    <row r="62" ht="15.75" customHeight="1">
      <c r="A62" s="89" t="s">
        <v>300</v>
      </c>
      <c r="B62" s="84" t="str">
        <f>IF(PRECIOS_TEJEDURIA!A19="","",PRECIOS_TEJEDURIA!A19)</f>
        <v/>
      </c>
      <c r="C62" s="12">
        <f>IFERROR(SUMIFS(PROGRAMAS!$W$4:$W$103,PROGRAMAS!$G$4:$G$103,B62),0)</f>
        <v>0</v>
      </c>
      <c r="D62" s="12">
        <v>0.0</v>
      </c>
      <c r="E62" s="85">
        <f t="shared" si="4"/>
        <v>0</v>
      </c>
    </row>
    <row r="63" ht="15.75" customHeight="1">
      <c r="A63" s="89" t="s">
        <v>300</v>
      </c>
      <c r="B63" s="84" t="str">
        <f>IF(PRECIOS_TEJEDURIA!A20="","",PRECIOS_TEJEDURIA!A20)</f>
        <v/>
      </c>
      <c r="C63" s="12">
        <f>IFERROR(SUMIFS(PROGRAMAS!$W$4:$W$103,PROGRAMAS!$G$4:$G$103,B63),0)</f>
        <v>0</v>
      </c>
      <c r="D63" s="12">
        <v>0.0</v>
      </c>
      <c r="E63" s="85">
        <f t="shared" si="4"/>
        <v>0</v>
      </c>
    </row>
    <row r="64" ht="15.75" customHeight="1">
      <c r="A64" s="89" t="s">
        <v>300</v>
      </c>
      <c r="B64" s="84" t="str">
        <f>IF(PRECIOS_TEJEDURIA!A21="","",PRECIOS_TEJEDURIA!A21)</f>
        <v/>
      </c>
      <c r="C64" s="12">
        <f>IFERROR(SUMIFS(PROGRAMAS!$W$4:$W$103,PROGRAMAS!$G$4:$G$103,B64),0)</f>
        <v>0</v>
      </c>
      <c r="D64" s="12">
        <v>0.0</v>
      </c>
      <c r="E64" s="85">
        <f t="shared" si="4"/>
        <v>0</v>
      </c>
    </row>
    <row r="65" ht="15.75" customHeight="1">
      <c r="A65" s="89" t="s">
        <v>300</v>
      </c>
      <c r="B65" s="84" t="str">
        <f>IF(PRECIOS_TEJEDURIA!A22="","",PRECIOS_TEJEDURIA!A22)</f>
        <v/>
      </c>
      <c r="C65" s="12">
        <f>IFERROR(SUMIFS(PROGRAMAS!$W$4:$W$103,PROGRAMAS!$G$4:$G$103,B65),0)</f>
        <v>0</v>
      </c>
      <c r="D65" s="12">
        <v>0.0</v>
      </c>
      <c r="E65" s="85">
        <f t="shared" si="4"/>
        <v>0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G1"/>
    <mergeCell ref="A2:G2"/>
    <mergeCell ref="A4:G4"/>
    <mergeCell ref="A25:G25"/>
    <mergeCell ref="A46:G46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12.0"/>
    <col customWidth="1" min="3" max="3" width="22.0"/>
    <col customWidth="1" min="4" max="4" width="14.0"/>
    <col customWidth="1" min="5" max="5" width="30.0"/>
    <col customWidth="1" min="6" max="8" width="14.0"/>
    <col customWidth="1" min="9" max="9" width="12.0"/>
    <col customWidth="1" min="10" max="26" width="8.71"/>
  </cols>
  <sheetData>
    <row r="1" ht="27.75" customHeight="1">
      <c r="A1" s="90" t="s">
        <v>301</v>
      </c>
      <c r="B1" s="2"/>
      <c r="C1" s="2"/>
      <c r="D1" s="2"/>
      <c r="E1" s="2"/>
      <c r="F1" s="2"/>
      <c r="G1" s="2"/>
      <c r="H1" s="2"/>
      <c r="I1" s="3"/>
    </row>
    <row r="2">
      <c r="A2" s="4" t="s">
        <v>302</v>
      </c>
    </row>
    <row r="3" ht="25.5" customHeight="1">
      <c r="A3" s="91" t="s">
        <v>303</v>
      </c>
      <c r="B3" s="91" t="s">
        <v>61</v>
      </c>
      <c r="C3" s="91" t="s">
        <v>68</v>
      </c>
      <c r="D3" s="91" t="s">
        <v>69</v>
      </c>
      <c r="E3" s="91" t="s">
        <v>304</v>
      </c>
      <c r="F3" s="91" t="s">
        <v>67</v>
      </c>
      <c r="G3" s="91" t="s">
        <v>305</v>
      </c>
      <c r="H3" s="91" t="s">
        <v>75</v>
      </c>
      <c r="I3" s="91" t="s">
        <v>10</v>
      </c>
    </row>
    <row r="4">
      <c r="A4" s="92" t="s">
        <v>221</v>
      </c>
      <c r="B4" s="93">
        <f>IF(COMPRAS_HILO!A4="","",COMPRAS_HILO!A4)</f>
        <v>46113</v>
      </c>
      <c r="C4" s="84" t="str">
        <f>IF(COMPRAS_HILO!I4="","",COMPRAS_HILO!I4)</f>
        <v>COTTON MIX</v>
      </c>
      <c r="D4" s="94" t="str">
        <f>IF(COMPRAS_HILO!J4="","",COMPRAS_HILO!J4)</f>
        <v>COTTOON-001</v>
      </c>
      <c r="E4" s="84" t="str">
        <f>IF(COMPRAS_HILO!C4="","","Compra "&amp;COMPRAS_HILO!C4)</f>
        <v>Compra Hilo 30/1 PC</v>
      </c>
      <c r="F4" s="95">
        <f>IF(COMPRAS_HILO!H4=0,"",COMPRAS_HILO!H4)</f>
        <v>10500</v>
      </c>
      <c r="G4" s="95">
        <f>IF(COMPRAS_HILO!O4=0,"",COMPRAS_HILO!O4)</f>
        <v>10500</v>
      </c>
      <c r="H4" s="95" t="str">
        <f>IF(COMPRAS_HILO!P4=0,"",COMPRAS_HILO!P4)</f>
        <v/>
      </c>
      <c r="I4" s="94" t="str">
        <f>IF(COMPRAS_HILO!M4="","",COMPRAS_HILO!M4)</f>
        <v>PAGADO</v>
      </c>
    </row>
    <row r="5">
      <c r="A5" s="92" t="s">
        <v>221</v>
      </c>
      <c r="B5" s="93">
        <f>IF(COMPRAS_HILO!A5="","",COMPRAS_HILO!A5)</f>
        <v>46152</v>
      </c>
      <c r="C5" s="84" t="str">
        <f>IF(COMPRAS_HILO!I5="","",COMPRAS_HILO!I5)</f>
        <v>COTTON MIX</v>
      </c>
      <c r="D5" s="94" t="str">
        <f>IF(COMPRAS_HILO!J5="","",COMPRAS_HILO!J5)</f>
        <v>f002-4472</v>
      </c>
      <c r="E5" s="84" t="str">
        <f>IF(COMPRAS_HILO!C5="","","Compra "&amp;COMPRAS_HILO!C5)</f>
        <v>Compra hilo 50/1 cotton +lycra 4%</v>
      </c>
      <c r="F5" s="95">
        <f>IF(COMPRAS_HILO!H5=0,"",COMPRAS_HILO!H5)</f>
        <v>9625</v>
      </c>
      <c r="G5" s="95">
        <f>IF(COMPRAS_HILO!O5=0,"",COMPRAS_HILO!O5)</f>
        <v>9525</v>
      </c>
      <c r="H5" s="95">
        <f>IF(COMPRAS_HILO!P5=0,"",COMPRAS_HILO!P5)</f>
        <v>100</v>
      </c>
      <c r="I5" s="94" t="str">
        <f>IF(COMPRAS_HILO!M5="","",COMPRAS_HILO!M5)</f>
        <v>PAGADO</v>
      </c>
    </row>
    <row r="6">
      <c r="A6" s="92" t="s">
        <v>221</v>
      </c>
      <c r="B6" s="93" t="str">
        <f>IF(COMPRAS_HILO!A6="","",COMPRAS_HILO!A6)</f>
        <v/>
      </c>
      <c r="C6" s="84" t="str">
        <f>IF(COMPRAS_HILO!I6="","",COMPRAS_HILO!I6)</f>
        <v>COTTON MIX</v>
      </c>
      <c r="D6" s="94" t="str">
        <f>IF(COMPRAS_HILO!J6="","",COMPRAS_HILO!J6)</f>
        <v/>
      </c>
      <c r="E6" s="84" t="str">
        <f>IF(COMPRAS_HILO!C6="","","Compra "&amp;COMPRAS_HILO!C6)</f>
        <v>Compra Hilo 30/1 PC</v>
      </c>
      <c r="F6" s="95">
        <f>IF(COMPRAS_HILO!H6=0,"",COMPRAS_HILO!H6)</f>
        <v>31050</v>
      </c>
      <c r="G6" s="95" t="str">
        <f>IF(COMPRAS_HILO!O6=0,"",COMPRAS_HILO!O6)</f>
        <v/>
      </c>
      <c r="H6" s="95">
        <f>IF(COMPRAS_HILO!P6=0,"",COMPRAS_HILO!P6)</f>
        <v>31050</v>
      </c>
      <c r="I6" s="94" t="str">
        <f>IF(COMPRAS_HILO!M6="","",COMPRAS_HILO!M6)</f>
        <v>PAGADO</v>
      </c>
    </row>
    <row r="7">
      <c r="A7" s="92" t="s">
        <v>221</v>
      </c>
      <c r="B7" s="93" t="str">
        <f>IF(COMPRAS_HILO!A7="","",COMPRAS_HILO!A7)</f>
        <v/>
      </c>
      <c r="C7" s="84" t="str">
        <f>IF(COMPRAS_HILO!I7="","",COMPRAS_HILO!I7)</f>
        <v>COTTON MIX</v>
      </c>
      <c r="D7" s="94" t="str">
        <f>IF(COMPRAS_HILO!J7="","",COMPRAS_HILO!J7)</f>
        <v/>
      </c>
      <c r="E7" s="84" t="str">
        <f>IF(COMPRAS_HILO!C7="","","Compra "&amp;COMPRAS_HILO!C7)</f>
        <v>Compra Hilo 30/1 ALGODON</v>
      </c>
      <c r="F7" s="95">
        <f>IF(COMPRAS_HILO!H7=0,"",COMPRAS_HILO!H7)</f>
        <v>9108</v>
      </c>
      <c r="G7" s="95" t="str">
        <f>IF(COMPRAS_HILO!O7=0,"",COMPRAS_HILO!O7)</f>
        <v/>
      </c>
      <c r="H7" s="95">
        <f>IF(COMPRAS_HILO!P7=0,"",COMPRAS_HILO!P7)</f>
        <v>9108</v>
      </c>
      <c r="I7" s="94" t="str">
        <f>IF(COMPRAS_HILO!M7="","",COMPRAS_HILO!M7)</f>
        <v>PAGADO</v>
      </c>
    </row>
    <row r="8">
      <c r="A8" s="92" t="s">
        <v>221</v>
      </c>
      <c r="B8" s="93" t="str">
        <f>IF(COMPRAS_HILO!A8="","",COMPRAS_HILO!A8)</f>
        <v/>
      </c>
      <c r="C8" s="84" t="str">
        <f>IF(COMPRAS_HILO!I8="","",COMPRAS_HILO!I8)</f>
        <v/>
      </c>
      <c r="D8" s="94" t="str">
        <f>IF(COMPRAS_HILO!J8="","",COMPRAS_HILO!J8)</f>
        <v/>
      </c>
      <c r="E8" s="84" t="str">
        <f>IF(COMPRAS_HILO!C8="","","Compra "&amp;COMPRAS_HILO!C8)</f>
        <v/>
      </c>
      <c r="F8" s="95" t="str">
        <f>IF(COMPRAS_HILO!H8=0,"",COMPRAS_HILO!H8)</f>
        <v/>
      </c>
      <c r="G8" s="95" t="str">
        <f>IF(COMPRAS_HILO!O8=0,"",COMPRAS_HILO!O8)</f>
        <v/>
      </c>
      <c r="H8" s="95" t="str">
        <f>IF(COMPRAS_HILO!P8=0,"",COMPRAS_HILO!P8)</f>
        <v/>
      </c>
      <c r="I8" s="94" t="str">
        <f>IF(COMPRAS_HILO!M8="","",COMPRAS_HILO!M8)</f>
        <v/>
      </c>
    </row>
    <row r="9">
      <c r="A9" s="92" t="s">
        <v>221</v>
      </c>
      <c r="B9" s="93" t="str">
        <f>IF(COMPRAS_HILO!A9="","",COMPRAS_HILO!A9)</f>
        <v/>
      </c>
      <c r="C9" s="84" t="str">
        <f>IF(COMPRAS_HILO!I9="","",COMPRAS_HILO!I9)</f>
        <v/>
      </c>
      <c r="D9" s="94" t="str">
        <f>IF(COMPRAS_HILO!J9="","",COMPRAS_HILO!J9)</f>
        <v/>
      </c>
      <c r="E9" s="84" t="str">
        <f>IF(COMPRAS_HILO!C9="","","Compra "&amp;COMPRAS_HILO!C9)</f>
        <v/>
      </c>
      <c r="F9" s="95" t="str">
        <f>IF(COMPRAS_HILO!H9=0,"",COMPRAS_HILO!H9)</f>
        <v/>
      </c>
      <c r="G9" s="95" t="str">
        <f>IF(COMPRAS_HILO!O9=0,"",COMPRAS_HILO!O9)</f>
        <v/>
      </c>
      <c r="H9" s="95" t="str">
        <f>IF(COMPRAS_HILO!P9=0,"",COMPRAS_HILO!P9)</f>
        <v/>
      </c>
      <c r="I9" s="94" t="str">
        <f>IF(COMPRAS_HILO!M9="","",COMPRAS_HILO!M9)</f>
        <v/>
      </c>
    </row>
    <row r="10">
      <c r="A10" s="92" t="s">
        <v>221</v>
      </c>
      <c r="B10" s="93" t="str">
        <f>IF(COMPRAS_HILO!A10="","",COMPRAS_HILO!A10)</f>
        <v/>
      </c>
      <c r="C10" s="84" t="str">
        <f>IF(COMPRAS_HILO!I10="","",COMPRAS_HILO!I10)</f>
        <v/>
      </c>
      <c r="D10" s="94" t="str">
        <f>IF(COMPRAS_HILO!J10="","",COMPRAS_HILO!J10)</f>
        <v/>
      </c>
      <c r="E10" s="84" t="str">
        <f>IF(COMPRAS_HILO!C10="","","Compra "&amp;COMPRAS_HILO!C10)</f>
        <v/>
      </c>
      <c r="F10" s="95" t="str">
        <f>IF(COMPRAS_HILO!H10=0,"",COMPRAS_HILO!H10)</f>
        <v/>
      </c>
      <c r="G10" s="95" t="str">
        <f>IF(COMPRAS_HILO!O10=0,"",COMPRAS_HILO!O10)</f>
        <v/>
      </c>
      <c r="H10" s="95" t="str">
        <f>IF(COMPRAS_HILO!P10=0,"",COMPRAS_HILO!P10)</f>
        <v/>
      </c>
      <c r="I10" s="94" t="str">
        <f>IF(COMPRAS_HILO!M10="","",COMPRAS_HILO!M10)</f>
        <v/>
      </c>
    </row>
    <row r="11">
      <c r="A11" s="92" t="s">
        <v>221</v>
      </c>
      <c r="B11" s="93" t="str">
        <f>IF(COMPRAS_HILO!A11="","",COMPRAS_HILO!A11)</f>
        <v/>
      </c>
      <c r="C11" s="84" t="str">
        <f>IF(COMPRAS_HILO!I11="","",COMPRAS_HILO!I11)</f>
        <v/>
      </c>
      <c r="D11" s="94" t="str">
        <f>IF(COMPRAS_HILO!J11="","",COMPRAS_HILO!J11)</f>
        <v/>
      </c>
      <c r="E11" s="84" t="str">
        <f>IF(COMPRAS_HILO!C11="","","Compra "&amp;COMPRAS_HILO!C11)</f>
        <v/>
      </c>
      <c r="F11" s="95" t="str">
        <f>IF(COMPRAS_HILO!H11=0,"",COMPRAS_HILO!H11)</f>
        <v/>
      </c>
      <c r="G11" s="95" t="str">
        <f>IF(COMPRAS_HILO!O11=0,"",COMPRAS_HILO!O11)</f>
        <v/>
      </c>
      <c r="H11" s="95" t="str">
        <f>IF(COMPRAS_HILO!P11=0,"",COMPRAS_HILO!P11)</f>
        <v/>
      </c>
      <c r="I11" s="94" t="str">
        <f>IF(COMPRAS_HILO!M11="","",COMPRAS_HILO!M11)</f>
        <v/>
      </c>
    </row>
    <row r="12">
      <c r="A12" s="92" t="s">
        <v>221</v>
      </c>
      <c r="B12" s="93" t="str">
        <f>IF(COMPRAS_HILO!A12="","",COMPRAS_HILO!A12)</f>
        <v/>
      </c>
      <c r="C12" s="84" t="str">
        <f>IF(COMPRAS_HILO!I12="","",COMPRAS_HILO!I12)</f>
        <v/>
      </c>
      <c r="D12" s="94" t="str">
        <f>IF(COMPRAS_HILO!J12="","",COMPRAS_HILO!J12)</f>
        <v/>
      </c>
      <c r="E12" s="84" t="str">
        <f>IF(COMPRAS_HILO!C12="","","Compra "&amp;COMPRAS_HILO!C12)</f>
        <v/>
      </c>
      <c r="F12" s="95" t="str">
        <f>IF(COMPRAS_HILO!H12=0,"",COMPRAS_HILO!H12)</f>
        <v/>
      </c>
      <c r="G12" s="95" t="str">
        <f>IF(COMPRAS_HILO!O12=0,"",COMPRAS_HILO!O12)</f>
        <v/>
      </c>
      <c r="H12" s="95" t="str">
        <f>IF(COMPRAS_HILO!P12=0,"",COMPRAS_HILO!P12)</f>
        <v/>
      </c>
      <c r="I12" s="94" t="str">
        <f>IF(COMPRAS_HILO!M12="","",COMPRAS_HILO!M12)</f>
        <v/>
      </c>
    </row>
    <row r="13">
      <c r="A13" s="92" t="s">
        <v>221</v>
      </c>
      <c r="B13" s="93" t="str">
        <f>IF(COMPRAS_HILO!A13="","",COMPRAS_HILO!A13)</f>
        <v/>
      </c>
      <c r="C13" s="84" t="str">
        <f>IF(COMPRAS_HILO!I13="","",COMPRAS_HILO!I13)</f>
        <v/>
      </c>
      <c r="D13" s="94" t="str">
        <f>IF(COMPRAS_HILO!J13="","",COMPRAS_HILO!J13)</f>
        <v/>
      </c>
      <c r="E13" s="84" t="str">
        <f>IF(COMPRAS_HILO!C13="","","Compra "&amp;COMPRAS_HILO!C13)</f>
        <v/>
      </c>
      <c r="F13" s="95" t="str">
        <f>IF(COMPRAS_HILO!H13=0,"",COMPRAS_HILO!H13)</f>
        <v/>
      </c>
      <c r="G13" s="95" t="str">
        <f>IF(COMPRAS_HILO!O13=0,"",COMPRAS_HILO!O13)</f>
        <v/>
      </c>
      <c r="H13" s="95" t="str">
        <f>IF(COMPRAS_HILO!P13=0,"",COMPRAS_HILO!P13)</f>
        <v/>
      </c>
      <c r="I13" s="94" t="str">
        <f>IF(COMPRAS_HILO!M13="","",COMPRAS_HILO!M13)</f>
        <v/>
      </c>
    </row>
    <row r="14">
      <c r="A14" s="92" t="s">
        <v>221</v>
      </c>
      <c r="B14" s="93" t="str">
        <f>IF(COMPRAS_HILO!A14="","",COMPRAS_HILO!A14)</f>
        <v/>
      </c>
      <c r="C14" s="84" t="str">
        <f>IF(COMPRAS_HILO!I14="","",COMPRAS_HILO!I14)</f>
        <v/>
      </c>
      <c r="D14" s="94" t="str">
        <f>IF(COMPRAS_HILO!J14="","",COMPRAS_HILO!J14)</f>
        <v/>
      </c>
      <c r="E14" s="84" t="str">
        <f>IF(COMPRAS_HILO!C14="","","Compra "&amp;COMPRAS_HILO!C14)</f>
        <v/>
      </c>
      <c r="F14" s="95" t="str">
        <f>IF(COMPRAS_HILO!H14=0,"",COMPRAS_HILO!H14)</f>
        <v/>
      </c>
      <c r="G14" s="95" t="str">
        <f>IF(COMPRAS_HILO!O14=0,"",COMPRAS_HILO!O14)</f>
        <v/>
      </c>
      <c r="H14" s="95" t="str">
        <f>IF(COMPRAS_HILO!P14=0,"",COMPRAS_HILO!P14)</f>
        <v/>
      </c>
      <c r="I14" s="94" t="str">
        <f>IF(COMPRAS_HILO!M14="","",COMPRAS_HILO!M14)</f>
        <v/>
      </c>
    </row>
    <row r="15">
      <c r="A15" s="92" t="s">
        <v>221</v>
      </c>
      <c r="B15" s="93" t="str">
        <f>IF(COMPRAS_HILO!A15="","",COMPRAS_HILO!A15)</f>
        <v/>
      </c>
      <c r="C15" s="84" t="str">
        <f>IF(COMPRAS_HILO!I15="","",COMPRAS_HILO!I15)</f>
        <v/>
      </c>
      <c r="D15" s="94" t="str">
        <f>IF(COMPRAS_HILO!J15="","",COMPRAS_HILO!J15)</f>
        <v/>
      </c>
      <c r="E15" s="84" t="str">
        <f>IF(COMPRAS_HILO!C15="","","Compra "&amp;COMPRAS_HILO!C15)</f>
        <v/>
      </c>
      <c r="F15" s="95" t="str">
        <f>IF(COMPRAS_HILO!H15=0,"",COMPRAS_HILO!H15)</f>
        <v/>
      </c>
      <c r="G15" s="95" t="str">
        <f>IF(COMPRAS_HILO!O15=0,"",COMPRAS_HILO!O15)</f>
        <v/>
      </c>
      <c r="H15" s="95" t="str">
        <f>IF(COMPRAS_HILO!P15=0,"",COMPRAS_HILO!P15)</f>
        <v/>
      </c>
      <c r="I15" s="94" t="str">
        <f>IF(COMPRAS_HILO!M15="","",COMPRAS_HILO!M15)</f>
        <v/>
      </c>
    </row>
    <row r="16">
      <c r="A16" s="92" t="s">
        <v>221</v>
      </c>
      <c r="B16" s="93" t="str">
        <f>IF(COMPRAS_HILO!A16="","",COMPRAS_HILO!A16)</f>
        <v/>
      </c>
      <c r="C16" s="84" t="str">
        <f>IF(COMPRAS_HILO!I16="","",COMPRAS_HILO!I16)</f>
        <v/>
      </c>
      <c r="D16" s="94" t="str">
        <f>IF(COMPRAS_HILO!J16="","",COMPRAS_HILO!J16)</f>
        <v/>
      </c>
      <c r="E16" s="84" t="str">
        <f>IF(COMPRAS_HILO!C16="","","Compra "&amp;COMPRAS_HILO!C16)</f>
        <v/>
      </c>
      <c r="F16" s="95" t="str">
        <f>IF(COMPRAS_HILO!H16=0,"",COMPRAS_HILO!H16)</f>
        <v/>
      </c>
      <c r="G16" s="95" t="str">
        <f>IF(COMPRAS_HILO!O16=0,"",COMPRAS_HILO!O16)</f>
        <v/>
      </c>
      <c r="H16" s="95" t="str">
        <f>IF(COMPRAS_HILO!P16=0,"",COMPRAS_HILO!P16)</f>
        <v/>
      </c>
      <c r="I16" s="94" t="str">
        <f>IF(COMPRAS_HILO!M16="","",COMPRAS_HILO!M16)</f>
        <v/>
      </c>
    </row>
    <row r="17">
      <c r="A17" s="92" t="s">
        <v>221</v>
      </c>
      <c r="B17" s="93" t="str">
        <f>IF(COMPRAS_HILO!A17="","",COMPRAS_HILO!A17)</f>
        <v/>
      </c>
      <c r="C17" s="84" t="str">
        <f>IF(COMPRAS_HILO!I17="","",COMPRAS_HILO!I17)</f>
        <v/>
      </c>
      <c r="D17" s="94" t="str">
        <f>IF(COMPRAS_HILO!J17="","",COMPRAS_HILO!J17)</f>
        <v/>
      </c>
      <c r="E17" s="84" t="str">
        <f>IF(COMPRAS_HILO!C17="","","Compra "&amp;COMPRAS_HILO!C17)</f>
        <v/>
      </c>
      <c r="F17" s="95" t="str">
        <f>IF(COMPRAS_HILO!H17=0,"",COMPRAS_HILO!H17)</f>
        <v/>
      </c>
      <c r="G17" s="95" t="str">
        <f>IF(COMPRAS_HILO!O17=0,"",COMPRAS_HILO!O17)</f>
        <v/>
      </c>
      <c r="H17" s="95" t="str">
        <f>IF(COMPRAS_HILO!P17=0,"",COMPRAS_HILO!P17)</f>
        <v/>
      </c>
      <c r="I17" s="94" t="str">
        <f>IF(COMPRAS_HILO!M17="","",COMPRAS_HILO!M17)</f>
        <v/>
      </c>
    </row>
    <row r="18">
      <c r="A18" s="92" t="s">
        <v>221</v>
      </c>
      <c r="B18" s="93" t="str">
        <f>IF(COMPRAS_HILO!A18="","",COMPRAS_HILO!A18)</f>
        <v/>
      </c>
      <c r="C18" s="84" t="str">
        <f>IF(COMPRAS_HILO!I18="","",COMPRAS_HILO!I18)</f>
        <v/>
      </c>
      <c r="D18" s="94" t="str">
        <f>IF(COMPRAS_HILO!J18="","",COMPRAS_HILO!J18)</f>
        <v/>
      </c>
      <c r="E18" s="84" t="str">
        <f>IF(COMPRAS_HILO!C18="","","Compra "&amp;COMPRAS_HILO!C18)</f>
        <v/>
      </c>
      <c r="F18" s="95" t="str">
        <f>IF(COMPRAS_HILO!H18=0,"",COMPRAS_HILO!H18)</f>
        <v/>
      </c>
      <c r="G18" s="95" t="str">
        <f>IF(COMPRAS_HILO!O18=0,"",COMPRAS_HILO!O18)</f>
        <v/>
      </c>
      <c r="H18" s="95" t="str">
        <f>IF(COMPRAS_HILO!P18=0,"",COMPRAS_HILO!P18)</f>
        <v/>
      </c>
      <c r="I18" s="94" t="str">
        <f>IF(COMPRAS_HILO!M18="","",COMPRAS_HILO!M18)</f>
        <v/>
      </c>
    </row>
    <row r="19">
      <c r="A19" s="92" t="s">
        <v>221</v>
      </c>
      <c r="B19" s="93" t="str">
        <f>IF(COMPRAS_HILO!A19="","",COMPRAS_HILO!A19)</f>
        <v/>
      </c>
      <c r="C19" s="84" t="str">
        <f>IF(COMPRAS_HILO!I19="","",COMPRAS_HILO!I19)</f>
        <v/>
      </c>
      <c r="D19" s="94" t="str">
        <f>IF(COMPRAS_HILO!J19="","",COMPRAS_HILO!J19)</f>
        <v/>
      </c>
      <c r="E19" s="84" t="str">
        <f>IF(COMPRAS_HILO!C19="","","Compra "&amp;COMPRAS_HILO!C19)</f>
        <v/>
      </c>
      <c r="F19" s="95" t="str">
        <f>IF(COMPRAS_HILO!H19=0,"",COMPRAS_HILO!H19)</f>
        <v/>
      </c>
      <c r="G19" s="95" t="str">
        <f>IF(COMPRAS_HILO!O19=0,"",COMPRAS_HILO!O19)</f>
        <v/>
      </c>
      <c r="H19" s="95" t="str">
        <f>IF(COMPRAS_HILO!P19=0,"",COMPRAS_HILO!P19)</f>
        <v/>
      </c>
      <c r="I19" s="94" t="str">
        <f>IF(COMPRAS_HILO!M19="","",COMPRAS_HILO!M19)</f>
        <v/>
      </c>
    </row>
    <row r="20">
      <c r="A20" s="92" t="s">
        <v>221</v>
      </c>
      <c r="B20" s="93" t="str">
        <f>IF(COMPRAS_HILO!A20="","",COMPRAS_HILO!A20)</f>
        <v/>
      </c>
      <c r="C20" s="84" t="str">
        <f>IF(COMPRAS_HILO!I20="","",COMPRAS_HILO!I20)</f>
        <v/>
      </c>
      <c r="D20" s="94" t="str">
        <f>IF(COMPRAS_HILO!J20="","",COMPRAS_HILO!J20)</f>
        <v/>
      </c>
      <c r="E20" s="84" t="str">
        <f>IF(COMPRAS_HILO!C20="","","Compra "&amp;COMPRAS_HILO!C20)</f>
        <v/>
      </c>
      <c r="F20" s="95" t="str">
        <f>IF(COMPRAS_HILO!H20=0,"",COMPRAS_HILO!H20)</f>
        <v/>
      </c>
      <c r="G20" s="95" t="str">
        <f>IF(COMPRAS_HILO!O20=0,"",COMPRAS_HILO!O20)</f>
        <v/>
      </c>
      <c r="H20" s="95" t="str">
        <f>IF(COMPRAS_HILO!P20=0,"",COMPRAS_HILO!P20)</f>
        <v/>
      </c>
      <c r="I20" s="94" t="str">
        <f>IF(COMPRAS_HILO!M20="","",COMPRAS_HILO!M20)</f>
        <v/>
      </c>
    </row>
    <row r="21" ht="15.75" customHeight="1">
      <c r="A21" s="92" t="s">
        <v>221</v>
      </c>
      <c r="B21" s="93" t="str">
        <f>IF(COMPRAS_HILO!A21="","",COMPRAS_HILO!A21)</f>
        <v/>
      </c>
      <c r="C21" s="84" t="str">
        <f>IF(COMPRAS_HILO!I21="","",COMPRAS_HILO!I21)</f>
        <v/>
      </c>
      <c r="D21" s="94" t="str">
        <f>IF(COMPRAS_HILO!J21="","",COMPRAS_HILO!J21)</f>
        <v/>
      </c>
      <c r="E21" s="84" t="str">
        <f>IF(COMPRAS_HILO!C21="","","Compra "&amp;COMPRAS_HILO!C21)</f>
        <v/>
      </c>
      <c r="F21" s="95" t="str">
        <f>IF(COMPRAS_HILO!H21=0,"",COMPRAS_HILO!H21)</f>
        <v/>
      </c>
      <c r="G21" s="95" t="str">
        <f>IF(COMPRAS_HILO!O21=0,"",COMPRAS_HILO!O21)</f>
        <v/>
      </c>
      <c r="H21" s="95" t="str">
        <f>IF(COMPRAS_HILO!P21=0,"",COMPRAS_HILO!P21)</f>
        <v/>
      </c>
      <c r="I21" s="94" t="str">
        <f>IF(COMPRAS_HILO!M21="","",COMPRAS_HILO!M21)</f>
        <v/>
      </c>
    </row>
    <row r="22" ht="15.75" customHeight="1">
      <c r="A22" s="92" t="s">
        <v>221</v>
      </c>
      <c r="B22" s="93" t="str">
        <f>IF(COMPRAS_HILO!A22="","",COMPRAS_HILO!A22)</f>
        <v/>
      </c>
      <c r="C22" s="84" t="str">
        <f>IF(COMPRAS_HILO!I22="","",COMPRAS_HILO!I22)</f>
        <v/>
      </c>
      <c r="D22" s="94" t="str">
        <f>IF(COMPRAS_HILO!J22="","",COMPRAS_HILO!J22)</f>
        <v/>
      </c>
      <c r="E22" s="84" t="str">
        <f>IF(COMPRAS_HILO!C22="","","Compra "&amp;COMPRAS_HILO!C22)</f>
        <v/>
      </c>
      <c r="F22" s="95" t="str">
        <f>IF(COMPRAS_HILO!H22=0,"",COMPRAS_HILO!H22)</f>
        <v/>
      </c>
      <c r="G22" s="95" t="str">
        <f>IF(COMPRAS_HILO!O22=0,"",COMPRAS_HILO!O22)</f>
        <v/>
      </c>
      <c r="H22" s="95" t="str">
        <f>IF(COMPRAS_HILO!P22=0,"",COMPRAS_HILO!P22)</f>
        <v/>
      </c>
      <c r="I22" s="94" t="str">
        <f>IF(COMPRAS_HILO!M22="","",COMPRAS_HILO!M22)</f>
        <v/>
      </c>
    </row>
    <row r="23" ht="15.75" customHeight="1">
      <c r="A23" s="92" t="s">
        <v>221</v>
      </c>
      <c r="B23" s="93" t="str">
        <f>IF(COMPRAS_HILO!A23="","",COMPRAS_HILO!A23)</f>
        <v/>
      </c>
      <c r="C23" s="84" t="str">
        <f>IF(COMPRAS_HILO!I23="","",COMPRAS_HILO!I23)</f>
        <v/>
      </c>
      <c r="D23" s="94" t="str">
        <f>IF(COMPRAS_HILO!J23="","",COMPRAS_HILO!J23)</f>
        <v/>
      </c>
      <c r="E23" s="84" t="str">
        <f>IF(COMPRAS_HILO!C23="","","Compra "&amp;COMPRAS_HILO!C23)</f>
        <v/>
      </c>
      <c r="F23" s="95" t="str">
        <f>IF(COMPRAS_HILO!H23=0,"",COMPRAS_HILO!H23)</f>
        <v/>
      </c>
      <c r="G23" s="95" t="str">
        <f>IF(COMPRAS_HILO!O23=0,"",COMPRAS_HILO!O23)</f>
        <v/>
      </c>
      <c r="H23" s="95" t="str">
        <f>IF(COMPRAS_HILO!P23=0,"",COMPRAS_HILO!P23)</f>
        <v/>
      </c>
      <c r="I23" s="94" t="str">
        <f>IF(COMPRAS_HILO!M23="","",COMPRAS_HILO!M23)</f>
        <v/>
      </c>
    </row>
    <row r="24" ht="15.75" customHeight="1">
      <c r="A24" s="92" t="s">
        <v>221</v>
      </c>
      <c r="B24" s="93" t="str">
        <f>IF(COMPRAS_HILO!A24="","",COMPRAS_HILO!A24)</f>
        <v/>
      </c>
      <c r="C24" s="84" t="str">
        <f>IF(COMPRAS_HILO!I24="","",COMPRAS_HILO!I24)</f>
        <v/>
      </c>
      <c r="D24" s="94" t="str">
        <f>IF(COMPRAS_HILO!J24="","",COMPRAS_HILO!J24)</f>
        <v/>
      </c>
      <c r="E24" s="84" t="str">
        <f>IF(COMPRAS_HILO!C24="","","Compra "&amp;COMPRAS_HILO!C24)</f>
        <v/>
      </c>
      <c r="F24" s="95" t="str">
        <f>IF(COMPRAS_HILO!H24=0,"",COMPRAS_HILO!H24)</f>
        <v/>
      </c>
      <c r="G24" s="95" t="str">
        <f>IF(COMPRAS_HILO!O24=0,"",COMPRAS_HILO!O24)</f>
        <v/>
      </c>
      <c r="H24" s="95" t="str">
        <f>IF(COMPRAS_HILO!P24=0,"",COMPRAS_HILO!P24)</f>
        <v/>
      </c>
      <c r="I24" s="94" t="str">
        <f>IF(COMPRAS_HILO!M24="","",COMPRAS_HILO!M24)</f>
        <v/>
      </c>
    </row>
    <row r="25" ht="15.75" customHeight="1">
      <c r="A25" s="92" t="s">
        <v>221</v>
      </c>
      <c r="B25" s="93" t="str">
        <f>IF(COMPRAS_HILO!A25="","",COMPRAS_HILO!A25)</f>
        <v/>
      </c>
      <c r="C25" s="84" t="str">
        <f>IF(COMPRAS_HILO!I25="","",COMPRAS_HILO!I25)</f>
        <v/>
      </c>
      <c r="D25" s="94" t="str">
        <f>IF(COMPRAS_HILO!J25="","",COMPRAS_HILO!J25)</f>
        <v/>
      </c>
      <c r="E25" s="84" t="str">
        <f>IF(COMPRAS_HILO!C25="","","Compra "&amp;COMPRAS_HILO!C25)</f>
        <v/>
      </c>
      <c r="F25" s="95" t="str">
        <f>IF(COMPRAS_HILO!H25=0,"",COMPRAS_HILO!H25)</f>
        <v/>
      </c>
      <c r="G25" s="95" t="str">
        <f>IF(COMPRAS_HILO!O25=0,"",COMPRAS_HILO!O25)</f>
        <v/>
      </c>
      <c r="H25" s="95" t="str">
        <f>IF(COMPRAS_HILO!P25=0,"",COMPRAS_HILO!P25)</f>
        <v/>
      </c>
      <c r="I25" s="94" t="str">
        <f>IF(COMPRAS_HILO!M25="","",COMPRAS_HILO!M25)</f>
        <v/>
      </c>
    </row>
    <row r="26" ht="15.75" customHeight="1">
      <c r="A26" s="92" t="s">
        <v>221</v>
      </c>
      <c r="B26" s="93" t="str">
        <f>IF(COMPRAS_HILO!A26="","",COMPRAS_HILO!A26)</f>
        <v/>
      </c>
      <c r="C26" s="84" t="str">
        <f>IF(COMPRAS_HILO!I26="","",COMPRAS_HILO!I26)</f>
        <v/>
      </c>
      <c r="D26" s="94" t="str">
        <f>IF(COMPRAS_HILO!J26="","",COMPRAS_HILO!J26)</f>
        <v/>
      </c>
      <c r="E26" s="84" t="str">
        <f>IF(COMPRAS_HILO!C26="","","Compra "&amp;COMPRAS_HILO!C26)</f>
        <v/>
      </c>
      <c r="F26" s="95" t="str">
        <f>IF(COMPRAS_HILO!H26=0,"",COMPRAS_HILO!H26)</f>
        <v/>
      </c>
      <c r="G26" s="95" t="str">
        <f>IF(COMPRAS_HILO!O26=0,"",COMPRAS_HILO!O26)</f>
        <v/>
      </c>
      <c r="H26" s="95" t="str">
        <f>IF(COMPRAS_HILO!P26=0,"",COMPRAS_HILO!P26)</f>
        <v/>
      </c>
      <c r="I26" s="94" t="str">
        <f>IF(COMPRAS_HILO!M26="","",COMPRAS_HILO!M26)</f>
        <v/>
      </c>
    </row>
    <row r="27" ht="15.75" customHeight="1">
      <c r="A27" s="92" t="s">
        <v>221</v>
      </c>
      <c r="B27" s="93" t="str">
        <f>IF(COMPRAS_HILO!A27="","",COMPRAS_HILO!A27)</f>
        <v/>
      </c>
      <c r="C27" s="84" t="str">
        <f>IF(COMPRAS_HILO!I27="","",COMPRAS_HILO!I27)</f>
        <v/>
      </c>
      <c r="D27" s="94" t="str">
        <f>IF(COMPRAS_HILO!J27="","",COMPRAS_HILO!J27)</f>
        <v/>
      </c>
      <c r="E27" s="84" t="str">
        <f>IF(COMPRAS_HILO!C27="","","Compra "&amp;COMPRAS_HILO!C27)</f>
        <v/>
      </c>
      <c r="F27" s="95" t="str">
        <f>IF(COMPRAS_HILO!H27=0,"",COMPRAS_HILO!H27)</f>
        <v/>
      </c>
      <c r="G27" s="95" t="str">
        <f>IF(COMPRAS_HILO!O27=0,"",COMPRAS_HILO!O27)</f>
        <v/>
      </c>
      <c r="H27" s="95" t="str">
        <f>IF(COMPRAS_HILO!P27=0,"",COMPRAS_HILO!P27)</f>
        <v/>
      </c>
      <c r="I27" s="94" t="str">
        <f>IF(COMPRAS_HILO!M27="","",COMPRAS_HILO!M27)</f>
        <v/>
      </c>
    </row>
    <row r="28" ht="15.75" customHeight="1">
      <c r="A28" s="92" t="s">
        <v>221</v>
      </c>
      <c r="B28" s="93" t="str">
        <f>IF(COMPRAS_HILO!A28="","",COMPRAS_HILO!A28)</f>
        <v/>
      </c>
      <c r="C28" s="84" t="str">
        <f>IF(COMPRAS_HILO!I28="","",COMPRAS_HILO!I28)</f>
        <v/>
      </c>
      <c r="D28" s="94" t="str">
        <f>IF(COMPRAS_HILO!J28="","",COMPRAS_HILO!J28)</f>
        <v/>
      </c>
      <c r="E28" s="84" t="str">
        <f>IF(COMPRAS_HILO!C28="","","Compra "&amp;COMPRAS_HILO!C28)</f>
        <v/>
      </c>
      <c r="F28" s="95" t="str">
        <f>IF(COMPRAS_HILO!H28=0,"",COMPRAS_HILO!H28)</f>
        <v/>
      </c>
      <c r="G28" s="95" t="str">
        <f>IF(COMPRAS_HILO!O28=0,"",COMPRAS_HILO!O28)</f>
        <v/>
      </c>
      <c r="H28" s="95" t="str">
        <f>IF(COMPRAS_HILO!P28=0,"",COMPRAS_HILO!P28)</f>
        <v/>
      </c>
      <c r="I28" s="94" t="str">
        <f>IF(COMPRAS_HILO!M28="","",COMPRAS_HILO!M28)</f>
        <v/>
      </c>
    </row>
    <row r="29" ht="15.75" customHeight="1">
      <c r="A29" s="92" t="s">
        <v>221</v>
      </c>
      <c r="B29" s="93" t="str">
        <f>IF(COMPRAS_HILO!A29="","",COMPRAS_HILO!A29)</f>
        <v/>
      </c>
      <c r="C29" s="84" t="str">
        <f>IF(COMPRAS_HILO!I29="","",COMPRAS_HILO!I29)</f>
        <v/>
      </c>
      <c r="D29" s="94" t="str">
        <f>IF(COMPRAS_HILO!J29="","",COMPRAS_HILO!J29)</f>
        <v/>
      </c>
      <c r="E29" s="84" t="str">
        <f>IF(COMPRAS_HILO!C29="","","Compra "&amp;COMPRAS_HILO!C29)</f>
        <v/>
      </c>
      <c r="F29" s="95" t="str">
        <f>IF(COMPRAS_HILO!H29=0,"",COMPRAS_HILO!H29)</f>
        <v/>
      </c>
      <c r="G29" s="95" t="str">
        <f>IF(COMPRAS_HILO!O29=0,"",COMPRAS_HILO!O29)</f>
        <v/>
      </c>
      <c r="H29" s="95" t="str">
        <f>IF(COMPRAS_HILO!P29=0,"",COMPRAS_HILO!P29)</f>
        <v/>
      </c>
      <c r="I29" s="94" t="str">
        <f>IF(COMPRAS_HILO!M29="","",COMPRAS_HILO!M29)</f>
        <v/>
      </c>
    </row>
    <row r="30" ht="15.75" customHeight="1">
      <c r="A30" s="92" t="s">
        <v>221</v>
      </c>
      <c r="B30" s="93" t="str">
        <f>IF(COMPRAS_HILO!A30="","",COMPRAS_HILO!A30)</f>
        <v/>
      </c>
      <c r="C30" s="84" t="str">
        <f>IF(COMPRAS_HILO!I30="","",COMPRAS_HILO!I30)</f>
        <v/>
      </c>
      <c r="D30" s="94" t="str">
        <f>IF(COMPRAS_HILO!J30="","",COMPRAS_HILO!J30)</f>
        <v/>
      </c>
      <c r="E30" s="84" t="str">
        <f>IF(COMPRAS_HILO!C30="","","Compra "&amp;COMPRAS_HILO!C30)</f>
        <v/>
      </c>
      <c r="F30" s="95" t="str">
        <f>IF(COMPRAS_HILO!H30=0,"",COMPRAS_HILO!H30)</f>
        <v/>
      </c>
      <c r="G30" s="95" t="str">
        <f>IF(COMPRAS_HILO!O30=0,"",COMPRAS_HILO!O30)</f>
        <v/>
      </c>
      <c r="H30" s="95" t="str">
        <f>IF(COMPRAS_HILO!P30=0,"",COMPRAS_HILO!P30)</f>
        <v/>
      </c>
      <c r="I30" s="94" t="str">
        <f>IF(COMPRAS_HILO!M30="","",COMPRAS_HILO!M30)</f>
        <v/>
      </c>
    </row>
    <row r="31" ht="15.75" customHeight="1">
      <c r="A31" s="92" t="s">
        <v>221</v>
      </c>
      <c r="B31" s="93" t="str">
        <f>IF(COMPRAS_HILO!A31="","",COMPRAS_HILO!A31)</f>
        <v/>
      </c>
      <c r="C31" s="84" t="str">
        <f>IF(COMPRAS_HILO!I31="","",COMPRAS_HILO!I31)</f>
        <v/>
      </c>
      <c r="D31" s="94" t="str">
        <f>IF(COMPRAS_HILO!J31="","",COMPRAS_HILO!J31)</f>
        <v/>
      </c>
      <c r="E31" s="84" t="str">
        <f>IF(COMPRAS_HILO!C31="","","Compra "&amp;COMPRAS_HILO!C31)</f>
        <v/>
      </c>
      <c r="F31" s="95" t="str">
        <f>IF(COMPRAS_HILO!H31=0,"",COMPRAS_HILO!H31)</f>
        <v/>
      </c>
      <c r="G31" s="95" t="str">
        <f>IF(COMPRAS_HILO!O31=0,"",COMPRAS_HILO!O31)</f>
        <v/>
      </c>
      <c r="H31" s="95" t="str">
        <f>IF(COMPRAS_HILO!P31=0,"",COMPRAS_HILO!P31)</f>
        <v/>
      </c>
      <c r="I31" s="94" t="str">
        <f>IF(COMPRAS_HILO!M31="","",COMPRAS_HILO!M31)</f>
        <v/>
      </c>
    </row>
    <row r="32" ht="15.75" customHeight="1">
      <c r="A32" s="92" t="s">
        <v>221</v>
      </c>
      <c r="B32" s="93" t="str">
        <f>IF(COMPRAS_HILO!A32="","",COMPRAS_HILO!A32)</f>
        <v/>
      </c>
      <c r="C32" s="84" t="str">
        <f>IF(COMPRAS_HILO!I32="","",COMPRAS_HILO!I32)</f>
        <v/>
      </c>
      <c r="D32" s="94" t="str">
        <f>IF(COMPRAS_HILO!J32="","",COMPRAS_HILO!J32)</f>
        <v/>
      </c>
      <c r="E32" s="84" t="str">
        <f>IF(COMPRAS_HILO!C32="","","Compra "&amp;COMPRAS_HILO!C32)</f>
        <v/>
      </c>
      <c r="F32" s="95" t="str">
        <f>IF(COMPRAS_HILO!H32=0,"",COMPRAS_HILO!H32)</f>
        <v/>
      </c>
      <c r="G32" s="95" t="str">
        <f>IF(COMPRAS_HILO!O32=0,"",COMPRAS_HILO!O32)</f>
        <v/>
      </c>
      <c r="H32" s="95" t="str">
        <f>IF(COMPRAS_HILO!P32=0,"",COMPRAS_HILO!P32)</f>
        <v/>
      </c>
      <c r="I32" s="94" t="str">
        <f>IF(COMPRAS_HILO!M32="","",COMPRAS_HILO!M32)</f>
        <v/>
      </c>
    </row>
    <row r="33" ht="15.75" customHeight="1">
      <c r="A33" s="92" t="s">
        <v>221</v>
      </c>
      <c r="B33" s="93" t="str">
        <f>IF(COMPRAS_HILO!A33="","",COMPRAS_HILO!A33)</f>
        <v/>
      </c>
      <c r="C33" s="84" t="str">
        <f>IF(COMPRAS_HILO!I33="","",COMPRAS_HILO!I33)</f>
        <v/>
      </c>
      <c r="D33" s="94" t="str">
        <f>IF(COMPRAS_HILO!J33="","",COMPRAS_HILO!J33)</f>
        <v/>
      </c>
      <c r="E33" s="84" t="str">
        <f>IF(COMPRAS_HILO!C33="","","Compra "&amp;COMPRAS_HILO!C33)</f>
        <v/>
      </c>
      <c r="F33" s="95" t="str">
        <f>IF(COMPRAS_HILO!H33=0,"",COMPRAS_HILO!H33)</f>
        <v/>
      </c>
      <c r="G33" s="95" t="str">
        <f>IF(COMPRAS_HILO!O33=0,"",COMPRAS_HILO!O33)</f>
        <v/>
      </c>
      <c r="H33" s="95" t="str">
        <f>IF(COMPRAS_HILO!P33=0,"",COMPRAS_HILO!P33)</f>
        <v/>
      </c>
      <c r="I33" s="94" t="str">
        <f>IF(COMPRAS_HILO!M33="","",COMPRAS_HILO!M33)</f>
        <v/>
      </c>
    </row>
    <row r="34" ht="15.75" customHeight="1">
      <c r="A34" s="92" t="s">
        <v>221</v>
      </c>
      <c r="B34" s="93" t="str">
        <f>IF(COMPRAS_HILO!A34="","",COMPRAS_HILO!A34)</f>
        <v/>
      </c>
      <c r="C34" s="84" t="str">
        <f>IF(COMPRAS_HILO!I34="","",COMPRAS_HILO!I34)</f>
        <v/>
      </c>
      <c r="D34" s="94" t="str">
        <f>IF(COMPRAS_HILO!J34="","",COMPRAS_HILO!J34)</f>
        <v/>
      </c>
      <c r="E34" s="84" t="str">
        <f>IF(COMPRAS_HILO!C34="","","Compra "&amp;COMPRAS_HILO!C34)</f>
        <v/>
      </c>
      <c r="F34" s="95" t="str">
        <f>IF(COMPRAS_HILO!H34=0,"",COMPRAS_HILO!H34)</f>
        <v/>
      </c>
      <c r="G34" s="95" t="str">
        <f>IF(COMPRAS_HILO!O34=0,"",COMPRAS_HILO!O34)</f>
        <v/>
      </c>
      <c r="H34" s="95" t="str">
        <f>IF(COMPRAS_HILO!P34=0,"",COMPRAS_HILO!P34)</f>
        <v/>
      </c>
      <c r="I34" s="94" t="str">
        <f>IF(COMPRAS_HILO!M34="","",COMPRAS_HILO!M34)</f>
        <v/>
      </c>
    </row>
    <row r="35" ht="15.75" customHeight="1">
      <c r="A35" s="92" t="s">
        <v>221</v>
      </c>
      <c r="B35" s="93" t="str">
        <f>IF(COMPRAS_HILO!A35="","",COMPRAS_HILO!A35)</f>
        <v/>
      </c>
      <c r="C35" s="84" t="str">
        <f>IF(COMPRAS_HILO!I35="","",COMPRAS_HILO!I35)</f>
        <v/>
      </c>
      <c r="D35" s="94" t="str">
        <f>IF(COMPRAS_HILO!J35="","",COMPRAS_HILO!J35)</f>
        <v/>
      </c>
      <c r="E35" s="84" t="str">
        <f>IF(COMPRAS_HILO!C35="","","Compra "&amp;COMPRAS_HILO!C35)</f>
        <v/>
      </c>
      <c r="F35" s="95" t="str">
        <f>IF(COMPRAS_HILO!H35=0,"",COMPRAS_HILO!H35)</f>
        <v/>
      </c>
      <c r="G35" s="95" t="str">
        <f>IF(COMPRAS_HILO!O35=0,"",COMPRAS_HILO!O35)</f>
        <v/>
      </c>
      <c r="H35" s="95" t="str">
        <f>IF(COMPRAS_HILO!P35=0,"",COMPRAS_HILO!P35)</f>
        <v/>
      </c>
      <c r="I35" s="94" t="str">
        <f>IF(COMPRAS_HILO!M35="","",COMPRAS_HILO!M35)</f>
        <v/>
      </c>
    </row>
    <row r="36" ht="15.75" customHeight="1">
      <c r="A36" s="92" t="s">
        <v>221</v>
      </c>
      <c r="B36" s="93" t="str">
        <f>IF(COMPRAS_HILO!A36="","",COMPRAS_HILO!A36)</f>
        <v/>
      </c>
      <c r="C36" s="84" t="str">
        <f>IF(COMPRAS_HILO!I36="","",COMPRAS_HILO!I36)</f>
        <v/>
      </c>
      <c r="D36" s="94" t="str">
        <f>IF(COMPRAS_HILO!J36="","",COMPRAS_HILO!J36)</f>
        <v/>
      </c>
      <c r="E36" s="84" t="str">
        <f>IF(COMPRAS_HILO!C36="","","Compra "&amp;COMPRAS_HILO!C36)</f>
        <v/>
      </c>
      <c r="F36" s="95" t="str">
        <f>IF(COMPRAS_HILO!H36=0,"",COMPRAS_HILO!H36)</f>
        <v/>
      </c>
      <c r="G36" s="95" t="str">
        <f>IF(COMPRAS_HILO!O36=0,"",COMPRAS_HILO!O36)</f>
        <v/>
      </c>
      <c r="H36" s="95" t="str">
        <f>IF(COMPRAS_HILO!P36=0,"",COMPRAS_HILO!P36)</f>
        <v/>
      </c>
      <c r="I36" s="94" t="str">
        <f>IF(COMPRAS_HILO!M36="","",COMPRAS_HILO!M36)</f>
        <v/>
      </c>
    </row>
    <row r="37" ht="15.75" customHeight="1">
      <c r="A37" s="92" t="s">
        <v>221</v>
      </c>
      <c r="B37" s="93" t="str">
        <f>IF(COMPRAS_HILO!A37="","",COMPRAS_HILO!A37)</f>
        <v/>
      </c>
      <c r="C37" s="84" t="str">
        <f>IF(COMPRAS_HILO!I37="","",COMPRAS_HILO!I37)</f>
        <v/>
      </c>
      <c r="D37" s="94" t="str">
        <f>IF(COMPRAS_HILO!J37="","",COMPRAS_HILO!J37)</f>
        <v/>
      </c>
      <c r="E37" s="84" t="str">
        <f>IF(COMPRAS_HILO!C37="","","Compra "&amp;COMPRAS_HILO!C37)</f>
        <v/>
      </c>
      <c r="F37" s="95" t="str">
        <f>IF(COMPRAS_HILO!H37=0,"",COMPRAS_HILO!H37)</f>
        <v/>
      </c>
      <c r="G37" s="95" t="str">
        <f>IF(COMPRAS_HILO!O37=0,"",COMPRAS_HILO!O37)</f>
        <v/>
      </c>
      <c r="H37" s="95" t="str">
        <f>IF(COMPRAS_HILO!P37=0,"",COMPRAS_HILO!P37)</f>
        <v/>
      </c>
      <c r="I37" s="94" t="str">
        <f>IF(COMPRAS_HILO!M37="","",COMPRAS_HILO!M37)</f>
        <v/>
      </c>
    </row>
    <row r="38" ht="15.75" customHeight="1">
      <c r="A38" s="92" t="s">
        <v>221</v>
      </c>
      <c r="B38" s="93" t="str">
        <f>IF(COMPRAS_HILO!A38="","",COMPRAS_HILO!A38)</f>
        <v/>
      </c>
      <c r="C38" s="84" t="str">
        <f>IF(COMPRAS_HILO!I38="","",COMPRAS_HILO!I38)</f>
        <v/>
      </c>
      <c r="D38" s="94" t="str">
        <f>IF(COMPRAS_HILO!J38="","",COMPRAS_HILO!J38)</f>
        <v/>
      </c>
      <c r="E38" s="84" t="str">
        <f>IF(COMPRAS_HILO!C38="","","Compra "&amp;COMPRAS_HILO!C38)</f>
        <v/>
      </c>
      <c r="F38" s="95" t="str">
        <f>IF(COMPRAS_HILO!H38=0,"",COMPRAS_HILO!H38)</f>
        <v/>
      </c>
      <c r="G38" s="95" t="str">
        <f>IF(COMPRAS_HILO!O38=0,"",COMPRAS_HILO!O38)</f>
        <v/>
      </c>
      <c r="H38" s="95" t="str">
        <f>IF(COMPRAS_HILO!P38=0,"",COMPRAS_HILO!P38)</f>
        <v/>
      </c>
      <c r="I38" s="94" t="str">
        <f>IF(COMPRAS_HILO!M38="","",COMPRAS_HILO!M38)</f>
        <v/>
      </c>
    </row>
    <row r="39" ht="15.75" customHeight="1">
      <c r="A39" s="92" t="s">
        <v>221</v>
      </c>
      <c r="B39" s="93" t="str">
        <f>IF(COMPRAS_HILO!A39="","",COMPRAS_HILO!A39)</f>
        <v/>
      </c>
      <c r="C39" s="84" t="str">
        <f>IF(COMPRAS_HILO!I39="","",COMPRAS_HILO!I39)</f>
        <v/>
      </c>
      <c r="D39" s="94" t="str">
        <f>IF(COMPRAS_HILO!J39="","",COMPRAS_HILO!J39)</f>
        <v/>
      </c>
      <c r="E39" s="84" t="str">
        <f>IF(COMPRAS_HILO!C39="","","Compra "&amp;COMPRAS_HILO!C39)</f>
        <v/>
      </c>
      <c r="F39" s="95" t="str">
        <f>IF(COMPRAS_HILO!H39=0,"",COMPRAS_HILO!H39)</f>
        <v/>
      </c>
      <c r="G39" s="95" t="str">
        <f>IF(COMPRAS_HILO!O39=0,"",COMPRAS_HILO!O39)</f>
        <v/>
      </c>
      <c r="H39" s="95" t="str">
        <f>IF(COMPRAS_HILO!P39=0,"",COMPRAS_HILO!P39)</f>
        <v/>
      </c>
      <c r="I39" s="94" t="str">
        <f>IF(COMPRAS_HILO!M39="","",COMPRAS_HILO!M39)</f>
        <v/>
      </c>
    </row>
    <row r="40" ht="15.75" customHeight="1">
      <c r="A40" s="92" t="s">
        <v>221</v>
      </c>
      <c r="B40" s="93" t="str">
        <f>IF(COMPRAS_HILO!A40="","",COMPRAS_HILO!A40)</f>
        <v/>
      </c>
      <c r="C40" s="84" t="str">
        <f>IF(COMPRAS_HILO!I40="","",COMPRAS_HILO!I40)</f>
        <v/>
      </c>
      <c r="D40" s="94" t="str">
        <f>IF(COMPRAS_HILO!J40="","",COMPRAS_HILO!J40)</f>
        <v/>
      </c>
      <c r="E40" s="84" t="str">
        <f>IF(COMPRAS_HILO!C40="","","Compra "&amp;COMPRAS_HILO!C40)</f>
        <v/>
      </c>
      <c r="F40" s="95" t="str">
        <f>IF(COMPRAS_HILO!H40=0,"",COMPRAS_HILO!H40)</f>
        <v/>
      </c>
      <c r="G40" s="95" t="str">
        <f>IF(COMPRAS_HILO!O40=0,"",COMPRAS_HILO!O40)</f>
        <v/>
      </c>
      <c r="H40" s="95" t="str">
        <f>IF(COMPRAS_HILO!P40=0,"",COMPRAS_HILO!P40)</f>
        <v/>
      </c>
      <c r="I40" s="94" t="str">
        <f>IF(COMPRAS_HILO!M40="","",COMPRAS_HILO!M40)</f>
        <v/>
      </c>
    </row>
    <row r="41" ht="15.75" customHeight="1">
      <c r="A41" s="92" t="s">
        <v>221</v>
      </c>
      <c r="B41" s="93" t="str">
        <f>IF(COMPRAS_HILO!A41="","",COMPRAS_HILO!A41)</f>
        <v/>
      </c>
      <c r="C41" s="84" t="str">
        <f>IF(COMPRAS_HILO!I41="","",COMPRAS_HILO!I41)</f>
        <v/>
      </c>
      <c r="D41" s="94" t="str">
        <f>IF(COMPRAS_HILO!J41="","",COMPRAS_HILO!J41)</f>
        <v/>
      </c>
      <c r="E41" s="84" t="str">
        <f>IF(COMPRAS_HILO!C41="","","Compra "&amp;COMPRAS_HILO!C41)</f>
        <v/>
      </c>
      <c r="F41" s="95" t="str">
        <f>IF(COMPRAS_HILO!H41=0,"",COMPRAS_HILO!H41)</f>
        <v/>
      </c>
      <c r="G41" s="95" t="str">
        <f>IF(COMPRAS_HILO!O41=0,"",COMPRAS_HILO!O41)</f>
        <v/>
      </c>
      <c r="H41" s="95" t="str">
        <f>IF(COMPRAS_HILO!P41=0,"",COMPRAS_HILO!P41)</f>
        <v/>
      </c>
      <c r="I41" s="94" t="str">
        <f>IF(COMPRAS_HILO!M41="","",COMPRAS_HILO!M41)</f>
        <v/>
      </c>
    </row>
    <row r="42" ht="15.75" customHeight="1">
      <c r="A42" s="92" t="s">
        <v>221</v>
      </c>
      <c r="B42" s="93" t="str">
        <f>IF(COMPRAS_HILO!A42="","",COMPRAS_HILO!A42)</f>
        <v/>
      </c>
      <c r="C42" s="84" t="str">
        <f>IF(COMPRAS_HILO!I42="","",COMPRAS_HILO!I42)</f>
        <v/>
      </c>
      <c r="D42" s="94" t="str">
        <f>IF(COMPRAS_HILO!J42="","",COMPRAS_HILO!J42)</f>
        <v/>
      </c>
      <c r="E42" s="84" t="str">
        <f>IF(COMPRAS_HILO!C42="","","Compra "&amp;COMPRAS_HILO!C42)</f>
        <v/>
      </c>
      <c r="F42" s="95" t="str">
        <f>IF(COMPRAS_HILO!H42=0,"",COMPRAS_HILO!H42)</f>
        <v/>
      </c>
      <c r="G42" s="95" t="str">
        <f>IF(COMPRAS_HILO!O42=0,"",COMPRAS_HILO!O42)</f>
        <v/>
      </c>
      <c r="H42" s="95" t="str">
        <f>IF(COMPRAS_HILO!P42=0,"",COMPRAS_HILO!P42)</f>
        <v/>
      </c>
      <c r="I42" s="94" t="str">
        <f>IF(COMPRAS_HILO!M42="","",COMPRAS_HILO!M42)</f>
        <v/>
      </c>
    </row>
    <row r="43" ht="15.75" customHeight="1">
      <c r="A43" s="92" t="s">
        <v>221</v>
      </c>
      <c r="B43" s="93" t="str">
        <f>IF(COMPRAS_HILO!A43="","",COMPRAS_HILO!A43)</f>
        <v/>
      </c>
      <c r="C43" s="84" t="str">
        <f>IF(COMPRAS_HILO!I43="","",COMPRAS_HILO!I43)</f>
        <v/>
      </c>
      <c r="D43" s="94" t="str">
        <f>IF(COMPRAS_HILO!J43="","",COMPRAS_HILO!J43)</f>
        <v/>
      </c>
      <c r="E43" s="84" t="str">
        <f>IF(COMPRAS_HILO!C43="","","Compra "&amp;COMPRAS_HILO!C43)</f>
        <v/>
      </c>
      <c r="F43" s="95" t="str">
        <f>IF(COMPRAS_HILO!H43=0,"",COMPRAS_HILO!H43)</f>
        <v/>
      </c>
      <c r="G43" s="95" t="str">
        <f>IF(COMPRAS_HILO!O43=0,"",COMPRAS_HILO!O43)</f>
        <v/>
      </c>
      <c r="H43" s="95" t="str">
        <f>IF(COMPRAS_HILO!P43=0,"",COMPRAS_HILO!P43)</f>
        <v/>
      </c>
      <c r="I43" s="94" t="str">
        <f>IF(COMPRAS_HILO!M43="","",COMPRAS_HILO!M43)</f>
        <v/>
      </c>
    </row>
    <row r="44" ht="15.75" customHeight="1">
      <c r="A44" s="92" t="s">
        <v>221</v>
      </c>
      <c r="B44" s="93" t="str">
        <f>IF(COMPRAS_HILO!A44="","",COMPRAS_HILO!A44)</f>
        <v/>
      </c>
      <c r="C44" s="84" t="str">
        <f>IF(COMPRAS_HILO!I44="","",COMPRAS_HILO!I44)</f>
        <v/>
      </c>
      <c r="D44" s="94" t="str">
        <f>IF(COMPRAS_HILO!J44="","",COMPRAS_HILO!J44)</f>
        <v/>
      </c>
      <c r="E44" s="84" t="str">
        <f>IF(COMPRAS_HILO!C44="","","Compra "&amp;COMPRAS_HILO!C44)</f>
        <v/>
      </c>
      <c r="F44" s="95" t="str">
        <f>IF(COMPRAS_HILO!H44=0,"",COMPRAS_HILO!H44)</f>
        <v/>
      </c>
      <c r="G44" s="95" t="str">
        <f>IF(COMPRAS_HILO!O44=0,"",COMPRAS_HILO!O44)</f>
        <v/>
      </c>
      <c r="H44" s="95" t="str">
        <f>IF(COMPRAS_HILO!P44=0,"",COMPRAS_HILO!P44)</f>
        <v/>
      </c>
      <c r="I44" s="94" t="str">
        <f>IF(COMPRAS_HILO!M44="","",COMPRAS_HILO!M44)</f>
        <v/>
      </c>
    </row>
    <row r="45" ht="15.75" customHeight="1">
      <c r="A45" s="92" t="s">
        <v>221</v>
      </c>
      <c r="B45" s="93" t="str">
        <f>IF(COMPRAS_HILO!A45="","",COMPRAS_HILO!A45)</f>
        <v/>
      </c>
      <c r="C45" s="84" t="str">
        <f>IF(COMPRAS_HILO!I45="","",COMPRAS_HILO!I45)</f>
        <v/>
      </c>
      <c r="D45" s="94" t="str">
        <f>IF(COMPRAS_HILO!J45="","",COMPRAS_HILO!J45)</f>
        <v/>
      </c>
      <c r="E45" s="84" t="str">
        <f>IF(COMPRAS_HILO!C45="","","Compra "&amp;COMPRAS_HILO!C45)</f>
        <v/>
      </c>
      <c r="F45" s="95" t="str">
        <f>IF(COMPRAS_HILO!H45=0,"",COMPRAS_HILO!H45)</f>
        <v/>
      </c>
      <c r="G45" s="95" t="str">
        <f>IF(COMPRAS_HILO!O45=0,"",COMPRAS_HILO!O45)</f>
        <v/>
      </c>
      <c r="H45" s="95" t="str">
        <f>IF(COMPRAS_HILO!P45=0,"",COMPRAS_HILO!P45)</f>
        <v/>
      </c>
      <c r="I45" s="94" t="str">
        <f>IF(COMPRAS_HILO!M45="","",COMPRAS_HILO!M45)</f>
        <v/>
      </c>
    </row>
    <row r="46" ht="15.75" customHeight="1">
      <c r="A46" s="92" t="s">
        <v>221</v>
      </c>
      <c r="B46" s="93" t="str">
        <f>IF(COMPRAS_HILO!A46="","",COMPRAS_HILO!A46)</f>
        <v/>
      </c>
      <c r="C46" s="84" t="str">
        <f>IF(COMPRAS_HILO!I46="","",COMPRAS_HILO!I46)</f>
        <v/>
      </c>
      <c r="D46" s="94" t="str">
        <f>IF(COMPRAS_HILO!J46="","",COMPRAS_HILO!J46)</f>
        <v/>
      </c>
      <c r="E46" s="84" t="str">
        <f>IF(COMPRAS_HILO!C46="","","Compra "&amp;COMPRAS_HILO!C46)</f>
        <v/>
      </c>
      <c r="F46" s="95" t="str">
        <f>IF(COMPRAS_HILO!H46=0,"",COMPRAS_HILO!H46)</f>
        <v/>
      </c>
      <c r="G46" s="95" t="str">
        <f>IF(COMPRAS_HILO!O46=0,"",COMPRAS_HILO!O46)</f>
        <v/>
      </c>
      <c r="H46" s="95" t="str">
        <f>IF(COMPRAS_HILO!P46=0,"",COMPRAS_HILO!P46)</f>
        <v/>
      </c>
      <c r="I46" s="94" t="str">
        <f>IF(COMPRAS_HILO!M46="","",COMPRAS_HILO!M46)</f>
        <v/>
      </c>
    </row>
    <row r="47" ht="15.75" customHeight="1">
      <c r="A47" s="92" t="s">
        <v>221</v>
      </c>
      <c r="B47" s="93" t="str">
        <f>IF(COMPRAS_HILO!A47="","",COMPRAS_HILO!A47)</f>
        <v/>
      </c>
      <c r="C47" s="84" t="str">
        <f>IF(COMPRAS_HILO!I47="","",COMPRAS_HILO!I47)</f>
        <v/>
      </c>
      <c r="D47" s="94" t="str">
        <f>IF(COMPRAS_HILO!J47="","",COMPRAS_HILO!J47)</f>
        <v/>
      </c>
      <c r="E47" s="84" t="str">
        <f>IF(COMPRAS_HILO!C47="","","Compra "&amp;COMPRAS_HILO!C47)</f>
        <v/>
      </c>
      <c r="F47" s="95" t="str">
        <f>IF(COMPRAS_HILO!H47=0,"",COMPRAS_HILO!H47)</f>
        <v/>
      </c>
      <c r="G47" s="95" t="str">
        <f>IF(COMPRAS_HILO!O47=0,"",COMPRAS_HILO!O47)</f>
        <v/>
      </c>
      <c r="H47" s="95" t="str">
        <f>IF(COMPRAS_HILO!P47=0,"",COMPRAS_HILO!P47)</f>
        <v/>
      </c>
      <c r="I47" s="94" t="str">
        <f>IF(COMPRAS_HILO!M47="","",COMPRAS_HILO!M47)</f>
        <v/>
      </c>
    </row>
    <row r="48" ht="15.75" customHeight="1">
      <c r="A48" s="92" t="s">
        <v>221</v>
      </c>
      <c r="B48" s="93" t="str">
        <f>IF(COMPRAS_HILO!A48="","",COMPRAS_HILO!A48)</f>
        <v/>
      </c>
      <c r="C48" s="84" t="str">
        <f>IF(COMPRAS_HILO!I48="","",COMPRAS_HILO!I48)</f>
        <v/>
      </c>
      <c r="D48" s="94" t="str">
        <f>IF(COMPRAS_HILO!J48="","",COMPRAS_HILO!J48)</f>
        <v/>
      </c>
      <c r="E48" s="84" t="str">
        <f>IF(COMPRAS_HILO!C48="","","Compra "&amp;COMPRAS_HILO!C48)</f>
        <v/>
      </c>
      <c r="F48" s="95" t="str">
        <f>IF(COMPRAS_HILO!H48=0,"",COMPRAS_HILO!H48)</f>
        <v/>
      </c>
      <c r="G48" s="95" t="str">
        <f>IF(COMPRAS_HILO!O48=0,"",COMPRAS_HILO!O48)</f>
        <v/>
      </c>
      <c r="H48" s="95" t="str">
        <f>IF(COMPRAS_HILO!P48=0,"",COMPRAS_HILO!P48)</f>
        <v/>
      </c>
      <c r="I48" s="94" t="str">
        <f>IF(COMPRAS_HILO!M48="","",COMPRAS_HILO!M48)</f>
        <v/>
      </c>
    </row>
    <row r="49" ht="15.75" customHeight="1">
      <c r="A49" s="92" t="s">
        <v>221</v>
      </c>
      <c r="B49" s="93" t="str">
        <f>IF(COMPRAS_HILO!A49="","",COMPRAS_HILO!A49)</f>
        <v/>
      </c>
      <c r="C49" s="84" t="str">
        <f>IF(COMPRAS_HILO!I49="","",COMPRAS_HILO!I49)</f>
        <v/>
      </c>
      <c r="D49" s="94" t="str">
        <f>IF(COMPRAS_HILO!J49="","",COMPRAS_HILO!J49)</f>
        <v/>
      </c>
      <c r="E49" s="84" t="str">
        <f>IF(COMPRAS_HILO!C49="","","Compra "&amp;COMPRAS_HILO!C49)</f>
        <v/>
      </c>
      <c r="F49" s="95" t="str">
        <f>IF(COMPRAS_HILO!H49=0,"",COMPRAS_HILO!H49)</f>
        <v/>
      </c>
      <c r="G49" s="95" t="str">
        <f>IF(COMPRAS_HILO!O49=0,"",COMPRAS_HILO!O49)</f>
        <v/>
      </c>
      <c r="H49" s="95" t="str">
        <f>IF(COMPRAS_HILO!P49=0,"",COMPRAS_HILO!P49)</f>
        <v/>
      </c>
      <c r="I49" s="94" t="str">
        <f>IF(COMPRAS_HILO!M49="","",COMPRAS_HILO!M49)</f>
        <v/>
      </c>
    </row>
    <row r="50" ht="15.75" customHeight="1">
      <c r="A50" s="92" t="s">
        <v>221</v>
      </c>
      <c r="B50" s="93" t="str">
        <f>IF(COMPRAS_HILO!A50="","",COMPRAS_HILO!A50)</f>
        <v/>
      </c>
      <c r="C50" s="84" t="str">
        <f>IF(COMPRAS_HILO!I50="","",COMPRAS_HILO!I50)</f>
        <v/>
      </c>
      <c r="D50" s="94" t="str">
        <f>IF(COMPRAS_HILO!J50="","",COMPRAS_HILO!J50)</f>
        <v/>
      </c>
      <c r="E50" s="84" t="str">
        <f>IF(COMPRAS_HILO!C50="","","Compra "&amp;COMPRAS_HILO!C50)</f>
        <v/>
      </c>
      <c r="F50" s="95" t="str">
        <f>IF(COMPRAS_HILO!H50=0,"",COMPRAS_HILO!H50)</f>
        <v/>
      </c>
      <c r="G50" s="95" t="str">
        <f>IF(COMPRAS_HILO!O50=0,"",COMPRAS_HILO!O50)</f>
        <v/>
      </c>
      <c r="H50" s="95" t="str">
        <f>IF(COMPRAS_HILO!P50=0,"",COMPRAS_HILO!P50)</f>
        <v/>
      </c>
      <c r="I50" s="94" t="str">
        <f>IF(COMPRAS_HILO!M50="","",COMPRAS_HILO!M50)</f>
        <v/>
      </c>
    </row>
    <row r="51" ht="15.75" customHeight="1">
      <c r="A51" s="92" t="s">
        <v>221</v>
      </c>
      <c r="B51" s="93" t="str">
        <f>IF(COMPRAS_HILO!A51="","",COMPRAS_HILO!A51)</f>
        <v/>
      </c>
      <c r="C51" s="84" t="str">
        <f>IF(COMPRAS_HILO!I51="","",COMPRAS_HILO!I51)</f>
        <v/>
      </c>
      <c r="D51" s="94" t="str">
        <f>IF(COMPRAS_HILO!J51="","",COMPRAS_HILO!J51)</f>
        <v/>
      </c>
      <c r="E51" s="84" t="str">
        <f>IF(COMPRAS_HILO!C51="","","Compra "&amp;COMPRAS_HILO!C51)</f>
        <v/>
      </c>
      <c r="F51" s="95" t="str">
        <f>IF(COMPRAS_HILO!H51=0,"",COMPRAS_HILO!H51)</f>
        <v/>
      </c>
      <c r="G51" s="95" t="str">
        <f>IF(COMPRAS_HILO!O51=0,"",COMPRAS_HILO!O51)</f>
        <v/>
      </c>
      <c r="H51" s="95" t="str">
        <f>IF(COMPRAS_HILO!P51=0,"",COMPRAS_HILO!P51)</f>
        <v/>
      </c>
      <c r="I51" s="94" t="str">
        <f>IF(COMPRAS_HILO!M51="","",COMPRAS_HILO!M51)</f>
        <v/>
      </c>
    </row>
    <row r="52" ht="15.75" customHeight="1">
      <c r="A52" s="92" t="s">
        <v>221</v>
      </c>
      <c r="B52" s="93" t="str">
        <f>IF(COMPRAS_HILO!A52="","",COMPRAS_HILO!A52)</f>
        <v/>
      </c>
      <c r="C52" s="84" t="str">
        <f>IF(COMPRAS_HILO!I52="","",COMPRAS_HILO!I52)</f>
        <v/>
      </c>
      <c r="D52" s="94" t="str">
        <f>IF(COMPRAS_HILO!J52="","",COMPRAS_HILO!J52)</f>
        <v/>
      </c>
      <c r="E52" s="84" t="str">
        <f>IF(COMPRAS_HILO!C52="","","Compra "&amp;COMPRAS_HILO!C52)</f>
        <v/>
      </c>
      <c r="F52" s="95" t="str">
        <f>IF(COMPRAS_HILO!H52=0,"",COMPRAS_HILO!H52)</f>
        <v/>
      </c>
      <c r="G52" s="95" t="str">
        <f>IF(COMPRAS_HILO!O52=0,"",COMPRAS_HILO!O52)</f>
        <v/>
      </c>
      <c r="H52" s="95" t="str">
        <f>IF(COMPRAS_HILO!P52=0,"",COMPRAS_HILO!P52)</f>
        <v/>
      </c>
      <c r="I52" s="94" t="str">
        <f>IF(COMPRAS_HILO!M52="","",COMPRAS_HILO!M52)</f>
        <v/>
      </c>
    </row>
    <row r="53" ht="15.75" customHeight="1">
      <c r="A53" s="92" t="s">
        <v>221</v>
      </c>
      <c r="B53" s="93" t="str">
        <f>IF(COMPRAS_HILO!A53="","",COMPRAS_HILO!A53)</f>
        <v/>
      </c>
      <c r="C53" s="84" t="str">
        <f>IF(COMPRAS_HILO!I53="","",COMPRAS_HILO!I53)</f>
        <v/>
      </c>
      <c r="D53" s="94" t="str">
        <f>IF(COMPRAS_HILO!J53="","",COMPRAS_HILO!J53)</f>
        <v/>
      </c>
      <c r="E53" s="84" t="str">
        <f>IF(COMPRAS_HILO!C53="","","Compra "&amp;COMPRAS_HILO!C53)</f>
        <v/>
      </c>
      <c r="F53" s="95" t="str">
        <f>IF(COMPRAS_HILO!H53=0,"",COMPRAS_HILO!H53)</f>
        <v/>
      </c>
      <c r="G53" s="95" t="str">
        <f>IF(COMPRAS_HILO!O53=0,"",COMPRAS_HILO!O53)</f>
        <v/>
      </c>
      <c r="H53" s="95" t="str">
        <f>IF(COMPRAS_HILO!P53=0,"",COMPRAS_HILO!P53)</f>
        <v/>
      </c>
      <c r="I53" s="94" t="str">
        <f>IF(COMPRAS_HILO!M53="","",COMPRAS_HILO!M53)</f>
        <v/>
      </c>
    </row>
    <row r="54" ht="15.75" customHeight="1">
      <c r="A54" s="92" t="s">
        <v>221</v>
      </c>
      <c r="B54" s="93" t="str">
        <f>IF(COMPRAS_HILO!A54="","",COMPRAS_HILO!A54)</f>
        <v/>
      </c>
      <c r="C54" s="84" t="str">
        <f>IF(COMPRAS_HILO!I54="","",COMPRAS_HILO!I54)</f>
        <v/>
      </c>
      <c r="D54" s="94" t="str">
        <f>IF(COMPRAS_HILO!J54="","",COMPRAS_HILO!J54)</f>
        <v/>
      </c>
      <c r="E54" s="84" t="str">
        <f>IF(COMPRAS_HILO!C54="","","Compra "&amp;COMPRAS_HILO!C54)</f>
        <v/>
      </c>
      <c r="F54" s="95" t="str">
        <f>IF(COMPRAS_HILO!H54=0,"",COMPRAS_HILO!H54)</f>
        <v/>
      </c>
      <c r="G54" s="95" t="str">
        <f>IF(COMPRAS_HILO!O54=0,"",COMPRAS_HILO!O54)</f>
        <v/>
      </c>
      <c r="H54" s="95" t="str">
        <f>IF(COMPRAS_HILO!P54=0,"",COMPRAS_HILO!P54)</f>
        <v/>
      </c>
      <c r="I54" s="94" t="str">
        <f>IF(COMPRAS_HILO!M54="","",COMPRAS_HILO!M54)</f>
        <v/>
      </c>
    </row>
    <row r="55" ht="15.75" customHeight="1">
      <c r="A55" s="92" t="s">
        <v>221</v>
      </c>
      <c r="B55" s="93" t="str">
        <f>IF(COMPRAS_HILO!A55="","",COMPRAS_HILO!A55)</f>
        <v/>
      </c>
      <c r="C55" s="84" t="str">
        <f>IF(COMPRAS_HILO!I55="","",COMPRAS_HILO!I55)</f>
        <v/>
      </c>
      <c r="D55" s="94" t="str">
        <f>IF(COMPRAS_HILO!J55="","",COMPRAS_HILO!J55)</f>
        <v/>
      </c>
      <c r="E55" s="84" t="str">
        <f>IF(COMPRAS_HILO!C55="","","Compra "&amp;COMPRAS_HILO!C55)</f>
        <v/>
      </c>
      <c r="F55" s="95" t="str">
        <f>IF(COMPRAS_HILO!H55=0,"",COMPRAS_HILO!H55)</f>
        <v/>
      </c>
      <c r="G55" s="95" t="str">
        <f>IF(COMPRAS_HILO!O55=0,"",COMPRAS_HILO!O55)</f>
        <v/>
      </c>
      <c r="H55" s="95" t="str">
        <f>IF(COMPRAS_HILO!P55=0,"",COMPRAS_HILO!P55)</f>
        <v/>
      </c>
      <c r="I55" s="94" t="str">
        <f>IF(COMPRAS_HILO!M55="","",COMPRAS_HILO!M55)</f>
        <v/>
      </c>
    </row>
    <row r="56" ht="15.75" customHeight="1">
      <c r="A56" s="92" t="s">
        <v>221</v>
      </c>
      <c r="B56" s="93" t="str">
        <f>IF(COMPRAS_HILO!A56="","",COMPRAS_HILO!A56)</f>
        <v/>
      </c>
      <c r="C56" s="84" t="str">
        <f>IF(COMPRAS_HILO!I56="","",COMPRAS_HILO!I56)</f>
        <v/>
      </c>
      <c r="D56" s="94" t="str">
        <f>IF(COMPRAS_HILO!J56="","",COMPRAS_HILO!J56)</f>
        <v/>
      </c>
      <c r="E56" s="84" t="str">
        <f>IF(COMPRAS_HILO!C56="","","Compra "&amp;COMPRAS_HILO!C56)</f>
        <v/>
      </c>
      <c r="F56" s="95" t="str">
        <f>IF(COMPRAS_HILO!H56=0,"",COMPRAS_HILO!H56)</f>
        <v/>
      </c>
      <c r="G56" s="95" t="str">
        <f>IF(COMPRAS_HILO!O56=0,"",COMPRAS_HILO!O56)</f>
        <v/>
      </c>
      <c r="H56" s="95" t="str">
        <f>IF(COMPRAS_HILO!P56=0,"",COMPRAS_HILO!P56)</f>
        <v/>
      </c>
      <c r="I56" s="94" t="str">
        <f>IF(COMPRAS_HILO!M56="","",COMPRAS_HILO!M56)</f>
        <v/>
      </c>
    </row>
    <row r="57" ht="15.75" customHeight="1">
      <c r="A57" s="92" t="s">
        <v>221</v>
      </c>
      <c r="B57" s="93" t="str">
        <f>IF(COMPRAS_HILO!A57="","",COMPRAS_HILO!A57)</f>
        <v/>
      </c>
      <c r="C57" s="84" t="str">
        <f>IF(COMPRAS_HILO!I57="","",COMPRAS_HILO!I57)</f>
        <v/>
      </c>
      <c r="D57" s="94" t="str">
        <f>IF(COMPRAS_HILO!J57="","",COMPRAS_HILO!J57)</f>
        <v/>
      </c>
      <c r="E57" s="84" t="str">
        <f>IF(COMPRAS_HILO!C57="","","Compra "&amp;COMPRAS_HILO!C57)</f>
        <v/>
      </c>
      <c r="F57" s="95" t="str">
        <f>IF(COMPRAS_HILO!H57=0,"",COMPRAS_HILO!H57)</f>
        <v/>
      </c>
      <c r="G57" s="95" t="str">
        <f>IF(COMPRAS_HILO!O57=0,"",COMPRAS_HILO!O57)</f>
        <v/>
      </c>
      <c r="H57" s="95" t="str">
        <f>IF(COMPRAS_HILO!P57=0,"",COMPRAS_HILO!P57)</f>
        <v/>
      </c>
      <c r="I57" s="94" t="str">
        <f>IF(COMPRAS_HILO!M57="","",COMPRAS_HILO!M57)</f>
        <v/>
      </c>
    </row>
    <row r="58" ht="15.75" customHeight="1">
      <c r="A58" s="92" t="s">
        <v>221</v>
      </c>
      <c r="B58" s="93" t="str">
        <f>IF(COMPRAS_HILO!A58="","",COMPRAS_HILO!A58)</f>
        <v/>
      </c>
      <c r="C58" s="84" t="str">
        <f>IF(COMPRAS_HILO!I58="","",COMPRAS_HILO!I58)</f>
        <v/>
      </c>
      <c r="D58" s="94" t="str">
        <f>IF(COMPRAS_HILO!J58="","",COMPRAS_HILO!J58)</f>
        <v/>
      </c>
      <c r="E58" s="84" t="str">
        <f>IF(COMPRAS_HILO!C58="","","Compra "&amp;COMPRAS_HILO!C58)</f>
        <v/>
      </c>
      <c r="F58" s="95" t="str">
        <f>IF(COMPRAS_HILO!H58=0,"",COMPRAS_HILO!H58)</f>
        <v/>
      </c>
      <c r="G58" s="95" t="str">
        <f>IF(COMPRAS_HILO!O58=0,"",COMPRAS_HILO!O58)</f>
        <v/>
      </c>
      <c r="H58" s="95" t="str">
        <f>IF(COMPRAS_HILO!P58=0,"",COMPRAS_HILO!P58)</f>
        <v/>
      </c>
      <c r="I58" s="94" t="str">
        <f>IF(COMPRAS_HILO!M58="","",COMPRAS_HILO!M58)</f>
        <v/>
      </c>
    </row>
    <row r="59" ht="15.75" customHeight="1">
      <c r="A59" s="92" t="s">
        <v>221</v>
      </c>
      <c r="B59" s="93" t="str">
        <f>IF(COMPRAS_HILO!A59="","",COMPRAS_HILO!A59)</f>
        <v/>
      </c>
      <c r="C59" s="84" t="str">
        <f>IF(COMPRAS_HILO!I59="","",COMPRAS_HILO!I59)</f>
        <v/>
      </c>
      <c r="D59" s="94" t="str">
        <f>IF(COMPRAS_HILO!J59="","",COMPRAS_HILO!J59)</f>
        <v/>
      </c>
      <c r="E59" s="84" t="str">
        <f>IF(COMPRAS_HILO!C59="","","Compra "&amp;COMPRAS_HILO!C59)</f>
        <v/>
      </c>
      <c r="F59" s="95" t="str">
        <f>IF(COMPRAS_HILO!H59=0,"",COMPRAS_HILO!H59)</f>
        <v/>
      </c>
      <c r="G59" s="95" t="str">
        <f>IF(COMPRAS_HILO!O59=0,"",COMPRAS_HILO!O59)</f>
        <v/>
      </c>
      <c r="H59" s="95" t="str">
        <f>IF(COMPRAS_HILO!P59=0,"",COMPRAS_HILO!P59)</f>
        <v/>
      </c>
      <c r="I59" s="94" t="str">
        <f>IF(COMPRAS_HILO!M59="","",COMPRAS_HILO!M59)</f>
        <v/>
      </c>
    </row>
    <row r="60" ht="15.75" customHeight="1">
      <c r="A60" s="92" t="s">
        <v>221</v>
      </c>
      <c r="B60" s="93" t="str">
        <f>IF(COMPRAS_HILO!A60="","",COMPRAS_HILO!A60)</f>
        <v/>
      </c>
      <c r="C60" s="84" t="str">
        <f>IF(COMPRAS_HILO!I60="","",COMPRAS_HILO!I60)</f>
        <v/>
      </c>
      <c r="D60" s="94" t="str">
        <f>IF(COMPRAS_HILO!J60="","",COMPRAS_HILO!J60)</f>
        <v/>
      </c>
      <c r="E60" s="84" t="str">
        <f>IF(COMPRAS_HILO!C60="","","Compra "&amp;COMPRAS_HILO!C60)</f>
        <v/>
      </c>
      <c r="F60" s="95" t="str">
        <f>IF(COMPRAS_HILO!H60=0,"",COMPRAS_HILO!H60)</f>
        <v/>
      </c>
      <c r="G60" s="95" t="str">
        <f>IF(COMPRAS_HILO!O60=0,"",COMPRAS_HILO!O60)</f>
        <v/>
      </c>
      <c r="H60" s="95" t="str">
        <f>IF(COMPRAS_HILO!P60=0,"",COMPRAS_HILO!P60)</f>
        <v/>
      </c>
      <c r="I60" s="94" t="str">
        <f>IF(COMPRAS_HILO!M60="","",COMPRAS_HILO!M60)</f>
        <v/>
      </c>
    </row>
    <row r="61" ht="15.75" customHeight="1">
      <c r="A61" s="92" t="s">
        <v>221</v>
      </c>
      <c r="B61" s="93" t="str">
        <f>IF(COMPRAS_HILO!A61="","",COMPRAS_HILO!A61)</f>
        <v/>
      </c>
      <c r="C61" s="84" t="str">
        <f>IF(COMPRAS_HILO!I61="","",COMPRAS_HILO!I61)</f>
        <v/>
      </c>
      <c r="D61" s="94" t="str">
        <f>IF(COMPRAS_HILO!J61="","",COMPRAS_HILO!J61)</f>
        <v/>
      </c>
      <c r="E61" s="84" t="str">
        <f>IF(COMPRAS_HILO!C61="","","Compra "&amp;COMPRAS_HILO!C61)</f>
        <v/>
      </c>
      <c r="F61" s="95" t="str">
        <f>IF(COMPRAS_HILO!H61=0,"",COMPRAS_HILO!H61)</f>
        <v/>
      </c>
      <c r="G61" s="95" t="str">
        <f>IF(COMPRAS_HILO!O61=0,"",COMPRAS_HILO!O61)</f>
        <v/>
      </c>
      <c r="H61" s="95" t="str">
        <f>IF(COMPRAS_HILO!P61=0,"",COMPRAS_HILO!P61)</f>
        <v/>
      </c>
      <c r="I61" s="94" t="str">
        <f>IF(COMPRAS_HILO!M61="","",COMPRAS_HILO!M61)</f>
        <v/>
      </c>
    </row>
    <row r="62" ht="15.75" customHeight="1">
      <c r="A62" s="92" t="s">
        <v>221</v>
      </c>
      <c r="B62" s="93" t="str">
        <f>IF(COMPRAS_HILO!A62="","",COMPRAS_HILO!A62)</f>
        <v/>
      </c>
      <c r="C62" s="84" t="str">
        <f>IF(COMPRAS_HILO!I62="","",COMPRAS_HILO!I62)</f>
        <v/>
      </c>
      <c r="D62" s="94" t="str">
        <f>IF(COMPRAS_HILO!J62="","",COMPRAS_HILO!J62)</f>
        <v/>
      </c>
      <c r="E62" s="84" t="str">
        <f>IF(COMPRAS_HILO!C62="","","Compra "&amp;COMPRAS_HILO!C62)</f>
        <v/>
      </c>
      <c r="F62" s="95" t="str">
        <f>IF(COMPRAS_HILO!H62=0,"",COMPRAS_HILO!H62)</f>
        <v/>
      </c>
      <c r="G62" s="95" t="str">
        <f>IF(COMPRAS_HILO!O62=0,"",COMPRAS_HILO!O62)</f>
        <v/>
      </c>
      <c r="H62" s="95" t="str">
        <f>IF(COMPRAS_HILO!P62=0,"",COMPRAS_HILO!P62)</f>
        <v/>
      </c>
      <c r="I62" s="94" t="str">
        <f>IF(COMPRAS_HILO!M62="","",COMPRAS_HILO!M62)</f>
        <v/>
      </c>
    </row>
    <row r="63" ht="15.75" customHeight="1">
      <c r="A63" s="92" t="s">
        <v>221</v>
      </c>
      <c r="B63" s="93" t="str">
        <f>IF(COMPRAS_HILO!A63="","",COMPRAS_HILO!A63)</f>
        <v/>
      </c>
      <c r="C63" s="84" t="str">
        <f>IF(COMPRAS_HILO!I63="","",COMPRAS_HILO!I63)</f>
        <v/>
      </c>
      <c r="D63" s="94" t="str">
        <f>IF(COMPRAS_HILO!J63="","",COMPRAS_HILO!J63)</f>
        <v/>
      </c>
      <c r="E63" s="84" t="str">
        <f>IF(COMPRAS_HILO!C63="","","Compra "&amp;COMPRAS_HILO!C63)</f>
        <v/>
      </c>
      <c r="F63" s="95" t="str">
        <f>IF(COMPRAS_HILO!H63=0,"",COMPRAS_HILO!H63)</f>
        <v/>
      </c>
      <c r="G63" s="95" t="str">
        <f>IF(COMPRAS_HILO!O63=0,"",COMPRAS_HILO!O63)</f>
        <v/>
      </c>
      <c r="H63" s="95" t="str">
        <f>IF(COMPRAS_HILO!P63=0,"",COMPRAS_HILO!P63)</f>
        <v/>
      </c>
      <c r="I63" s="94" t="str">
        <f>IF(COMPRAS_HILO!M63="","",COMPRAS_HILO!M63)</f>
        <v/>
      </c>
    </row>
    <row r="64" ht="15.75" customHeight="1">
      <c r="A64" s="92" t="s">
        <v>221</v>
      </c>
      <c r="B64" s="93" t="str">
        <f>IF(COMPRAS_HILO!A64="","",COMPRAS_HILO!A64)</f>
        <v/>
      </c>
      <c r="C64" s="84" t="str">
        <f>IF(COMPRAS_HILO!I64="","",COMPRAS_HILO!I64)</f>
        <v/>
      </c>
      <c r="D64" s="94" t="str">
        <f>IF(COMPRAS_HILO!J64="","",COMPRAS_HILO!J64)</f>
        <v/>
      </c>
      <c r="E64" s="84" t="str">
        <f>IF(COMPRAS_HILO!C64="","","Compra "&amp;COMPRAS_HILO!C64)</f>
        <v/>
      </c>
      <c r="F64" s="95" t="str">
        <f>IF(COMPRAS_HILO!H64=0,"",COMPRAS_HILO!H64)</f>
        <v/>
      </c>
      <c r="G64" s="95" t="str">
        <f>IF(COMPRAS_HILO!O64=0,"",COMPRAS_HILO!O64)</f>
        <v/>
      </c>
      <c r="H64" s="95" t="str">
        <f>IF(COMPRAS_HILO!P64=0,"",COMPRAS_HILO!P64)</f>
        <v/>
      </c>
      <c r="I64" s="94" t="str">
        <f>IF(COMPRAS_HILO!M64="","",COMPRAS_HILO!M64)</f>
        <v/>
      </c>
    </row>
    <row r="65" ht="15.75" customHeight="1">
      <c r="A65" s="92" t="s">
        <v>221</v>
      </c>
      <c r="B65" s="93" t="str">
        <f>IF(COMPRAS_HILO!A65="","",COMPRAS_HILO!A65)</f>
        <v/>
      </c>
      <c r="C65" s="84" t="str">
        <f>IF(COMPRAS_HILO!I65="","",COMPRAS_HILO!I65)</f>
        <v/>
      </c>
      <c r="D65" s="94" t="str">
        <f>IF(COMPRAS_HILO!J65="","",COMPRAS_HILO!J65)</f>
        <v/>
      </c>
      <c r="E65" s="84" t="str">
        <f>IF(COMPRAS_HILO!C65="","","Compra "&amp;COMPRAS_HILO!C65)</f>
        <v/>
      </c>
      <c r="F65" s="95" t="str">
        <f>IF(COMPRAS_HILO!H65=0,"",COMPRAS_HILO!H65)</f>
        <v/>
      </c>
      <c r="G65" s="95" t="str">
        <f>IF(COMPRAS_HILO!O65=0,"",COMPRAS_HILO!O65)</f>
        <v/>
      </c>
      <c r="H65" s="95" t="str">
        <f>IF(COMPRAS_HILO!P65=0,"",COMPRAS_HILO!P65)</f>
        <v/>
      </c>
      <c r="I65" s="94" t="str">
        <f>IF(COMPRAS_HILO!M65="","",COMPRAS_HILO!M65)</f>
        <v/>
      </c>
    </row>
    <row r="66" ht="15.75" customHeight="1">
      <c r="A66" s="92" t="s">
        <v>221</v>
      </c>
      <c r="B66" s="93" t="str">
        <f>IF(COMPRAS_HILO!A66="","",COMPRAS_HILO!A66)</f>
        <v/>
      </c>
      <c r="C66" s="84" t="str">
        <f>IF(COMPRAS_HILO!I66="","",COMPRAS_HILO!I66)</f>
        <v/>
      </c>
      <c r="D66" s="94" t="str">
        <f>IF(COMPRAS_HILO!J66="","",COMPRAS_HILO!J66)</f>
        <v/>
      </c>
      <c r="E66" s="84" t="str">
        <f>IF(COMPRAS_HILO!C66="","","Compra "&amp;COMPRAS_HILO!C66)</f>
        <v/>
      </c>
      <c r="F66" s="95" t="str">
        <f>IF(COMPRAS_HILO!H66=0,"",COMPRAS_HILO!H66)</f>
        <v/>
      </c>
      <c r="G66" s="95" t="str">
        <f>IF(COMPRAS_HILO!O66=0,"",COMPRAS_HILO!O66)</f>
        <v/>
      </c>
      <c r="H66" s="95" t="str">
        <f>IF(COMPRAS_HILO!P66=0,"",COMPRAS_HILO!P66)</f>
        <v/>
      </c>
      <c r="I66" s="94" t="str">
        <f>IF(COMPRAS_HILO!M66="","",COMPRAS_HILO!M66)</f>
        <v/>
      </c>
    </row>
    <row r="67" ht="15.75" customHeight="1">
      <c r="A67" s="92" t="s">
        <v>221</v>
      </c>
      <c r="B67" s="93" t="str">
        <f>IF(COMPRAS_HILO!A67="","",COMPRAS_HILO!A67)</f>
        <v/>
      </c>
      <c r="C67" s="84" t="str">
        <f>IF(COMPRAS_HILO!I67="","",COMPRAS_HILO!I67)</f>
        <v/>
      </c>
      <c r="D67" s="94" t="str">
        <f>IF(COMPRAS_HILO!J67="","",COMPRAS_HILO!J67)</f>
        <v/>
      </c>
      <c r="E67" s="84" t="str">
        <f>IF(COMPRAS_HILO!C67="","","Compra "&amp;COMPRAS_HILO!C67)</f>
        <v/>
      </c>
      <c r="F67" s="95" t="str">
        <f>IF(COMPRAS_HILO!H67=0,"",COMPRAS_HILO!H67)</f>
        <v/>
      </c>
      <c r="G67" s="95" t="str">
        <f>IF(COMPRAS_HILO!O67=0,"",COMPRAS_HILO!O67)</f>
        <v/>
      </c>
      <c r="H67" s="95" t="str">
        <f>IF(COMPRAS_HILO!P67=0,"",COMPRAS_HILO!P67)</f>
        <v/>
      </c>
      <c r="I67" s="94" t="str">
        <f>IF(COMPRAS_HILO!M67="","",COMPRAS_HILO!M67)</f>
        <v/>
      </c>
    </row>
    <row r="68" ht="15.75" customHeight="1">
      <c r="A68" s="92" t="s">
        <v>221</v>
      </c>
      <c r="B68" s="93" t="str">
        <f>IF(COMPRAS_HILO!A68="","",COMPRAS_HILO!A68)</f>
        <v/>
      </c>
      <c r="C68" s="84" t="str">
        <f>IF(COMPRAS_HILO!I68="","",COMPRAS_HILO!I68)</f>
        <v/>
      </c>
      <c r="D68" s="94" t="str">
        <f>IF(COMPRAS_HILO!J68="","",COMPRAS_HILO!J68)</f>
        <v/>
      </c>
      <c r="E68" s="84" t="str">
        <f>IF(COMPRAS_HILO!C68="","","Compra "&amp;COMPRAS_HILO!C68)</f>
        <v/>
      </c>
      <c r="F68" s="95" t="str">
        <f>IF(COMPRAS_HILO!H68=0,"",COMPRAS_HILO!H68)</f>
        <v/>
      </c>
      <c r="G68" s="95" t="str">
        <f>IF(COMPRAS_HILO!O68=0,"",COMPRAS_HILO!O68)</f>
        <v/>
      </c>
      <c r="H68" s="95" t="str">
        <f>IF(COMPRAS_HILO!P68=0,"",COMPRAS_HILO!P68)</f>
        <v/>
      </c>
      <c r="I68" s="94" t="str">
        <f>IF(COMPRAS_HILO!M68="","",COMPRAS_HILO!M68)</f>
        <v/>
      </c>
    </row>
    <row r="69" ht="15.75" customHeight="1">
      <c r="A69" s="92" t="s">
        <v>221</v>
      </c>
      <c r="B69" s="93" t="str">
        <f>IF(COMPRAS_HILO!A69="","",COMPRAS_HILO!A69)</f>
        <v/>
      </c>
      <c r="C69" s="84" t="str">
        <f>IF(COMPRAS_HILO!I69="","",COMPRAS_HILO!I69)</f>
        <v/>
      </c>
      <c r="D69" s="94" t="str">
        <f>IF(COMPRAS_HILO!J69="","",COMPRAS_HILO!J69)</f>
        <v/>
      </c>
      <c r="E69" s="84" t="str">
        <f>IF(COMPRAS_HILO!C69="","","Compra "&amp;COMPRAS_HILO!C69)</f>
        <v/>
      </c>
      <c r="F69" s="95" t="str">
        <f>IF(COMPRAS_HILO!H69=0,"",COMPRAS_HILO!H69)</f>
        <v/>
      </c>
      <c r="G69" s="95" t="str">
        <f>IF(COMPRAS_HILO!O69=0,"",COMPRAS_HILO!O69)</f>
        <v/>
      </c>
      <c r="H69" s="95" t="str">
        <f>IF(COMPRAS_HILO!P69=0,"",COMPRAS_HILO!P69)</f>
        <v/>
      </c>
      <c r="I69" s="94" t="str">
        <f>IF(COMPRAS_HILO!M69="","",COMPRAS_HILO!M69)</f>
        <v/>
      </c>
    </row>
    <row r="70" ht="15.75" customHeight="1">
      <c r="A70" s="92" t="s">
        <v>221</v>
      </c>
      <c r="B70" s="93" t="str">
        <f>IF(COMPRAS_HILO!A70="","",COMPRAS_HILO!A70)</f>
        <v/>
      </c>
      <c r="C70" s="84" t="str">
        <f>IF(COMPRAS_HILO!I70="","",COMPRAS_HILO!I70)</f>
        <v/>
      </c>
      <c r="D70" s="94" t="str">
        <f>IF(COMPRAS_HILO!J70="","",COMPRAS_HILO!J70)</f>
        <v/>
      </c>
      <c r="E70" s="84" t="str">
        <f>IF(COMPRAS_HILO!C70="","","Compra "&amp;COMPRAS_HILO!C70)</f>
        <v/>
      </c>
      <c r="F70" s="95" t="str">
        <f>IF(COMPRAS_HILO!H70=0,"",COMPRAS_HILO!H70)</f>
        <v/>
      </c>
      <c r="G70" s="95" t="str">
        <f>IF(COMPRAS_HILO!O70=0,"",COMPRAS_HILO!O70)</f>
        <v/>
      </c>
      <c r="H70" s="95" t="str">
        <f>IF(COMPRAS_HILO!P70=0,"",COMPRAS_HILO!P70)</f>
        <v/>
      </c>
      <c r="I70" s="94" t="str">
        <f>IF(COMPRAS_HILO!M70="","",COMPRAS_HILO!M70)</f>
        <v/>
      </c>
    </row>
    <row r="71" ht="15.75" customHeight="1">
      <c r="A71" s="92" t="s">
        <v>221</v>
      </c>
      <c r="B71" s="93" t="str">
        <f>IF(COMPRAS_HILO!A71="","",COMPRAS_HILO!A71)</f>
        <v/>
      </c>
      <c r="C71" s="84" t="str">
        <f>IF(COMPRAS_HILO!I71="","",COMPRAS_HILO!I71)</f>
        <v/>
      </c>
      <c r="D71" s="94" t="str">
        <f>IF(COMPRAS_HILO!J71="","",COMPRAS_HILO!J71)</f>
        <v/>
      </c>
      <c r="E71" s="84" t="str">
        <f>IF(COMPRAS_HILO!C71="","","Compra "&amp;COMPRAS_HILO!C71)</f>
        <v/>
      </c>
      <c r="F71" s="95" t="str">
        <f>IF(COMPRAS_HILO!H71=0,"",COMPRAS_HILO!H71)</f>
        <v/>
      </c>
      <c r="G71" s="95" t="str">
        <f>IF(COMPRAS_HILO!O71=0,"",COMPRAS_HILO!O71)</f>
        <v/>
      </c>
      <c r="H71" s="95" t="str">
        <f>IF(COMPRAS_HILO!P71=0,"",COMPRAS_HILO!P71)</f>
        <v/>
      </c>
      <c r="I71" s="94" t="str">
        <f>IF(COMPRAS_HILO!M71="","",COMPRAS_HILO!M71)</f>
        <v/>
      </c>
    </row>
    <row r="72" ht="15.75" customHeight="1">
      <c r="A72" s="92" t="s">
        <v>221</v>
      </c>
      <c r="B72" s="93" t="str">
        <f>IF(COMPRAS_HILO!A72="","",COMPRAS_HILO!A72)</f>
        <v/>
      </c>
      <c r="C72" s="84" t="str">
        <f>IF(COMPRAS_HILO!I72="","",COMPRAS_HILO!I72)</f>
        <v/>
      </c>
      <c r="D72" s="94" t="str">
        <f>IF(COMPRAS_HILO!J72="","",COMPRAS_HILO!J72)</f>
        <v/>
      </c>
      <c r="E72" s="84" t="str">
        <f>IF(COMPRAS_HILO!C72="","","Compra "&amp;COMPRAS_HILO!C72)</f>
        <v/>
      </c>
      <c r="F72" s="95" t="str">
        <f>IF(COMPRAS_HILO!H72=0,"",COMPRAS_HILO!H72)</f>
        <v/>
      </c>
      <c r="G72" s="95" t="str">
        <f>IF(COMPRAS_HILO!O72=0,"",COMPRAS_HILO!O72)</f>
        <v/>
      </c>
      <c r="H72" s="95" t="str">
        <f>IF(COMPRAS_HILO!P72=0,"",COMPRAS_HILO!P72)</f>
        <v/>
      </c>
      <c r="I72" s="94" t="str">
        <f>IF(COMPRAS_HILO!M72="","",COMPRAS_HILO!M72)</f>
        <v/>
      </c>
    </row>
    <row r="73" ht="15.75" customHeight="1">
      <c r="A73" s="92" t="s">
        <v>221</v>
      </c>
      <c r="B73" s="93" t="str">
        <f>IF(COMPRAS_HILO!A73="","",COMPRAS_HILO!A73)</f>
        <v/>
      </c>
      <c r="C73" s="84" t="str">
        <f>IF(COMPRAS_HILO!I73="","",COMPRAS_HILO!I73)</f>
        <v/>
      </c>
      <c r="D73" s="94" t="str">
        <f>IF(COMPRAS_HILO!J73="","",COMPRAS_HILO!J73)</f>
        <v/>
      </c>
      <c r="E73" s="84" t="str">
        <f>IF(COMPRAS_HILO!C73="","","Compra "&amp;COMPRAS_HILO!C73)</f>
        <v/>
      </c>
      <c r="F73" s="95" t="str">
        <f>IF(COMPRAS_HILO!H73=0,"",COMPRAS_HILO!H73)</f>
        <v/>
      </c>
      <c r="G73" s="95" t="str">
        <f>IF(COMPRAS_HILO!O73=0,"",COMPRAS_HILO!O73)</f>
        <v/>
      </c>
      <c r="H73" s="95" t="str">
        <f>IF(COMPRAS_HILO!P73=0,"",COMPRAS_HILO!P73)</f>
        <v/>
      </c>
      <c r="I73" s="94" t="str">
        <f>IF(COMPRAS_HILO!M73="","",COMPRAS_HILO!M73)</f>
        <v/>
      </c>
    </row>
    <row r="74" ht="15.75" customHeight="1">
      <c r="A74" s="92" t="s">
        <v>221</v>
      </c>
      <c r="B74" s="93" t="str">
        <f>IF(COMPRAS_HILO!A74="","",COMPRAS_HILO!A74)</f>
        <v/>
      </c>
      <c r="C74" s="84" t="str">
        <f>IF(COMPRAS_HILO!I74="","",COMPRAS_HILO!I74)</f>
        <v/>
      </c>
      <c r="D74" s="94" t="str">
        <f>IF(COMPRAS_HILO!J74="","",COMPRAS_HILO!J74)</f>
        <v/>
      </c>
      <c r="E74" s="84" t="str">
        <f>IF(COMPRAS_HILO!C74="","","Compra "&amp;COMPRAS_HILO!C74)</f>
        <v/>
      </c>
      <c r="F74" s="95" t="str">
        <f>IF(COMPRAS_HILO!H74=0,"",COMPRAS_HILO!H74)</f>
        <v/>
      </c>
      <c r="G74" s="95" t="str">
        <f>IF(COMPRAS_HILO!O74=0,"",COMPRAS_HILO!O74)</f>
        <v/>
      </c>
      <c r="H74" s="95" t="str">
        <f>IF(COMPRAS_HILO!P74=0,"",COMPRAS_HILO!P74)</f>
        <v/>
      </c>
      <c r="I74" s="94" t="str">
        <f>IF(COMPRAS_HILO!M74="","",COMPRAS_HILO!M74)</f>
        <v/>
      </c>
    </row>
    <row r="75" ht="15.75" customHeight="1">
      <c r="A75" s="92" t="s">
        <v>221</v>
      </c>
      <c r="B75" s="93" t="str">
        <f>IF(COMPRAS_HILO!A75="","",COMPRAS_HILO!A75)</f>
        <v/>
      </c>
      <c r="C75" s="84" t="str">
        <f>IF(COMPRAS_HILO!I75="","",COMPRAS_HILO!I75)</f>
        <v/>
      </c>
      <c r="D75" s="94" t="str">
        <f>IF(COMPRAS_HILO!J75="","",COMPRAS_HILO!J75)</f>
        <v/>
      </c>
      <c r="E75" s="84" t="str">
        <f>IF(COMPRAS_HILO!C75="","","Compra "&amp;COMPRAS_HILO!C75)</f>
        <v/>
      </c>
      <c r="F75" s="95" t="str">
        <f>IF(COMPRAS_HILO!H75=0,"",COMPRAS_HILO!H75)</f>
        <v/>
      </c>
      <c r="G75" s="95" t="str">
        <f>IF(COMPRAS_HILO!O75=0,"",COMPRAS_HILO!O75)</f>
        <v/>
      </c>
      <c r="H75" s="95" t="str">
        <f>IF(COMPRAS_HILO!P75=0,"",COMPRAS_HILO!P75)</f>
        <v/>
      </c>
      <c r="I75" s="94" t="str">
        <f>IF(COMPRAS_HILO!M75="","",COMPRAS_HILO!M75)</f>
        <v/>
      </c>
    </row>
    <row r="76" ht="15.75" customHeight="1">
      <c r="A76" s="92" t="s">
        <v>221</v>
      </c>
      <c r="B76" s="93" t="str">
        <f>IF(COMPRAS_HILO!A76="","",COMPRAS_HILO!A76)</f>
        <v/>
      </c>
      <c r="C76" s="84" t="str">
        <f>IF(COMPRAS_HILO!I76="","",COMPRAS_HILO!I76)</f>
        <v/>
      </c>
      <c r="D76" s="94" t="str">
        <f>IF(COMPRAS_HILO!J76="","",COMPRAS_HILO!J76)</f>
        <v/>
      </c>
      <c r="E76" s="84" t="str">
        <f>IF(COMPRAS_HILO!C76="","","Compra "&amp;COMPRAS_HILO!C76)</f>
        <v/>
      </c>
      <c r="F76" s="95" t="str">
        <f>IF(COMPRAS_HILO!H76=0,"",COMPRAS_HILO!H76)</f>
        <v/>
      </c>
      <c r="G76" s="95" t="str">
        <f>IF(COMPRAS_HILO!O76=0,"",COMPRAS_HILO!O76)</f>
        <v/>
      </c>
      <c r="H76" s="95" t="str">
        <f>IF(COMPRAS_HILO!P76=0,"",COMPRAS_HILO!P76)</f>
        <v/>
      </c>
      <c r="I76" s="94" t="str">
        <f>IF(COMPRAS_HILO!M76="","",COMPRAS_HILO!M76)</f>
        <v/>
      </c>
    </row>
    <row r="77" ht="15.75" customHeight="1">
      <c r="A77" s="92" t="s">
        <v>221</v>
      </c>
      <c r="B77" s="93" t="str">
        <f>IF(COMPRAS_HILO!A77="","",COMPRAS_HILO!A77)</f>
        <v/>
      </c>
      <c r="C77" s="84" t="str">
        <f>IF(COMPRAS_HILO!I77="","",COMPRAS_HILO!I77)</f>
        <v/>
      </c>
      <c r="D77" s="94" t="str">
        <f>IF(COMPRAS_HILO!J77="","",COMPRAS_HILO!J77)</f>
        <v/>
      </c>
      <c r="E77" s="84" t="str">
        <f>IF(COMPRAS_HILO!C77="","","Compra "&amp;COMPRAS_HILO!C77)</f>
        <v/>
      </c>
      <c r="F77" s="95" t="str">
        <f>IF(COMPRAS_HILO!H77=0,"",COMPRAS_HILO!H77)</f>
        <v/>
      </c>
      <c r="G77" s="95" t="str">
        <f>IF(COMPRAS_HILO!O77=0,"",COMPRAS_HILO!O77)</f>
        <v/>
      </c>
      <c r="H77" s="95" t="str">
        <f>IF(COMPRAS_HILO!P77=0,"",COMPRAS_HILO!P77)</f>
        <v/>
      </c>
      <c r="I77" s="94" t="str">
        <f>IF(COMPRAS_HILO!M77="","",COMPRAS_HILO!M77)</f>
        <v/>
      </c>
    </row>
    <row r="78" ht="15.75" customHeight="1">
      <c r="A78" s="92" t="s">
        <v>221</v>
      </c>
      <c r="B78" s="93" t="str">
        <f>IF(COMPRAS_HILO!A78="","",COMPRAS_HILO!A78)</f>
        <v/>
      </c>
      <c r="C78" s="84" t="str">
        <f>IF(COMPRAS_HILO!I78="","",COMPRAS_HILO!I78)</f>
        <v/>
      </c>
      <c r="D78" s="94" t="str">
        <f>IF(COMPRAS_HILO!J78="","",COMPRAS_HILO!J78)</f>
        <v/>
      </c>
      <c r="E78" s="84" t="str">
        <f>IF(COMPRAS_HILO!C78="","","Compra "&amp;COMPRAS_HILO!C78)</f>
        <v/>
      </c>
      <c r="F78" s="95" t="str">
        <f>IF(COMPRAS_HILO!H78=0,"",COMPRAS_HILO!H78)</f>
        <v/>
      </c>
      <c r="G78" s="95" t="str">
        <f>IF(COMPRAS_HILO!O78=0,"",COMPRAS_HILO!O78)</f>
        <v/>
      </c>
      <c r="H78" s="95" t="str">
        <f>IF(COMPRAS_HILO!P78=0,"",COMPRAS_HILO!P78)</f>
        <v/>
      </c>
      <c r="I78" s="94" t="str">
        <f>IF(COMPRAS_HILO!M78="","",COMPRAS_HILO!M78)</f>
        <v/>
      </c>
    </row>
    <row r="79" ht="15.75" customHeight="1">
      <c r="A79" s="92" t="s">
        <v>221</v>
      </c>
      <c r="B79" s="93" t="str">
        <f>IF(COMPRAS_HILO!A79="","",COMPRAS_HILO!A79)</f>
        <v/>
      </c>
      <c r="C79" s="84" t="str">
        <f>IF(COMPRAS_HILO!I79="","",COMPRAS_HILO!I79)</f>
        <v/>
      </c>
      <c r="D79" s="94" t="str">
        <f>IF(COMPRAS_HILO!J79="","",COMPRAS_HILO!J79)</f>
        <v/>
      </c>
      <c r="E79" s="84" t="str">
        <f>IF(COMPRAS_HILO!C79="","","Compra "&amp;COMPRAS_HILO!C79)</f>
        <v/>
      </c>
      <c r="F79" s="95" t="str">
        <f>IF(COMPRAS_HILO!H79=0,"",COMPRAS_HILO!H79)</f>
        <v/>
      </c>
      <c r="G79" s="95" t="str">
        <f>IF(COMPRAS_HILO!O79=0,"",COMPRAS_HILO!O79)</f>
        <v/>
      </c>
      <c r="H79" s="95" t="str">
        <f>IF(COMPRAS_HILO!P79=0,"",COMPRAS_HILO!P79)</f>
        <v/>
      </c>
      <c r="I79" s="94" t="str">
        <f>IF(COMPRAS_HILO!M79="","",COMPRAS_HILO!M79)</f>
        <v/>
      </c>
    </row>
    <row r="80" ht="15.75" customHeight="1">
      <c r="A80" s="92" t="s">
        <v>221</v>
      </c>
      <c r="B80" s="93" t="str">
        <f>IF(COMPRAS_HILO!A80="","",COMPRAS_HILO!A80)</f>
        <v/>
      </c>
      <c r="C80" s="84" t="str">
        <f>IF(COMPRAS_HILO!I80="","",COMPRAS_HILO!I80)</f>
        <v/>
      </c>
      <c r="D80" s="94" t="str">
        <f>IF(COMPRAS_HILO!J80="","",COMPRAS_HILO!J80)</f>
        <v/>
      </c>
      <c r="E80" s="84" t="str">
        <f>IF(COMPRAS_HILO!C80="","","Compra "&amp;COMPRAS_HILO!C80)</f>
        <v/>
      </c>
      <c r="F80" s="95" t="str">
        <f>IF(COMPRAS_HILO!H80=0,"",COMPRAS_HILO!H80)</f>
        <v/>
      </c>
      <c r="G80" s="95" t="str">
        <f>IF(COMPRAS_HILO!O80=0,"",COMPRAS_HILO!O80)</f>
        <v/>
      </c>
      <c r="H80" s="95" t="str">
        <f>IF(COMPRAS_HILO!P80=0,"",COMPRAS_HILO!P80)</f>
        <v/>
      </c>
      <c r="I80" s="94" t="str">
        <f>IF(COMPRAS_HILO!M80="","",COMPRAS_HILO!M80)</f>
        <v/>
      </c>
    </row>
    <row r="81" ht="15.75" customHeight="1">
      <c r="A81" s="92" t="s">
        <v>221</v>
      </c>
      <c r="B81" s="93" t="str">
        <f>IF(COMPRAS_HILO!A81="","",COMPRAS_HILO!A81)</f>
        <v/>
      </c>
      <c r="C81" s="84" t="str">
        <f>IF(COMPRAS_HILO!I81="","",COMPRAS_HILO!I81)</f>
        <v/>
      </c>
      <c r="D81" s="94" t="str">
        <f>IF(COMPRAS_HILO!J81="","",COMPRAS_HILO!J81)</f>
        <v/>
      </c>
      <c r="E81" s="84" t="str">
        <f>IF(COMPRAS_HILO!C81="","","Compra "&amp;COMPRAS_HILO!C81)</f>
        <v/>
      </c>
      <c r="F81" s="95" t="str">
        <f>IF(COMPRAS_HILO!H81=0,"",COMPRAS_HILO!H81)</f>
        <v/>
      </c>
      <c r="G81" s="95" t="str">
        <f>IF(COMPRAS_HILO!O81=0,"",COMPRAS_HILO!O81)</f>
        <v/>
      </c>
      <c r="H81" s="95" t="str">
        <f>IF(COMPRAS_HILO!P81=0,"",COMPRAS_HILO!P81)</f>
        <v/>
      </c>
      <c r="I81" s="94" t="str">
        <f>IF(COMPRAS_HILO!M81="","",COMPRAS_HILO!M81)</f>
        <v/>
      </c>
    </row>
    <row r="82" ht="15.75" customHeight="1">
      <c r="A82" s="92" t="s">
        <v>221</v>
      </c>
      <c r="B82" s="93" t="str">
        <f>IF(COMPRAS_HILO!A82="","",COMPRAS_HILO!A82)</f>
        <v/>
      </c>
      <c r="C82" s="84" t="str">
        <f>IF(COMPRAS_HILO!I82="","",COMPRAS_HILO!I82)</f>
        <v/>
      </c>
      <c r="D82" s="94" t="str">
        <f>IF(COMPRAS_HILO!J82="","",COMPRAS_HILO!J82)</f>
        <v/>
      </c>
      <c r="E82" s="84" t="str">
        <f>IF(COMPRAS_HILO!C82="","","Compra "&amp;COMPRAS_HILO!C82)</f>
        <v/>
      </c>
      <c r="F82" s="95" t="str">
        <f>IF(COMPRAS_HILO!H82=0,"",COMPRAS_HILO!H82)</f>
        <v/>
      </c>
      <c r="G82" s="95" t="str">
        <f>IF(COMPRAS_HILO!O82=0,"",COMPRAS_HILO!O82)</f>
        <v/>
      </c>
      <c r="H82" s="95" t="str">
        <f>IF(COMPRAS_HILO!P82=0,"",COMPRAS_HILO!P82)</f>
        <v/>
      </c>
      <c r="I82" s="94" t="str">
        <f>IF(COMPRAS_HILO!M82="","",COMPRAS_HILO!M82)</f>
        <v/>
      </c>
    </row>
    <row r="83" ht="15.75" customHeight="1">
      <c r="A83" s="92" t="s">
        <v>221</v>
      </c>
      <c r="B83" s="93" t="str">
        <f>IF(COMPRAS_HILO!A83="","",COMPRAS_HILO!A83)</f>
        <v/>
      </c>
      <c r="C83" s="84" t="str">
        <f>IF(COMPRAS_HILO!I83="","",COMPRAS_HILO!I83)</f>
        <v/>
      </c>
      <c r="D83" s="94" t="str">
        <f>IF(COMPRAS_HILO!J83="","",COMPRAS_HILO!J83)</f>
        <v/>
      </c>
      <c r="E83" s="84" t="str">
        <f>IF(COMPRAS_HILO!C83="","","Compra "&amp;COMPRAS_HILO!C83)</f>
        <v/>
      </c>
      <c r="F83" s="95" t="str">
        <f>IF(COMPRAS_HILO!H83=0,"",COMPRAS_HILO!H83)</f>
        <v/>
      </c>
      <c r="G83" s="95" t="str">
        <f>IF(COMPRAS_HILO!O83=0,"",COMPRAS_HILO!O83)</f>
        <v/>
      </c>
      <c r="H83" s="95" t="str">
        <f>IF(COMPRAS_HILO!P83=0,"",COMPRAS_HILO!P83)</f>
        <v/>
      </c>
      <c r="I83" s="94" t="str">
        <f>IF(COMPRAS_HILO!M83="","",COMPRAS_HILO!M83)</f>
        <v/>
      </c>
    </row>
    <row r="84" ht="15.75" customHeight="1">
      <c r="A84" s="92" t="s">
        <v>221</v>
      </c>
      <c r="B84" s="93" t="str">
        <f>IF(COMPRAS_HILO!A84="","",COMPRAS_HILO!A84)</f>
        <v/>
      </c>
      <c r="C84" s="84" t="str">
        <f>IF(COMPRAS_HILO!I84="","",COMPRAS_HILO!I84)</f>
        <v/>
      </c>
      <c r="D84" s="94" t="str">
        <f>IF(COMPRAS_HILO!J84="","",COMPRAS_HILO!J84)</f>
        <v/>
      </c>
      <c r="E84" s="84" t="str">
        <f>IF(COMPRAS_HILO!C84="","","Compra "&amp;COMPRAS_HILO!C84)</f>
        <v/>
      </c>
      <c r="F84" s="95" t="str">
        <f>IF(COMPRAS_HILO!H84=0,"",COMPRAS_HILO!H84)</f>
        <v/>
      </c>
      <c r="G84" s="95" t="str">
        <f>IF(COMPRAS_HILO!O84=0,"",COMPRAS_HILO!O84)</f>
        <v/>
      </c>
      <c r="H84" s="95" t="str">
        <f>IF(COMPRAS_HILO!P84=0,"",COMPRAS_HILO!P84)</f>
        <v/>
      </c>
      <c r="I84" s="94" t="str">
        <f>IF(COMPRAS_HILO!M84="","",COMPRAS_HILO!M84)</f>
        <v/>
      </c>
    </row>
    <row r="85" ht="15.75" customHeight="1">
      <c r="A85" s="92" t="s">
        <v>221</v>
      </c>
      <c r="B85" s="93" t="str">
        <f>IF(COMPRAS_HILO!A85="","",COMPRAS_HILO!A85)</f>
        <v/>
      </c>
      <c r="C85" s="84" t="str">
        <f>IF(COMPRAS_HILO!I85="","",COMPRAS_HILO!I85)</f>
        <v/>
      </c>
      <c r="D85" s="94" t="str">
        <f>IF(COMPRAS_HILO!J85="","",COMPRAS_HILO!J85)</f>
        <v/>
      </c>
      <c r="E85" s="84" t="str">
        <f>IF(COMPRAS_HILO!C85="","","Compra "&amp;COMPRAS_HILO!C85)</f>
        <v/>
      </c>
      <c r="F85" s="95" t="str">
        <f>IF(COMPRAS_HILO!H85=0,"",COMPRAS_HILO!H85)</f>
        <v/>
      </c>
      <c r="G85" s="95" t="str">
        <f>IF(COMPRAS_HILO!O85=0,"",COMPRAS_HILO!O85)</f>
        <v/>
      </c>
      <c r="H85" s="95" t="str">
        <f>IF(COMPRAS_HILO!P85=0,"",COMPRAS_HILO!P85)</f>
        <v/>
      </c>
      <c r="I85" s="94" t="str">
        <f>IF(COMPRAS_HILO!M85="","",COMPRAS_HILO!M85)</f>
        <v/>
      </c>
    </row>
    <row r="86" ht="15.75" customHeight="1">
      <c r="A86" s="92" t="s">
        <v>221</v>
      </c>
      <c r="B86" s="93" t="str">
        <f>IF(COMPRAS_HILO!A86="","",COMPRAS_HILO!A86)</f>
        <v/>
      </c>
      <c r="C86" s="84" t="str">
        <f>IF(COMPRAS_HILO!I86="","",COMPRAS_HILO!I86)</f>
        <v/>
      </c>
      <c r="D86" s="94" t="str">
        <f>IF(COMPRAS_HILO!J86="","",COMPRAS_HILO!J86)</f>
        <v/>
      </c>
      <c r="E86" s="84" t="str">
        <f>IF(COMPRAS_HILO!C86="","","Compra "&amp;COMPRAS_HILO!C86)</f>
        <v/>
      </c>
      <c r="F86" s="95" t="str">
        <f>IF(COMPRAS_HILO!H86=0,"",COMPRAS_HILO!H86)</f>
        <v/>
      </c>
      <c r="G86" s="95" t="str">
        <f>IF(COMPRAS_HILO!O86=0,"",COMPRAS_HILO!O86)</f>
        <v/>
      </c>
      <c r="H86" s="95" t="str">
        <f>IF(COMPRAS_HILO!P86=0,"",COMPRAS_HILO!P86)</f>
        <v/>
      </c>
      <c r="I86" s="94" t="str">
        <f>IF(COMPRAS_HILO!M86="","",COMPRAS_HILO!M86)</f>
        <v/>
      </c>
    </row>
    <row r="87" ht="15.75" customHeight="1">
      <c r="A87" s="92" t="s">
        <v>221</v>
      </c>
      <c r="B87" s="93" t="str">
        <f>IF(COMPRAS_HILO!A87="","",COMPRAS_HILO!A87)</f>
        <v/>
      </c>
      <c r="C87" s="84" t="str">
        <f>IF(COMPRAS_HILO!I87="","",COMPRAS_HILO!I87)</f>
        <v/>
      </c>
      <c r="D87" s="94" t="str">
        <f>IF(COMPRAS_HILO!J87="","",COMPRAS_HILO!J87)</f>
        <v/>
      </c>
      <c r="E87" s="84" t="str">
        <f>IF(COMPRAS_HILO!C87="","","Compra "&amp;COMPRAS_HILO!C87)</f>
        <v/>
      </c>
      <c r="F87" s="95" t="str">
        <f>IF(COMPRAS_HILO!H87=0,"",COMPRAS_HILO!H87)</f>
        <v/>
      </c>
      <c r="G87" s="95" t="str">
        <f>IF(COMPRAS_HILO!O87=0,"",COMPRAS_HILO!O87)</f>
        <v/>
      </c>
      <c r="H87" s="95" t="str">
        <f>IF(COMPRAS_HILO!P87=0,"",COMPRAS_HILO!P87)</f>
        <v/>
      </c>
      <c r="I87" s="94" t="str">
        <f>IF(COMPRAS_HILO!M87="","",COMPRAS_HILO!M87)</f>
        <v/>
      </c>
    </row>
    <row r="88" ht="15.75" customHeight="1">
      <c r="A88" s="92" t="s">
        <v>221</v>
      </c>
      <c r="B88" s="93" t="str">
        <f>IF(COMPRAS_HILO!A88="","",COMPRAS_HILO!A88)</f>
        <v/>
      </c>
      <c r="C88" s="84" t="str">
        <f>IF(COMPRAS_HILO!I88="","",COMPRAS_HILO!I88)</f>
        <v/>
      </c>
      <c r="D88" s="94" t="str">
        <f>IF(COMPRAS_HILO!J88="","",COMPRAS_HILO!J88)</f>
        <v/>
      </c>
      <c r="E88" s="84" t="str">
        <f>IF(COMPRAS_HILO!C88="","","Compra "&amp;COMPRAS_HILO!C88)</f>
        <v/>
      </c>
      <c r="F88" s="95" t="str">
        <f>IF(COMPRAS_HILO!H88=0,"",COMPRAS_HILO!H88)</f>
        <v/>
      </c>
      <c r="G88" s="95" t="str">
        <f>IF(COMPRAS_HILO!O88=0,"",COMPRAS_HILO!O88)</f>
        <v/>
      </c>
      <c r="H88" s="95" t="str">
        <f>IF(COMPRAS_HILO!P88=0,"",COMPRAS_HILO!P88)</f>
        <v/>
      </c>
      <c r="I88" s="94" t="str">
        <f>IF(COMPRAS_HILO!M88="","",COMPRAS_HILO!M88)</f>
        <v/>
      </c>
    </row>
    <row r="89" ht="15.75" customHeight="1">
      <c r="A89" s="92" t="s">
        <v>221</v>
      </c>
      <c r="B89" s="93" t="str">
        <f>IF(COMPRAS_HILO!A89="","",COMPRAS_HILO!A89)</f>
        <v/>
      </c>
      <c r="C89" s="84" t="str">
        <f>IF(COMPRAS_HILO!I89="","",COMPRAS_HILO!I89)</f>
        <v/>
      </c>
      <c r="D89" s="94" t="str">
        <f>IF(COMPRAS_HILO!J89="","",COMPRAS_HILO!J89)</f>
        <v/>
      </c>
      <c r="E89" s="84" t="str">
        <f>IF(COMPRAS_HILO!C89="","","Compra "&amp;COMPRAS_HILO!C89)</f>
        <v/>
      </c>
      <c r="F89" s="95" t="str">
        <f>IF(COMPRAS_HILO!H89=0,"",COMPRAS_HILO!H89)</f>
        <v/>
      </c>
      <c r="G89" s="95" t="str">
        <f>IF(COMPRAS_HILO!O89=0,"",COMPRAS_HILO!O89)</f>
        <v/>
      </c>
      <c r="H89" s="95" t="str">
        <f>IF(COMPRAS_HILO!P89=0,"",COMPRAS_HILO!P89)</f>
        <v/>
      </c>
      <c r="I89" s="94" t="str">
        <f>IF(COMPRAS_HILO!M89="","",COMPRAS_HILO!M89)</f>
        <v/>
      </c>
    </row>
    <row r="90" ht="15.75" customHeight="1">
      <c r="A90" s="92" t="s">
        <v>221</v>
      </c>
      <c r="B90" s="93" t="str">
        <f>IF(COMPRAS_HILO!A90="","",COMPRAS_HILO!A90)</f>
        <v/>
      </c>
      <c r="C90" s="84" t="str">
        <f>IF(COMPRAS_HILO!I90="","",COMPRAS_HILO!I90)</f>
        <v/>
      </c>
      <c r="D90" s="94" t="str">
        <f>IF(COMPRAS_HILO!J90="","",COMPRAS_HILO!J90)</f>
        <v/>
      </c>
      <c r="E90" s="84" t="str">
        <f>IF(COMPRAS_HILO!C90="","","Compra "&amp;COMPRAS_HILO!C90)</f>
        <v/>
      </c>
      <c r="F90" s="95" t="str">
        <f>IF(COMPRAS_HILO!H90=0,"",COMPRAS_HILO!H90)</f>
        <v/>
      </c>
      <c r="G90" s="95" t="str">
        <f>IF(COMPRAS_HILO!O90=0,"",COMPRAS_HILO!O90)</f>
        <v/>
      </c>
      <c r="H90" s="95" t="str">
        <f>IF(COMPRAS_HILO!P90=0,"",COMPRAS_HILO!P90)</f>
        <v/>
      </c>
      <c r="I90" s="94" t="str">
        <f>IF(COMPRAS_HILO!M90="","",COMPRAS_HILO!M90)</f>
        <v/>
      </c>
    </row>
    <row r="91" ht="15.75" customHeight="1">
      <c r="A91" s="92" t="s">
        <v>221</v>
      </c>
      <c r="B91" s="93" t="str">
        <f>IF(COMPRAS_HILO!A91="","",COMPRAS_HILO!A91)</f>
        <v/>
      </c>
      <c r="C91" s="84" t="str">
        <f>IF(COMPRAS_HILO!I91="","",COMPRAS_HILO!I91)</f>
        <v/>
      </c>
      <c r="D91" s="94" t="str">
        <f>IF(COMPRAS_HILO!J91="","",COMPRAS_HILO!J91)</f>
        <v/>
      </c>
      <c r="E91" s="84" t="str">
        <f>IF(COMPRAS_HILO!C91="","","Compra "&amp;COMPRAS_HILO!C91)</f>
        <v/>
      </c>
      <c r="F91" s="95" t="str">
        <f>IF(COMPRAS_HILO!H91=0,"",COMPRAS_HILO!H91)</f>
        <v/>
      </c>
      <c r="G91" s="95" t="str">
        <f>IF(COMPRAS_HILO!O91=0,"",COMPRAS_HILO!O91)</f>
        <v/>
      </c>
      <c r="H91" s="95" t="str">
        <f>IF(COMPRAS_HILO!P91=0,"",COMPRAS_HILO!P91)</f>
        <v/>
      </c>
      <c r="I91" s="94" t="str">
        <f>IF(COMPRAS_HILO!M91="","",COMPRAS_HILO!M91)</f>
        <v/>
      </c>
    </row>
    <row r="92" ht="15.75" customHeight="1">
      <c r="A92" s="92" t="s">
        <v>221</v>
      </c>
      <c r="B92" s="93" t="str">
        <f>IF(COMPRAS_HILO!A92="","",COMPRAS_HILO!A92)</f>
        <v/>
      </c>
      <c r="C92" s="84" t="str">
        <f>IF(COMPRAS_HILO!I92="","",COMPRAS_HILO!I92)</f>
        <v/>
      </c>
      <c r="D92" s="94" t="str">
        <f>IF(COMPRAS_HILO!J92="","",COMPRAS_HILO!J92)</f>
        <v/>
      </c>
      <c r="E92" s="84" t="str">
        <f>IF(COMPRAS_HILO!C92="","","Compra "&amp;COMPRAS_HILO!C92)</f>
        <v/>
      </c>
      <c r="F92" s="95" t="str">
        <f>IF(COMPRAS_HILO!H92=0,"",COMPRAS_HILO!H92)</f>
        <v/>
      </c>
      <c r="G92" s="95" t="str">
        <f>IF(COMPRAS_HILO!O92=0,"",COMPRAS_HILO!O92)</f>
        <v/>
      </c>
      <c r="H92" s="95" t="str">
        <f>IF(COMPRAS_HILO!P92=0,"",COMPRAS_HILO!P92)</f>
        <v/>
      </c>
      <c r="I92" s="94" t="str">
        <f>IF(COMPRAS_HILO!M92="","",COMPRAS_HILO!M92)</f>
        <v/>
      </c>
    </row>
    <row r="93" ht="15.75" customHeight="1">
      <c r="A93" s="92" t="s">
        <v>221</v>
      </c>
      <c r="B93" s="93" t="str">
        <f>IF(COMPRAS_HILO!A93="","",COMPRAS_HILO!A93)</f>
        <v/>
      </c>
      <c r="C93" s="84" t="str">
        <f>IF(COMPRAS_HILO!I93="","",COMPRAS_HILO!I93)</f>
        <v/>
      </c>
      <c r="D93" s="94" t="str">
        <f>IF(COMPRAS_HILO!J93="","",COMPRAS_HILO!J93)</f>
        <v/>
      </c>
      <c r="E93" s="84" t="str">
        <f>IF(COMPRAS_HILO!C93="","","Compra "&amp;COMPRAS_HILO!C93)</f>
        <v/>
      </c>
      <c r="F93" s="95" t="str">
        <f>IF(COMPRAS_HILO!H93=0,"",COMPRAS_HILO!H93)</f>
        <v/>
      </c>
      <c r="G93" s="95" t="str">
        <f>IF(COMPRAS_HILO!O93=0,"",COMPRAS_HILO!O93)</f>
        <v/>
      </c>
      <c r="H93" s="95" t="str">
        <f>IF(COMPRAS_HILO!P93=0,"",COMPRAS_HILO!P93)</f>
        <v/>
      </c>
      <c r="I93" s="94" t="str">
        <f>IF(COMPRAS_HILO!M93="","",COMPRAS_HILO!M93)</f>
        <v/>
      </c>
    </row>
    <row r="94" ht="15.75" customHeight="1">
      <c r="A94" s="92" t="s">
        <v>221</v>
      </c>
      <c r="B94" s="93" t="str">
        <f>IF(COMPRAS_HILO!A94="","",COMPRAS_HILO!A94)</f>
        <v/>
      </c>
      <c r="C94" s="84" t="str">
        <f>IF(COMPRAS_HILO!I94="","",COMPRAS_HILO!I94)</f>
        <v/>
      </c>
      <c r="D94" s="94" t="str">
        <f>IF(COMPRAS_HILO!J94="","",COMPRAS_HILO!J94)</f>
        <v/>
      </c>
      <c r="E94" s="84" t="str">
        <f>IF(COMPRAS_HILO!C94="","","Compra "&amp;COMPRAS_HILO!C94)</f>
        <v/>
      </c>
      <c r="F94" s="95" t="str">
        <f>IF(COMPRAS_HILO!H94=0,"",COMPRAS_HILO!H94)</f>
        <v/>
      </c>
      <c r="G94" s="95" t="str">
        <f>IF(COMPRAS_HILO!O94=0,"",COMPRAS_HILO!O94)</f>
        <v/>
      </c>
      <c r="H94" s="95" t="str">
        <f>IF(COMPRAS_HILO!P94=0,"",COMPRAS_HILO!P94)</f>
        <v/>
      </c>
      <c r="I94" s="94" t="str">
        <f>IF(COMPRAS_HILO!M94="","",COMPRAS_HILO!M94)</f>
        <v/>
      </c>
    </row>
    <row r="95" ht="15.75" customHeight="1">
      <c r="A95" s="92" t="s">
        <v>221</v>
      </c>
      <c r="B95" s="93" t="str">
        <f>IF(COMPRAS_HILO!A95="","",COMPRAS_HILO!A95)</f>
        <v/>
      </c>
      <c r="C95" s="84" t="str">
        <f>IF(COMPRAS_HILO!I95="","",COMPRAS_HILO!I95)</f>
        <v/>
      </c>
      <c r="D95" s="94" t="str">
        <f>IF(COMPRAS_HILO!J95="","",COMPRAS_HILO!J95)</f>
        <v/>
      </c>
      <c r="E95" s="84" t="str">
        <f>IF(COMPRAS_HILO!C95="","","Compra "&amp;COMPRAS_HILO!C95)</f>
        <v/>
      </c>
      <c r="F95" s="95" t="str">
        <f>IF(COMPRAS_HILO!H95=0,"",COMPRAS_HILO!H95)</f>
        <v/>
      </c>
      <c r="G95" s="95" t="str">
        <f>IF(COMPRAS_HILO!O95=0,"",COMPRAS_HILO!O95)</f>
        <v/>
      </c>
      <c r="H95" s="95" t="str">
        <f>IF(COMPRAS_HILO!P95=0,"",COMPRAS_HILO!P95)</f>
        <v/>
      </c>
      <c r="I95" s="94" t="str">
        <f>IF(COMPRAS_HILO!M95="","",COMPRAS_HILO!M95)</f>
        <v/>
      </c>
    </row>
    <row r="96" ht="15.75" customHeight="1">
      <c r="A96" s="92" t="s">
        <v>221</v>
      </c>
      <c r="B96" s="93" t="str">
        <f>IF(COMPRAS_HILO!A96="","",COMPRAS_HILO!A96)</f>
        <v/>
      </c>
      <c r="C96" s="84" t="str">
        <f>IF(COMPRAS_HILO!I96="","",COMPRAS_HILO!I96)</f>
        <v/>
      </c>
      <c r="D96" s="94" t="str">
        <f>IF(COMPRAS_HILO!J96="","",COMPRAS_HILO!J96)</f>
        <v/>
      </c>
      <c r="E96" s="84" t="str">
        <f>IF(COMPRAS_HILO!C96="","","Compra "&amp;COMPRAS_HILO!C96)</f>
        <v/>
      </c>
      <c r="F96" s="95" t="str">
        <f>IF(COMPRAS_HILO!H96=0,"",COMPRAS_HILO!H96)</f>
        <v/>
      </c>
      <c r="G96" s="95" t="str">
        <f>IF(COMPRAS_HILO!O96=0,"",COMPRAS_HILO!O96)</f>
        <v/>
      </c>
      <c r="H96" s="95" t="str">
        <f>IF(COMPRAS_HILO!P96=0,"",COMPRAS_HILO!P96)</f>
        <v/>
      </c>
      <c r="I96" s="94" t="str">
        <f>IF(COMPRAS_HILO!M96="","",COMPRAS_HILO!M96)</f>
        <v/>
      </c>
    </row>
    <row r="97" ht="15.75" customHeight="1">
      <c r="A97" s="92" t="s">
        <v>221</v>
      </c>
      <c r="B97" s="93" t="str">
        <f>IF(COMPRAS_HILO!A97="","",COMPRAS_HILO!A97)</f>
        <v/>
      </c>
      <c r="C97" s="84" t="str">
        <f>IF(COMPRAS_HILO!I97="","",COMPRAS_HILO!I97)</f>
        <v/>
      </c>
      <c r="D97" s="94" t="str">
        <f>IF(COMPRAS_HILO!J97="","",COMPRAS_HILO!J97)</f>
        <v/>
      </c>
      <c r="E97" s="84" t="str">
        <f>IF(COMPRAS_HILO!C97="","","Compra "&amp;COMPRAS_HILO!C97)</f>
        <v/>
      </c>
      <c r="F97" s="95" t="str">
        <f>IF(COMPRAS_HILO!H97=0,"",COMPRAS_HILO!H97)</f>
        <v/>
      </c>
      <c r="G97" s="95" t="str">
        <f>IF(COMPRAS_HILO!O97=0,"",COMPRAS_HILO!O97)</f>
        <v/>
      </c>
      <c r="H97" s="95" t="str">
        <f>IF(COMPRAS_HILO!P97=0,"",COMPRAS_HILO!P97)</f>
        <v/>
      </c>
      <c r="I97" s="94" t="str">
        <f>IF(COMPRAS_HILO!M97="","",COMPRAS_HILO!M97)</f>
        <v/>
      </c>
    </row>
    <row r="98" ht="15.75" customHeight="1">
      <c r="A98" s="92" t="s">
        <v>221</v>
      </c>
      <c r="B98" s="93" t="str">
        <f>IF(COMPRAS_HILO!A98="","",COMPRAS_HILO!A98)</f>
        <v/>
      </c>
      <c r="C98" s="84" t="str">
        <f>IF(COMPRAS_HILO!I98="","",COMPRAS_HILO!I98)</f>
        <v/>
      </c>
      <c r="D98" s="94" t="str">
        <f>IF(COMPRAS_HILO!J98="","",COMPRAS_HILO!J98)</f>
        <v/>
      </c>
      <c r="E98" s="84" t="str">
        <f>IF(COMPRAS_HILO!C98="","","Compra "&amp;COMPRAS_HILO!C98)</f>
        <v/>
      </c>
      <c r="F98" s="95" t="str">
        <f>IF(COMPRAS_HILO!H98=0,"",COMPRAS_HILO!H98)</f>
        <v/>
      </c>
      <c r="G98" s="95" t="str">
        <f>IF(COMPRAS_HILO!O98=0,"",COMPRAS_HILO!O98)</f>
        <v/>
      </c>
      <c r="H98" s="95" t="str">
        <f>IF(COMPRAS_HILO!P98=0,"",COMPRAS_HILO!P98)</f>
        <v/>
      </c>
      <c r="I98" s="94" t="str">
        <f>IF(COMPRAS_HILO!M98="","",COMPRAS_HILO!M98)</f>
        <v/>
      </c>
    </row>
    <row r="99" ht="15.75" customHeight="1">
      <c r="A99" s="92" t="s">
        <v>221</v>
      </c>
      <c r="B99" s="93" t="str">
        <f>IF(COMPRAS_HILO!A99="","",COMPRAS_HILO!A99)</f>
        <v/>
      </c>
      <c r="C99" s="84" t="str">
        <f>IF(COMPRAS_HILO!I99="","",COMPRAS_HILO!I99)</f>
        <v/>
      </c>
      <c r="D99" s="94" t="str">
        <f>IF(COMPRAS_HILO!J99="","",COMPRAS_HILO!J99)</f>
        <v/>
      </c>
      <c r="E99" s="84" t="str">
        <f>IF(COMPRAS_HILO!C99="","","Compra "&amp;COMPRAS_HILO!C99)</f>
        <v/>
      </c>
      <c r="F99" s="95" t="str">
        <f>IF(COMPRAS_HILO!H99=0,"",COMPRAS_HILO!H99)</f>
        <v/>
      </c>
      <c r="G99" s="95" t="str">
        <f>IF(COMPRAS_HILO!O99=0,"",COMPRAS_HILO!O99)</f>
        <v/>
      </c>
      <c r="H99" s="95" t="str">
        <f>IF(COMPRAS_HILO!P99=0,"",COMPRAS_HILO!P99)</f>
        <v/>
      </c>
      <c r="I99" s="94" t="str">
        <f>IF(COMPRAS_HILO!M99="","",COMPRAS_HILO!M99)</f>
        <v/>
      </c>
    </row>
    <row r="100" ht="15.75" customHeight="1">
      <c r="A100" s="92" t="s">
        <v>221</v>
      </c>
      <c r="B100" s="93" t="str">
        <f>IF(COMPRAS_HILO!A100="","",COMPRAS_HILO!A100)</f>
        <v/>
      </c>
      <c r="C100" s="84" t="str">
        <f>IF(COMPRAS_HILO!I100="","",COMPRAS_HILO!I100)</f>
        <v/>
      </c>
      <c r="D100" s="94" t="str">
        <f>IF(COMPRAS_HILO!J100="","",COMPRAS_HILO!J100)</f>
        <v/>
      </c>
      <c r="E100" s="84" t="str">
        <f>IF(COMPRAS_HILO!C100="","","Compra "&amp;COMPRAS_HILO!C100)</f>
        <v/>
      </c>
      <c r="F100" s="95" t="str">
        <f>IF(COMPRAS_HILO!H100=0,"",COMPRAS_HILO!H100)</f>
        <v/>
      </c>
      <c r="G100" s="95" t="str">
        <f>IF(COMPRAS_HILO!O100=0,"",COMPRAS_HILO!O100)</f>
        <v/>
      </c>
      <c r="H100" s="95" t="str">
        <f>IF(COMPRAS_HILO!P100=0,"",COMPRAS_HILO!P100)</f>
        <v/>
      </c>
      <c r="I100" s="94" t="str">
        <f>IF(COMPRAS_HILO!M100="","",COMPRAS_HILO!M100)</f>
        <v/>
      </c>
    </row>
    <row r="101" ht="15.75" customHeight="1">
      <c r="A101" s="92" t="s">
        <v>221</v>
      </c>
      <c r="B101" s="93" t="str">
        <f>IF(COMPRAS_HILO!A101="","",COMPRAS_HILO!A101)</f>
        <v/>
      </c>
      <c r="C101" s="84" t="str">
        <f>IF(COMPRAS_HILO!I101="","",COMPRAS_HILO!I101)</f>
        <v/>
      </c>
      <c r="D101" s="94" t="str">
        <f>IF(COMPRAS_HILO!J101="","",COMPRAS_HILO!J101)</f>
        <v/>
      </c>
      <c r="E101" s="84" t="str">
        <f>IF(COMPRAS_HILO!C101="","","Compra "&amp;COMPRAS_HILO!C101)</f>
        <v/>
      </c>
      <c r="F101" s="95" t="str">
        <f>IF(COMPRAS_HILO!H101=0,"",COMPRAS_HILO!H101)</f>
        <v/>
      </c>
      <c r="G101" s="95" t="str">
        <f>IF(COMPRAS_HILO!O101=0,"",COMPRAS_HILO!O101)</f>
        <v/>
      </c>
      <c r="H101" s="95" t="str">
        <f>IF(COMPRAS_HILO!P101=0,"",COMPRAS_HILO!P101)</f>
        <v/>
      </c>
      <c r="I101" s="94" t="str">
        <f>IF(COMPRAS_HILO!M101="","",COMPRAS_HILO!M101)</f>
        <v/>
      </c>
    </row>
    <row r="102" ht="15.75" customHeight="1">
      <c r="A102" s="92" t="s">
        <v>221</v>
      </c>
      <c r="B102" s="93" t="str">
        <f>IF(COMPRAS_HILO!A102="","",COMPRAS_HILO!A102)</f>
        <v/>
      </c>
      <c r="C102" s="84" t="str">
        <f>IF(COMPRAS_HILO!I102="","",COMPRAS_HILO!I102)</f>
        <v/>
      </c>
      <c r="D102" s="94" t="str">
        <f>IF(COMPRAS_HILO!J102="","",COMPRAS_HILO!J102)</f>
        <v/>
      </c>
      <c r="E102" s="84" t="str">
        <f>IF(COMPRAS_HILO!C102="","","Compra "&amp;COMPRAS_HILO!C102)</f>
        <v/>
      </c>
      <c r="F102" s="95" t="str">
        <f>IF(COMPRAS_HILO!H102=0,"",COMPRAS_HILO!H102)</f>
        <v/>
      </c>
      <c r="G102" s="95" t="str">
        <f>IF(COMPRAS_HILO!O102=0,"",COMPRAS_HILO!O102)</f>
        <v/>
      </c>
      <c r="H102" s="95" t="str">
        <f>IF(COMPRAS_HILO!P102=0,"",COMPRAS_HILO!P102)</f>
        <v/>
      </c>
      <c r="I102" s="94" t="str">
        <f>IF(COMPRAS_HILO!M102="","",COMPRAS_HILO!M102)</f>
        <v/>
      </c>
    </row>
    <row r="103" ht="15.75" customHeight="1">
      <c r="A103" s="92" t="s">
        <v>221</v>
      </c>
      <c r="B103" s="93" t="str">
        <f>IF(COMPRAS_HILO!A103="","",COMPRAS_HILO!A103)</f>
        <v/>
      </c>
      <c r="C103" s="84" t="str">
        <f>IF(COMPRAS_HILO!I103="","",COMPRAS_HILO!I103)</f>
        <v/>
      </c>
      <c r="D103" s="94" t="str">
        <f>IF(COMPRAS_HILO!J103="","",COMPRAS_HILO!J103)</f>
        <v/>
      </c>
      <c r="E103" s="84" t="str">
        <f>IF(COMPRAS_HILO!C103="","","Compra "&amp;COMPRAS_HILO!C103)</f>
        <v/>
      </c>
      <c r="F103" s="95" t="str">
        <f>IF(COMPRAS_HILO!H103=0,"",COMPRAS_HILO!H103)</f>
        <v/>
      </c>
      <c r="G103" s="95" t="str">
        <f>IF(COMPRAS_HILO!O103=0,"",COMPRAS_HILO!O103)</f>
        <v/>
      </c>
      <c r="H103" s="95" t="str">
        <f>IF(COMPRAS_HILO!P103=0,"",COMPRAS_HILO!P103)</f>
        <v/>
      </c>
      <c r="I103" s="94" t="str">
        <f>IF(COMPRAS_HILO!M103="","",COMPRAS_HILO!M103)</f>
        <v/>
      </c>
    </row>
    <row r="104" ht="15.75" customHeight="1">
      <c r="A104" s="92" t="s">
        <v>221</v>
      </c>
      <c r="B104" s="93" t="str">
        <f>IF(COMPRAS_HILO!A104="","",COMPRAS_HILO!A104)</f>
        <v/>
      </c>
      <c r="C104" s="84" t="str">
        <f>IF(COMPRAS_HILO!I104="","",COMPRAS_HILO!I104)</f>
        <v/>
      </c>
      <c r="D104" s="94" t="str">
        <f>IF(COMPRAS_HILO!J104="","",COMPRAS_HILO!J104)</f>
        <v/>
      </c>
      <c r="E104" s="84" t="str">
        <f>IF(COMPRAS_HILO!C104="","","Compra "&amp;COMPRAS_HILO!C104)</f>
        <v/>
      </c>
      <c r="F104" s="95" t="str">
        <f>IF(COMPRAS_HILO!H104=0,"",COMPRAS_HILO!H104)</f>
        <v/>
      </c>
      <c r="G104" s="95" t="str">
        <f>IF(COMPRAS_HILO!O104=0,"",COMPRAS_HILO!O104)</f>
        <v/>
      </c>
      <c r="H104" s="95" t="str">
        <f>IF(COMPRAS_HILO!P104=0,"",COMPRAS_HILO!P104)</f>
        <v/>
      </c>
      <c r="I104" s="94" t="str">
        <f>IF(COMPRAS_HILO!M104="","",COMPRAS_HILO!M104)</f>
        <v/>
      </c>
    </row>
    <row r="105" ht="15.75" customHeight="1">
      <c r="A105" s="92" t="s">
        <v>221</v>
      </c>
      <c r="B105" s="93" t="str">
        <f>IF(COMPRAS_HILO!A105="","",COMPRAS_HILO!A105)</f>
        <v/>
      </c>
      <c r="C105" s="84" t="str">
        <f>IF(COMPRAS_HILO!I105="","",COMPRAS_HILO!I105)</f>
        <v/>
      </c>
      <c r="D105" s="94" t="str">
        <f>IF(COMPRAS_HILO!J105="","",COMPRAS_HILO!J105)</f>
        <v/>
      </c>
      <c r="E105" s="84" t="str">
        <f>IF(COMPRAS_HILO!C105="","","Compra "&amp;COMPRAS_HILO!C105)</f>
        <v/>
      </c>
      <c r="F105" s="95" t="str">
        <f>IF(COMPRAS_HILO!H105=0,"",COMPRAS_HILO!H105)</f>
        <v/>
      </c>
      <c r="G105" s="95" t="str">
        <f>IF(COMPRAS_HILO!O105=0,"",COMPRAS_HILO!O105)</f>
        <v/>
      </c>
      <c r="H105" s="95" t="str">
        <f>IF(COMPRAS_HILO!P105=0,"",COMPRAS_HILO!P105)</f>
        <v/>
      </c>
      <c r="I105" s="94" t="str">
        <f>IF(COMPRAS_HILO!M105="","",COMPRAS_HILO!M105)</f>
        <v/>
      </c>
    </row>
    <row r="106" ht="15.75" customHeight="1">
      <c r="A106" s="92" t="s">
        <v>221</v>
      </c>
      <c r="B106" s="93" t="str">
        <f>IF(COMPRAS_HILO!A106="","",COMPRAS_HILO!A106)</f>
        <v/>
      </c>
      <c r="C106" s="84" t="str">
        <f>IF(COMPRAS_HILO!I106="","",COMPRAS_HILO!I106)</f>
        <v/>
      </c>
      <c r="D106" s="94" t="str">
        <f>IF(COMPRAS_HILO!J106="","",COMPRAS_HILO!J106)</f>
        <v/>
      </c>
      <c r="E106" s="84" t="str">
        <f>IF(COMPRAS_HILO!C106="","","Compra "&amp;COMPRAS_HILO!C106)</f>
        <v/>
      </c>
      <c r="F106" s="95" t="str">
        <f>IF(COMPRAS_HILO!H106=0,"",COMPRAS_HILO!H106)</f>
        <v/>
      </c>
      <c r="G106" s="95" t="str">
        <f>IF(COMPRAS_HILO!O106=0,"",COMPRAS_HILO!O106)</f>
        <v/>
      </c>
      <c r="H106" s="95" t="str">
        <f>IF(COMPRAS_HILO!P106=0,"",COMPRAS_HILO!P106)</f>
        <v/>
      </c>
      <c r="I106" s="94" t="str">
        <f>IF(COMPRAS_HILO!M106="","",COMPRAS_HILO!M106)</f>
        <v/>
      </c>
    </row>
    <row r="107" ht="15.75" customHeight="1">
      <c r="A107" s="92" t="s">
        <v>221</v>
      </c>
      <c r="B107" s="93" t="str">
        <f>IF(COMPRAS_HILO!A107="","",COMPRAS_HILO!A107)</f>
        <v/>
      </c>
      <c r="C107" s="84" t="str">
        <f>IF(COMPRAS_HILO!I107="","",COMPRAS_HILO!I107)</f>
        <v/>
      </c>
      <c r="D107" s="94" t="str">
        <f>IF(COMPRAS_HILO!J107="","",COMPRAS_HILO!J107)</f>
        <v/>
      </c>
      <c r="E107" s="84" t="str">
        <f>IF(COMPRAS_HILO!C107="","","Compra "&amp;COMPRAS_HILO!C107)</f>
        <v/>
      </c>
      <c r="F107" s="95" t="str">
        <f>IF(COMPRAS_HILO!H107=0,"",COMPRAS_HILO!H107)</f>
        <v/>
      </c>
      <c r="G107" s="95" t="str">
        <f>IF(COMPRAS_HILO!O107=0,"",COMPRAS_HILO!O107)</f>
        <v/>
      </c>
      <c r="H107" s="95" t="str">
        <f>IF(COMPRAS_HILO!P107=0,"",COMPRAS_HILO!P107)</f>
        <v/>
      </c>
      <c r="I107" s="94" t="str">
        <f>IF(COMPRAS_HILO!M107="","",COMPRAS_HILO!M107)</f>
        <v/>
      </c>
    </row>
    <row r="108" ht="15.75" customHeight="1">
      <c r="A108" s="92" t="s">
        <v>221</v>
      </c>
      <c r="B108" s="93" t="str">
        <f>IF(COMPRAS_HILO!A108="","",COMPRAS_HILO!A108)</f>
        <v/>
      </c>
      <c r="C108" s="84" t="str">
        <f>IF(COMPRAS_HILO!I108="","",COMPRAS_HILO!I108)</f>
        <v/>
      </c>
      <c r="D108" s="94" t="str">
        <f>IF(COMPRAS_HILO!J108="","",COMPRAS_HILO!J108)</f>
        <v/>
      </c>
      <c r="E108" s="84" t="str">
        <f>IF(COMPRAS_HILO!C108="","","Compra "&amp;COMPRAS_HILO!C108)</f>
        <v/>
      </c>
      <c r="F108" s="95" t="str">
        <f>IF(COMPRAS_HILO!H108=0,"",COMPRAS_HILO!H108)</f>
        <v/>
      </c>
      <c r="G108" s="95" t="str">
        <f>IF(COMPRAS_HILO!O108=0,"",COMPRAS_HILO!O108)</f>
        <v/>
      </c>
      <c r="H108" s="95" t="str">
        <f>IF(COMPRAS_HILO!P108=0,"",COMPRAS_HILO!P108)</f>
        <v/>
      </c>
      <c r="I108" s="94" t="str">
        <f>IF(COMPRAS_HILO!M108="","",COMPRAS_HILO!M108)</f>
        <v/>
      </c>
    </row>
    <row r="109" ht="15.75" customHeight="1">
      <c r="A109" s="92" t="s">
        <v>221</v>
      </c>
      <c r="B109" s="93" t="str">
        <f>IF(COMPRAS_HILO!A109="","",COMPRAS_HILO!A109)</f>
        <v/>
      </c>
      <c r="C109" s="84" t="str">
        <f>IF(COMPRAS_HILO!I109="","",COMPRAS_HILO!I109)</f>
        <v/>
      </c>
      <c r="D109" s="94" t="str">
        <f>IF(COMPRAS_HILO!J109="","",COMPRAS_HILO!J109)</f>
        <v/>
      </c>
      <c r="E109" s="84" t="str">
        <f>IF(COMPRAS_HILO!C109="","","Compra "&amp;COMPRAS_HILO!C109)</f>
        <v/>
      </c>
      <c r="F109" s="95" t="str">
        <f>IF(COMPRAS_HILO!H109=0,"",COMPRAS_HILO!H109)</f>
        <v/>
      </c>
      <c r="G109" s="95" t="str">
        <f>IF(COMPRAS_HILO!O109=0,"",COMPRAS_HILO!O109)</f>
        <v/>
      </c>
      <c r="H109" s="95" t="str">
        <f>IF(COMPRAS_HILO!P109=0,"",COMPRAS_HILO!P109)</f>
        <v/>
      </c>
      <c r="I109" s="94" t="str">
        <f>IF(COMPRAS_HILO!M109="","",COMPRAS_HILO!M109)</f>
        <v/>
      </c>
    </row>
    <row r="110" ht="15.75" customHeight="1">
      <c r="A110" s="92" t="s">
        <v>221</v>
      </c>
      <c r="B110" s="93" t="str">
        <f>IF(COMPRAS_HILO!A110="","",COMPRAS_HILO!A110)</f>
        <v/>
      </c>
      <c r="C110" s="84" t="str">
        <f>IF(COMPRAS_HILO!I110="","",COMPRAS_HILO!I110)</f>
        <v/>
      </c>
      <c r="D110" s="94" t="str">
        <f>IF(COMPRAS_HILO!J110="","",COMPRAS_HILO!J110)</f>
        <v/>
      </c>
      <c r="E110" s="84" t="str">
        <f>IF(COMPRAS_HILO!C110="","","Compra "&amp;COMPRAS_HILO!C110)</f>
        <v/>
      </c>
      <c r="F110" s="95" t="str">
        <f>IF(COMPRAS_HILO!H110=0,"",COMPRAS_HILO!H110)</f>
        <v/>
      </c>
      <c r="G110" s="95" t="str">
        <f>IF(COMPRAS_HILO!O110=0,"",COMPRAS_HILO!O110)</f>
        <v/>
      </c>
      <c r="H110" s="95" t="str">
        <f>IF(COMPRAS_HILO!P110=0,"",COMPRAS_HILO!P110)</f>
        <v/>
      </c>
      <c r="I110" s="94" t="str">
        <f>IF(COMPRAS_HILO!M110="","",COMPRAS_HILO!M110)</f>
        <v/>
      </c>
    </row>
    <row r="111" ht="15.75" customHeight="1">
      <c r="A111" s="92" t="s">
        <v>221</v>
      </c>
      <c r="B111" s="93" t="str">
        <f>IF(COMPRAS_HILO!A111="","",COMPRAS_HILO!A111)</f>
        <v/>
      </c>
      <c r="C111" s="84" t="str">
        <f>IF(COMPRAS_HILO!I111="","",COMPRAS_HILO!I111)</f>
        <v/>
      </c>
      <c r="D111" s="94" t="str">
        <f>IF(COMPRAS_HILO!J111="","",COMPRAS_HILO!J111)</f>
        <v/>
      </c>
      <c r="E111" s="84" t="str">
        <f>IF(COMPRAS_HILO!C111="","","Compra "&amp;COMPRAS_HILO!C111)</f>
        <v/>
      </c>
      <c r="F111" s="95" t="str">
        <f>IF(COMPRAS_HILO!H111=0,"",COMPRAS_HILO!H111)</f>
        <v/>
      </c>
      <c r="G111" s="95" t="str">
        <f>IF(COMPRAS_HILO!O111=0,"",COMPRAS_HILO!O111)</f>
        <v/>
      </c>
      <c r="H111" s="95" t="str">
        <f>IF(COMPRAS_HILO!P111=0,"",COMPRAS_HILO!P111)</f>
        <v/>
      </c>
      <c r="I111" s="94" t="str">
        <f>IF(COMPRAS_HILO!M111="","",COMPRAS_HILO!M111)</f>
        <v/>
      </c>
    </row>
    <row r="112" ht="15.75" customHeight="1">
      <c r="A112" s="92" t="s">
        <v>221</v>
      </c>
      <c r="B112" s="93" t="str">
        <f>IF(COMPRAS_HILO!A112="","",COMPRAS_HILO!A112)</f>
        <v/>
      </c>
      <c r="C112" s="84" t="str">
        <f>IF(COMPRAS_HILO!I112="","",COMPRAS_HILO!I112)</f>
        <v/>
      </c>
      <c r="D112" s="94" t="str">
        <f>IF(COMPRAS_HILO!J112="","",COMPRAS_HILO!J112)</f>
        <v/>
      </c>
      <c r="E112" s="84" t="str">
        <f>IF(COMPRAS_HILO!C112="","","Compra "&amp;COMPRAS_HILO!C112)</f>
        <v/>
      </c>
      <c r="F112" s="95" t="str">
        <f>IF(COMPRAS_HILO!H112=0,"",COMPRAS_HILO!H112)</f>
        <v/>
      </c>
      <c r="G112" s="95" t="str">
        <f>IF(COMPRAS_HILO!O112=0,"",COMPRAS_HILO!O112)</f>
        <v/>
      </c>
      <c r="H112" s="95" t="str">
        <f>IF(COMPRAS_HILO!P112=0,"",COMPRAS_HILO!P112)</f>
        <v/>
      </c>
      <c r="I112" s="94" t="str">
        <f>IF(COMPRAS_HILO!M112="","",COMPRAS_HILO!M112)</f>
        <v/>
      </c>
    </row>
    <row r="113" ht="15.75" customHeight="1">
      <c r="A113" s="92" t="s">
        <v>221</v>
      </c>
      <c r="B113" s="93" t="str">
        <f>IF(COMPRAS_HILO!A113="","",COMPRAS_HILO!A113)</f>
        <v/>
      </c>
      <c r="C113" s="84" t="str">
        <f>IF(COMPRAS_HILO!I113="","",COMPRAS_HILO!I113)</f>
        <v/>
      </c>
      <c r="D113" s="94" t="str">
        <f>IF(COMPRAS_HILO!J113="","",COMPRAS_HILO!J113)</f>
        <v/>
      </c>
      <c r="E113" s="84" t="str">
        <f>IF(COMPRAS_HILO!C113="","","Compra "&amp;COMPRAS_HILO!C113)</f>
        <v/>
      </c>
      <c r="F113" s="95" t="str">
        <f>IF(COMPRAS_HILO!H113=0,"",COMPRAS_HILO!H113)</f>
        <v/>
      </c>
      <c r="G113" s="95" t="str">
        <f>IF(COMPRAS_HILO!O113=0,"",COMPRAS_HILO!O113)</f>
        <v/>
      </c>
      <c r="H113" s="95" t="str">
        <f>IF(COMPRAS_HILO!P113=0,"",COMPRAS_HILO!P113)</f>
        <v/>
      </c>
      <c r="I113" s="94" t="str">
        <f>IF(COMPRAS_HILO!M113="","",COMPRAS_HILO!M113)</f>
        <v/>
      </c>
    </row>
    <row r="114" ht="15.75" customHeight="1">
      <c r="A114" s="92" t="s">
        <v>221</v>
      </c>
      <c r="B114" s="93" t="str">
        <f>IF(COMPRAS_HILO!A114="","",COMPRAS_HILO!A114)</f>
        <v/>
      </c>
      <c r="C114" s="84" t="str">
        <f>IF(COMPRAS_HILO!I114="","",COMPRAS_HILO!I114)</f>
        <v/>
      </c>
      <c r="D114" s="94" t="str">
        <f>IF(COMPRAS_HILO!J114="","",COMPRAS_HILO!J114)</f>
        <v/>
      </c>
      <c r="E114" s="84" t="str">
        <f>IF(COMPRAS_HILO!C114="","","Compra "&amp;COMPRAS_HILO!C114)</f>
        <v/>
      </c>
      <c r="F114" s="95" t="str">
        <f>IF(COMPRAS_HILO!H114=0,"",COMPRAS_HILO!H114)</f>
        <v/>
      </c>
      <c r="G114" s="95" t="str">
        <f>IF(COMPRAS_HILO!O114=0,"",COMPRAS_HILO!O114)</f>
        <v/>
      </c>
      <c r="H114" s="95" t="str">
        <f>IF(COMPRAS_HILO!P114=0,"",COMPRAS_HILO!P114)</f>
        <v/>
      </c>
      <c r="I114" s="94" t="str">
        <f>IF(COMPRAS_HILO!M114="","",COMPRAS_HILO!M114)</f>
        <v/>
      </c>
    </row>
    <row r="115" ht="15.75" customHeight="1">
      <c r="A115" s="92" t="s">
        <v>221</v>
      </c>
      <c r="B115" s="93" t="str">
        <f>IF(COMPRAS_HILO!A115="","",COMPRAS_HILO!A115)</f>
        <v/>
      </c>
      <c r="C115" s="84" t="str">
        <f>IF(COMPRAS_HILO!I115="","",COMPRAS_HILO!I115)</f>
        <v/>
      </c>
      <c r="D115" s="94" t="str">
        <f>IF(COMPRAS_HILO!J115="","",COMPRAS_HILO!J115)</f>
        <v/>
      </c>
      <c r="E115" s="84" t="str">
        <f>IF(COMPRAS_HILO!C115="","","Compra "&amp;COMPRAS_HILO!C115)</f>
        <v/>
      </c>
      <c r="F115" s="95" t="str">
        <f>IF(COMPRAS_HILO!H115=0,"",COMPRAS_HILO!H115)</f>
        <v/>
      </c>
      <c r="G115" s="95" t="str">
        <f>IF(COMPRAS_HILO!O115=0,"",COMPRAS_HILO!O115)</f>
        <v/>
      </c>
      <c r="H115" s="95" t="str">
        <f>IF(COMPRAS_HILO!P115=0,"",COMPRAS_HILO!P115)</f>
        <v/>
      </c>
      <c r="I115" s="94" t="str">
        <f>IF(COMPRAS_HILO!M115="","",COMPRAS_HILO!M115)</f>
        <v/>
      </c>
    </row>
    <row r="116" ht="15.75" customHeight="1">
      <c r="A116" s="92" t="s">
        <v>221</v>
      </c>
      <c r="B116" s="93" t="str">
        <f>IF(COMPRAS_HILO!A116="","",COMPRAS_HILO!A116)</f>
        <v/>
      </c>
      <c r="C116" s="84" t="str">
        <f>IF(COMPRAS_HILO!I116="","",COMPRAS_HILO!I116)</f>
        <v/>
      </c>
      <c r="D116" s="94" t="str">
        <f>IF(COMPRAS_HILO!J116="","",COMPRAS_HILO!J116)</f>
        <v/>
      </c>
      <c r="E116" s="84" t="str">
        <f>IF(COMPRAS_HILO!C116="","","Compra "&amp;COMPRAS_HILO!C116)</f>
        <v/>
      </c>
      <c r="F116" s="95" t="str">
        <f>IF(COMPRAS_HILO!H116=0,"",COMPRAS_HILO!H116)</f>
        <v/>
      </c>
      <c r="G116" s="95" t="str">
        <f>IF(COMPRAS_HILO!O116=0,"",COMPRAS_HILO!O116)</f>
        <v/>
      </c>
      <c r="H116" s="95" t="str">
        <f>IF(COMPRAS_HILO!P116=0,"",COMPRAS_HILO!P116)</f>
        <v/>
      </c>
      <c r="I116" s="94" t="str">
        <f>IF(COMPRAS_HILO!M116="","",COMPRAS_HILO!M116)</f>
        <v/>
      </c>
    </row>
    <row r="117" ht="15.75" customHeight="1">
      <c r="A117" s="92" t="s">
        <v>221</v>
      </c>
      <c r="B117" s="93" t="str">
        <f>IF(COMPRAS_HILO!A117="","",COMPRAS_HILO!A117)</f>
        <v/>
      </c>
      <c r="C117" s="84" t="str">
        <f>IF(COMPRAS_HILO!I117="","",COMPRAS_HILO!I117)</f>
        <v/>
      </c>
      <c r="D117" s="94" t="str">
        <f>IF(COMPRAS_HILO!J117="","",COMPRAS_HILO!J117)</f>
        <v/>
      </c>
      <c r="E117" s="84" t="str">
        <f>IF(COMPRAS_HILO!C117="","","Compra "&amp;COMPRAS_HILO!C117)</f>
        <v/>
      </c>
      <c r="F117" s="95" t="str">
        <f>IF(COMPRAS_HILO!H117=0,"",COMPRAS_HILO!H117)</f>
        <v/>
      </c>
      <c r="G117" s="95" t="str">
        <f>IF(COMPRAS_HILO!O117=0,"",COMPRAS_HILO!O117)</f>
        <v/>
      </c>
      <c r="H117" s="95" t="str">
        <f>IF(COMPRAS_HILO!P117=0,"",COMPRAS_HILO!P117)</f>
        <v/>
      </c>
      <c r="I117" s="94" t="str">
        <f>IF(COMPRAS_HILO!M117="","",COMPRAS_HILO!M117)</f>
        <v/>
      </c>
    </row>
    <row r="118" ht="15.75" customHeight="1">
      <c r="A118" s="92" t="s">
        <v>221</v>
      </c>
      <c r="B118" s="93" t="str">
        <f>IF(COMPRAS_HILO!A118="","",COMPRAS_HILO!A118)</f>
        <v/>
      </c>
      <c r="C118" s="84" t="str">
        <f>IF(COMPRAS_HILO!I118="","",COMPRAS_HILO!I118)</f>
        <v/>
      </c>
      <c r="D118" s="94" t="str">
        <f>IF(COMPRAS_HILO!J118="","",COMPRAS_HILO!J118)</f>
        <v/>
      </c>
      <c r="E118" s="84" t="str">
        <f>IF(COMPRAS_HILO!C118="","","Compra "&amp;COMPRAS_HILO!C118)</f>
        <v/>
      </c>
      <c r="F118" s="95" t="str">
        <f>IF(COMPRAS_HILO!H118=0,"",COMPRAS_HILO!H118)</f>
        <v/>
      </c>
      <c r="G118" s="95" t="str">
        <f>IF(COMPRAS_HILO!O118=0,"",COMPRAS_HILO!O118)</f>
        <v/>
      </c>
      <c r="H118" s="95" t="str">
        <f>IF(COMPRAS_HILO!P118=0,"",COMPRAS_HILO!P118)</f>
        <v/>
      </c>
      <c r="I118" s="94" t="str">
        <f>IF(COMPRAS_HILO!M118="","",COMPRAS_HILO!M118)</f>
        <v/>
      </c>
    </row>
    <row r="119" ht="15.75" customHeight="1">
      <c r="A119" s="92" t="s">
        <v>221</v>
      </c>
      <c r="B119" s="93" t="str">
        <f>IF(COMPRAS_HILO!A119="","",COMPRAS_HILO!A119)</f>
        <v/>
      </c>
      <c r="C119" s="84" t="str">
        <f>IF(COMPRAS_HILO!I119="","",COMPRAS_HILO!I119)</f>
        <v/>
      </c>
      <c r="D119" s="94" t="str">
        <f>IF(COMPRAS_HILO!J119="","",COMPRAS_HILO!J119)</f>
        <v/>
      </c>
      <c r="E119" s="84" t="str">
        <f>IF(COMPRAS_HILO!C119="","","Compra "&amp;COMPRAS_HILO!C119)</f>
        <v/>
      </c>
      <c r="F119" s="95" t="str">
        <f>IF(COMPRAS_HILO!H119=0,"",COMPRAS_HILO!H119)</f>
        <v/>
      </c>
      <c r="G119" s="95" t="str">
        <f>IF(COMPRAS_HILO!O119=0,"",COMPRAS_HILO!O119)</f>
        <v/>
      </c>
      <c r="H119" s="95" t="str">
        <f>IF(COMPRAS_HILO!P119=0,"",COMPRAS_HILO!P119)</f>
        <v/>
      </c>
      <c r="I119" s="94" t="str">
        <f>IF(COMPRAS_HILO!M119="","",COMPRAS_HILO!M119)</f>
        <v/>
      </c>
    </row>
    <row r="120" ht="15.75" customHeight="1">
      <c r="A120" s="92" t="s">
        <v>221</v>
      </c>
      <c r="B120" s="93" t="str">
        <f>IF(COMPRAS_HILO!A120="","",COMPRAS_HILO!A120)</f>
        <v/>
      </c>
      <c r="C120" s="84" t="str">
        <f>IF(COMPRAS_HILO!I120="","",COMPRAS_HILO!I120)</f>
        <v/>
      </c>
      <c r="D120" s="94" t="str">
        <f>IF(COMPRAS_HILO!J120="","",COMPRAS_HILO!J120)</f>
        <v/>
      </c>
      <c r="E120" s="84" t="str">
        <f>IF(COMPRAS_HILO!C120="","","Compra "&amp;COMPRAS_HILO!C120)</f>
        <v/>
      </c>
      <c r="F120" s="95" t="str">
        <f>IF(COMPRAS_HILO!H120=0,"",COMPRAS_HILO!H120)</f>
        <v/>
      </c>
      <c r="G120" s="95" t="str">
        <f>IF(COMPRAS_HILO!O120=0,"",COMPRAS_HILO!O120)</f>
        <v/>
      </c>
      <c r="H120" s="95" t="str">
        <f>IF(COMPRAS_HILO!P120=0,"",COMPRAS_HILO!P120)</f>
        <v/>
      </c>
      <c r="I120" s="94" t="str">
        <f>IF(COMPRAS_HILO!M120="","",COMPRAS_HILO!M120)</f>
        <v/>
      </c>
    </row>
    <row r="121" ht="15.75" customHeight="1">
      <c r="A121" s="92" t="s">
        <v>221</v>
      </c>
      <c r="B121" s="93" t="str">
        <f>IF(COMPRAS_HILO!A121="","",COMPRAS_HILO!A121)</f>
        <v/>
      </c>
      <c r="C121" s="84" t="str">
        <f>IF(COMPRAS_HILO!I121="","",COMPRAS_HILO!I121)</f>
        <v/>
      </c>
      <c r="D121" s="94" t="str">
        <f>IF(COMPRAS_HILO!J121="","",COMPRAS_HILO!J121)</f>
        <v/>
      </c>
      <c r="E121" s="84" t="str">
        <f>IF(COMPRAS_HILO!C121="","","Compra "&amp;COMPRAS_HILO!C121)</f>
        <v/>
      </c>
      <c r="F121" s="95" t="str">
        <f>IF(COMPRAS_HILO!H121=0,"",COMPRAS_HILO!H121)</f>
        <v/>
      </c>
      <c r="G121" s="95" t="str">
        <f>IF(COMPRAS_HILO!O121=0,"",COMPRAS_HILO!O121)</f>
        <v/>
      </c>
      <c r="H121" s="95" t="str">
        <f>IF(COMPRAS_HILO!P121=0,"",COMPRAS_HILO!P121)</f>
        <v/>
      </c>
      <c r="I121" s="94" t="str">
        <f>IF(COMPRAS_HILO!M121="","",COMPRAS_HILO!M121)</f>
        <v/>
      </c>
    </row>
    <row r="122" ht="15.75" customHeight="1">
      <c r="A122" s="92" t="s">
        <v>221</v>
      </c>
      <c r="B122" s="93" t="str">
        <f>IF(COMPRAS_HILO!A122="","",COMPRAS_HILO!A122)</f>
        <v/>
      </c>
      <c r="C122" s="84" t="str">
        <f>IF(COMPRAS_HILO!I122="","",COMPRAS_HILO!I122)</f>
        <v/>
      </c>
      <c r="D122" s="94" t="str">
        <f>IF(COMPRAS_HILO!J122="","",COMPRAS_HILO!J122)</f>
        <v/>
      </c>
      <c r="E122" s="84" t="str">
        <f>IF(COMPRAS_HILO!C122="","","Compra "&amp;COMPRAS_HILO!C122)</f>
        <v/>
      </c>
      <c r="F122" s="95" t="str">
        <f>IF(COMPRAS_HILO!H122=0,"",COMPRAS_HILO!H122)</f>
        <v/>
      </c>
      <c r="G122" s="95" t="str">
        <f>IF(COMPRAS_HILO!O122=0,"",COMPRAS_HILO!O122)</f>
        <v/>
      </c>
      <c r="H122" s="95" t="str">
        <f>IF(COMPRAS_HILO!P122=0,"",COMPRAS_HILO!P122)</f>
        <v/>
      </c>
      <c r="I122" s="94" t="str">
        <f>IF(COMPRAS_HILO!M122="","",COMPRAS_HILO!M122)</f>
        <v/>
      </c>
    </row>
    <row r="123" ht="15.75" customHeight="1">
      <c r="A123" s="92" t="s">
        <v>221</v>
      </c>
      <c r="B123" s="93" t="str">
        <f>IF(COMPRAS_HILO!A123="","",COMPRAS_HILO!A123)</f>
        <v/>
      </c>
      <c r="C123" s="84" t="str">
        <f>IF(COMPRAS_HILO!I123="","",COMPRAS_HILO!I123)</f>
        <v/>
      </c>
      <c r="D123" s="94" t="str">
        <f>IF(COMPRAS_HILO!J123="","",COMPRAS_HILO!J123)</f>
        <v/>
      </c>
      <c r="E123" s="84" t="str">
        <f>IF(COMPRAS_HILO!C123="","","Compra "&amp;COMPRAS_HILO!C123)</f>
        <v/>
      </c>
      <c r="F123" s="95" t="str">
        <f>IF(COMPRAS_HILO!H123=0,"",COMPRAS_HILO!H123)</f>
        <v/>
      </c>
      <c r="G123" s="95" t="str">
        <f>IF(COMPRAS_HILO!O123=0,"",COMPRAS_HILO!O123)</f>
        <v/>
      </c>
      <c r="H123" s="95" t="str">
        <f>IF(COMPRAS_HILO!P123=0,"",COMPRAS_HILO!P123)</f>
        <v/>
      </c>
      <c r="I123" s="94" t="str">
        <f>IF(COMPRAS_HILO!M123="","",COMPRAS_HILO!M123)</f>
        <v/>
      </c>
    </row>
    <row r="124" ht="15.75" customHeight="1">
      <c r="A124" s="92" t="s">
        <v>221</v>
      </c>
      <c r="B124" s="93" t="str">
        <f>IF(COMPRAS_HILO!A124="","",COMPRAS_HILO!A124)</f>
        <v/>
      </c>
      <c r="C124" s="84" t="str">
        <f>IF(COMPRAS_HILO!I124="","",COMPRAS_HILO!I124)</f>
        <v/>
      </c>
      <c r="D124" s="94" t="str">
        <f>IF(COMPRAS_HILO!J124="","",COMPRAS_HILO!J124)</f>
        <v/>
      </c>
      <c r="E124" s="84" t="str">
        <f>IF(COMPRAS_HILO!C124="","","Compra "&amp;COMPRAS_HILO!C124)</f>
        <v/>
      </c>
      <c r="F124" s="95" t="str">
        <f>IF(COMPRAS_HILO!H124=0,"",COMPRAS_HILO!H124)</f>
        <v/>
      </c>
      <c r="G124" s="95" t="str">
        <f>IF(COMPRAS_HILO!O124=0,"",COMPRAS_HILO!O124)</f>
        <v/>
      </c>
      <c r="H124" s="95" t="str">
        <f>IF(COMPRAS_HILO!P124=0,"",COMPRAS_HILO!P124)</f>
        <v/>
      </c>
      <c r="I124" s="94" t="str">
        <f>IF(COMPRAS_HILO!M124="","",COMPRAS_HILO!M124)</f>
        <v/>
      </c>
    </row>
    <row r="125" ht="15.75" customHeight="1">
      <c r="A125" s="92" t="s">
        <v>221</v>
      </c>
      <c r="B125" s="93" t="str">
        <f>IF(COMPRAS_HILO!A125="","",COMPRAS_HILO!A125)</f>
        <v/>
      </c>
      <c r="C125" s="84" t="str">
        <f>IF(COMPRAS_HILO!I125="","",COMPRAS_HILO!I125)</f>
        <v/>
      </c>
      <c r="D125" s="94" t="str">
        <f>IF(COMPRAS_HILO!J125="","",COMPRAS_HILO!J125)</f>
        <v/>
      </c>
      <c r="E125" s="84" t="str">
        <f>IF(COMPRAS_HILO!C125="","","Compra "&amp;COMPRAS_HILO!C125)</f>
        <v/>
      </c>
      <c r="F125" s="95" t="str">
        <f>IF(COMPRAS_HILO!H125=0,"",COMPRAS_HILO!H125)</f>
        <v/>
      </c>
      <c r="G125" s="95" t="str">
        <f>IF(COMPRAS_HILO!O125=0,"",COMPRAS_HILO!O125)</f>
        <v/>
      </c>
      <c r="H125" s="95" t="str">
        <f>IF(COMPRAS_HILO!P125=0,"",COMPRAS_HILO!P125)</f>
        <v/>
      </c>
      <c r="I125" s="94" t="str">
        <f>IF(COMPRAS_HILO!M125="","",COMPRAS_HILO!M125)</f>
        <v/>
      </c>
    </row>
    <row r="126" ht="15.75" customHeight="1">
      <c r="A126" s="92" t="s">
        <v>221</v>
      </c>
      <c r="B126" s="93" t="str">
        <f>IF(COMPRAS_HILO!A126="","",COMPRAS_HILO!A126)</f>
        <v/>
      </c>
      <c r="C126" s="84" t="str">
        <f>IF(COMPRAS_HILO!I126="","",COMPRAS_HILO!I126)</f>
        <v/>
      </c>
      <c r="D126" s="94" t="str">
        <f>IF(COMPRAS_HILO!J126="","",COMPRAS_HILO!J126)</f>
        <v/>
      </c>
      <c r="E126" s="84" t="str">
        <f>IF(COMPRAS_HILO!C126="","","Compra "&amp;COMPRAS_HILO!C126)</f>
        <v/>
      </c>
      <c r="F126" s="95" t="str">
        <f>IF(COMPRAS_HILO!H126=0,"",COMPRAS_HILO!H126)</f>
        <v/>
      </c>
      <c r="G126" s="95" t="str">
        <f>IF(COMPRAS_HILO!O126=0,"",COMPRAS_HILO!O126)</f>
        <v/>
      </c>
      <c r="H126" s="95" t="str">
        <f>IF(COMPRAS_HILO!P126=0,"",COMPRAS_HILO!P126)</f>
        <v/>
      </c>
      <c r="I126" s="94" t="str">
        <f>IF(COMPRAS_HILO!M126="","",COMPRAS_HILO!M126)</f>
        <v/>
      </c>
    </row>
    <row r="127" ht="15.75" customHeight="1">
      <c r="A127" s="92" t="s">
        <v>221</v>
      </c>
      <c r="B127" s="93" t="str">
        <f>IF(COMPRAS_HILO!A127="","",COMPRAS_HILO!A127)</f>
        <v/>
      </c>
      <c r="C127" s="84" t="str">
        <f>IF(COMPRAS_HILO!I127="","",COMPRAS_HILO!I127)</f>
        <v/>
      </c>
      <c r="D127" s="94" t="str">
        <f>IF(COMPRAS_HILO!J127="","",COMPRAS_HILO!J127)</f>
        <v/>
      </c>
      <c r="E127" s="84" t="str">
        <f>IF(COMPRAS_HILO!C127="","","Compra "&amp;COMPRAS_HILO!C127)</f>
        <v/>
      </c>
      <c r="F127" s="95" t="str">
        <f>IF(COMPRAS_HILO!H127=0,"",COMPRAS_HILO!H127)</f>
        <v/>
      </c>
      <c r="G127" s="95" t="str">
        <f>IF(COMPRAS_HILO!O127=0,"",COMPRAS_HILO!O127)</f>
        <v/>
      </c>
      <c r="H127" s="95" t="str">
        <f>IF(COMPRAS_HILO!P127=0,"",COMPRAS_HILO!P127)</f>
        <v/>
      </c>
      <c r="I127" s="94" t="str">
        <f>IF(COMPRAS_HILO!M127="","",COMPRAS_HILO!M127)</f>
        <v/>
      </c>
    </row>
    <row r="128" ht="15.75" customHeight="1">
      <c r="A128" s="92" t="s">
        <v>221</v>
      </c>
      <c r="B128" s="93" t="str">
        <f>IF(COMPRAS_HILO!A128="","",COMPRAS_HILO!A128)</f>
        <v/>
      </c>
      <c r="C128" s="84" t="str">
        <f>IF(COMPRAS_HILO!I128="","",COMPRAS_HILO!I128)</f>
        <v/>
      </c>
      <c r="D128" s="94" t="str">
        <f>IF(COMPRAS_HILO!J128="","",COMPRAS_HILO!J128)</f>
        <v/>
      </c>
      <c r="E128" s="84" t="str">
        <f>IF(COMPRAS_HILO!C128="","","Compra "&amp;COMPRAS_HILO!C128)</f>
        <v/>
      </c>
      <c r="F128" s="95" t="str">
        <f>IF(COMPRAS_HILO!H128=0,"",COMPRAS_HILO!H128)</f>
        <v/>
      </c>
      <c r="G128" s="95" t="str">
        <f>IF(COMPRAS_HILO!O128=0,"",COMPRAS_HILO!O128)</f>
        <v/>
      </c>
      <c r="H128" s="95" t="str">
        <f>IF(COMPRAS_HILO!P128=0,"",COMPRAS_HILO!P128)</f>
        <v/>
      </c>
      <c r="I128" s="94" t="str">
        <f>IF(COMPRAS_HILO!M128="","",COMPRAS_HILO!M128)</f>
        <v/>
      </c>
    </row>
    <row r="129" ht="15.75" customHeight="1">
      <c r="A129" s="92" t="s">
        <v>221</v>
      </c>
      <c r="B129" s="93" t="str">
        <f>IF(COMPRAS_HILO!A129="","",COMPRAS_HILO!A129)</f>
        <v/>
      </c>
      <c r="C129" s="84" t="str">
        <f>IF(COMPRAS_HILO!I129="","",COMPRAS_HILO!I129)</f>
        <v/>
      </c>
      <c r="D129" s="94" t="str">
        <f>IF(COMPRAS_HILO!J129="","",COMPRAS_HILO!J129)</f>
        <v/>
      </c>
      <c r="E129" s="84" t="str">
        <f>IF(COMPRAS_HILO!C129="","","Compra "&amp;COMPRAS_HILO!C129)</f>
        <v/>
      </c>
      <c r="F129" s="95" t="str">
        <f>IF(COMPRAS_HILO!H129=0,"",COMPRAS_HILO!H129)</f>
        <v/>
      </c>
      <c r="G129" s="95" t="str">
        <f>IF(COMPRAS_HILO!O129=0,"",COMPRAS_HILO!O129)</f>
        <v/>
      </c>
      <c r="H129" s="95" t="str">
        <f>IF(COMPRAS_HILO!P129=0,"",COMPRAS_HILO!P129)</f>
        <v/>
      </c>
      <c r="I129" s="94" t="str">
        <f>IF(COMPRAS_HILO!M129="","",COMPRAS_HILO!M129)</f>
        <v/>
      </c>
    </row>
    <row r="130" ht="15.75" customHeight="1">
      <c r="A130" s="92" t="s">
        <v>221</v>
      </c>
      <c r="B130" s="93" t="str">
        <f>IF(COMPRAS_HILO!A130="","",COMPRAS_HILO!A130)</f>
        <v/>
      </c>
      <c r="C130" s="84" t="str">
        <f>IF(COMPRAS_HILO!I130="","",COMPRAS_HILO!I130)</f>
        <v/>
      </c>
      <c r="D130" s="94" t="str">
        <f>IF(COMPRAS_HILO!J130="","",COMPRAS_HILO!J130)</f>
        <v/>
      </c>
      <c r="E130" s="84" t="str">
        <f>IF(COMPRAS_HILO!C130="","","Compra "&amp;COMPRAS_HILO!C130)</f>
        <v/>
      </c>
      <c r="F130" s="95" t="str">
        <f>IF(COMPRAS_HILO!H130=0,"",COMPRAS_HILO!H130)</f>
        <v/>
      </c>
      <c r="G130" s="95" t="str">
        <f>IF(COMPRAS_HILO!O130=0,"",COMPRAS_HILO!O130)</f>
        <v/>
      </c>
      <c r="H130" s="95" t="str">
        <f>IF(COMPRAS_HILO!P130=0,"",COMPRAS_HILO!P130)</f>
        <v/>
      </c>
      <c r="I130" s="94" t="str">
        <f>IF(COMPRAS_HILO!M130="","",COMPRAS_HILO!M130)</f>
        <v/>
      </c>
    </row>
    <row r="131" ht="15.75" customHeight="1">
      <c r="A131" s="92" t="s">
        <v>221</v>
      </c>
      <c r="B131" s="93" t="str">
        <f>IF(COMPRAS_HILO!A131="","",COMPRAS_HILO!A131)</f>
        <v/>
      </c>
      <c r="C131" s="84" t="str">
        <f>IF(COMPRAS_HILO!I131="","",COMPRAS_HILO!I131)</f>
        <v/>
      </c>
      <c r="D131" s="94" t="str">
        <f>IF(COMPRAS_HILO!J131="","",COMPRAS_HILO!J131)</f>
        <v/>
      </c>
      <c r="E131" s="84" t="str">
        <f>IF(COMPRAS_HILO!C131="","","Compra "&amp;COMPRAS_HILO!C131)</f>
        <v/>
      </c>
      <c r="F131" s="95" t="str">
        <f>IF(COMPRAS_HILO!H131=0,"",COMPRAS_HILO!H131)</f>
        <v/>
      </c>
      <c r="G131" s="95" t="str">
        <f>IF(COMPRAS_HILO!O131=0,"",COMPRAS_HILO!O131)</f>
        <v/>
      </c>
      <c r="H131" s="95" t="str">
        <f>IF(COMPRAS_HILO!P131=0,"",COMPRAS_HILO!P131)</f>
        <v/>
      </c>
      <c r="I131" s="94" t="str">
        <f>IF(COMPRAS_HILO!M131="","",COMPRAS_HILO!M131)</f>
        <v/>
      </c>
    </row>
    <row r="132" ht="15.75" customHeight="1">
      <c r="A132" s="92" t="s">
        <v>221</v>
      </c>
      <c r="B132" s="93" t="str">
        <f>IF(COMPRAS_HILO!A132="","",COMPRAS_HILO!A132)</f>
        <v/>
      </c>
      <c r="C132" s="84" t="str">
        <f>IF(COMPRAS_HILO!I132="","",COMPRAS_HILO!I132)</f>
        <v/>
      </c>
      <c r="D132" s="94" t="str">
        <f>IF(COMPRAS_HILO!J132="","",COMPRAS_HILO!J132)</f>
        <v/>
      </c>
      <c r="E132" s="84" t="str">
        <f>IF(COMPRAS_HILO!C132="","","Compra "&amp;COMPRAS_HILO!C132)</f>
        <v/>
      </c>
      <c r="F132" s="95" t="str">
        <f>IF(COMPRAS_HILO!H132=0,"",COMPRAS_HILO!H132)</f>
        <v/>
      </c>
      <c r="G132" s="95" t="str">
        <f>IF(COMPRAS_HILO!O132=0,"",COMPRAS_HILO!O132)</f>
        <v/>
      </c>
      <c r="H132" s="95" t="str">
        <f>IF(COMPRAS_HILO!P132=0,"",COMPRAS_HILO!P132)</f>
        <v/>
      </c>
      <c r="I132" s="94" t="str">
        <f>IF(COMPRAS_HILO!M132="","",COMPRAS_HILO!M132)</f>
        <v/>
      </c>
    </row>
    <row r="133" ht="15.75" customHeight="1">
      <c r="A133" s="92" t="s">
        <v>221</v>
      </c>
      <c r="B133" s="93" t="str">
        <f>IF(COMPRAS_HILO!A133="","",COMPRAS_HILO!A133)</f>
        <v/>
      </c>
      <c r="C133" s="84" t="str">
        <f>IF(COMPRAS_HILO!I133="","",COMPRAS_HILO!I133)</f>
        <v/>
      </c>
      <c r="D133" s="94" t="str">
        <f>IF(COMPRAS_HILO!J133="","",COMPRAS_HILO!J133)</f>
        <v/>
      </c>
      <c r="E133" s="84" t="str">
        <f>IF(COMPRAS_HILO!C133="","","Compra "&amp;COMPRAS_HILO!C133)</f>
        <v/>
      </c>
      <c r="F133" s="95" t="str">
        <f>IF(COMPRAS_HILO!H133=0,"",COMPRAS_HILO!H133)</f>
        <v/>
      </c>
      <c r="G133" s="95" t="str">
        <f>IF(COMPRAS_HILO!O133=0,"",COMPRAS_HILO!O133)</f>
        <v/>
      </c>
      <c r="H133" s="95" t="str">
        <f>IF(COMPRAS_HILO!P133=0,"",COMPRAS_HILO!P133)</f>
        <v/>
      </c>
      <c r="I133" s="94" t="str">
        <f>IF(COMPRAS_HILO!M133="","",COMPRAS_HILO!M133)</f>
        <v/>
      </c>
    </row>
    <row r="134" ht="15.75" customHeight="1">
      <c r="A134" s="92" t="s">
        <v>221</v>
      </c>
      <c r="B134" s="93" t="str">
        <f>IF(COMPRAS_HILO!A134="","",COMPRAS_HILO!A134)</f>
        <v/>
      </c>
      <c r="C134" s="84" t="str">
        <f>IF(COMPRAS_HILO!I134="","",COMPRAS_HILO!I134)</f>
        <v/>
      </c>
      <c r="D134" s="94" t="str">
        <f>IF(COMPRAS_HILO!J134="","",COMPRAS_HILO!J134)</f>
        <v/>
      </c>
      <c r="E134" s="84" t="str">
        <f>IF(COMPRAS_HILO!C134="","","Compra "&amp;COMPRAS_HILO!C134)</f>
        <v/>
      </c>
      <c r="F134" s="95" t="str">
        <f>IF(COMPRAS_HILO!H134=0,"",COMPRAS_HILO!H134)</f>
        <v/>
      </c>
      <c r="G134" s="95" t="str">
        <f>IF(COMPRAS_HILO!O134=0,"",COMPRAS_HILO!O134)</f>
        <v/>
      </c>
      <c r="H134" s="95" t="str">
        <f>IF(COMPRAS_HILO!P134=0,"",COMPRAS_HILO!P134)</f>
        <v/>
      </c>
      <c r="I134" s="94" t="str">
        <f>IF(COMPRAS_HILO!M134="","",COMPRAS_HILO!M134)</f>
        <v/>
      </c>
    </row>
    <row r="135" ht="15.75" customHeight="1">
      <c r="A135" s="92" t="s">
        <v>221</v>
      </c>
      <c r="B135" s="93" t="str">
        <f>IF(COMPRAS_HILO!A135="","",COMPRAS_HILO!A135)</f>
        <v/>
      </c>
      <c r="C135" s="84" t="str">
        <f>IF(COMPRAS_HILO!I135="","",COMPRAS_HILO!I135)</f>
        <v/>
      </c>
      <c r="D135" s="94" t="str">
        <f>IF(COMPRAS_HILO!J135="","",COMPRAS_HILO!J135)</f>
        <v/>
      </c>
      <c r="E135" s="84" t="str">
        <f>IF(COMPRAS_HILO!C135="","","Compra "&amp;COMPRAS_HILO!C135)</f>
        <v/>
      </c>
      <c r="F135" s="95" t="str">
        <f>IF(COMPRAS_HILO!H135=0,"",COMPRAS_HILO!H135)</f>
        <v/>
      </c>
      <c r="G135" s="95" t="str">
        <f>IF(COMPRAS_HILO!O135=0,"",COMPRAS_HILO!O135)</f>
        <v/>
      </c>
      <c r="H135" s="95" t="str">
        <f>IF(COMPRAS_HILO!P135=0,"",COMPRAS_HILO!P135)</f>
        <v/>
      </c>
      <c r="I135" s="94" t="str">
        <f>IF(COMPRAS_HILO!M135="","",COMPRAS_HILO!M135)</f>
        <v/>
      </c>
    </row>
    <row r="136" ht="15.75" customHeight="1">
      <c r="A136" s="92" t="s">
        <v>221</v>
      </c>
      <c r="B136" s="93" t="str">
        <f>IF(COMPRAS_HILO!A136="","",COMPRAS_HILO!A136)</f>
        <v/>
      </c>
      <c r="C136" s="84" t="str">
        <f>IF(COMPRAS_HILO!I136="","",COMPRAS_HILO!I136)</f>
        <v/>
      </c>
      <c r="D136" s="94" t="str">
        <f>IF(COMPRAS_HILO!J136="","",COMPRAS_HILO!J136)</f>
        <v/>
      </c>
      <c r="E136" s="84" t="str">
        <f>IF(COMPRAS_HILO!C136="","","Compra "&amp;COMPRAS_HILO!C136)</f>
        <v/>
      </c>
      <c r="F136" s="95" t="str">
        <f>IF(COMPRAS_HILO!H136=0,"",COMPRAS_HILO!H136)</f>
        <v/>
      </c>
      <c r="G136" s="95" t="str">
        <f>IF(COMPRAS_HILO!O136=0,"",COMPRAS_HILO!O136)</f>
        <v/>
      </c>
      <c r="H136" s="95" t="str">
        <f>IF(COMPRAS_HILO!P136=0,"",COMPRAS_HILO!P136)</f>
        <v/>
      </c>
      <c r="I136" s="94" t="str">
        <f>IF(COMPRAS_HILO!M136="","",COMPRAS_HILO!M136)</f>
        <v/>
      </c>
    </row>
    <row r="137" ht="15.75" customHeight="1">
      <c r="A137" s="92" t="s">
        <v>221</v>
      </c>
      <c r="B137" s="93" t="str">
        <f>IF(COMPRAS_HILO!A137="","",COMPRAS_HILO!A137)</f>
        <v/>
      </c>
      <c r="C137" s="84" t="str">
        <f>IF(COMPRAS_HILO!I137="","",COMPRAS_HILO!I137)</f>
        <v/>
      </c>
      <c r="D137" s="94" t="str">
        <f>IF(COMPRAS_HILO!J137="","",COMPRAS_HILO!J137)</f>
        <v/>
      </c>
      <c r="E137" s="84" t="str">
        <f>IF(COMPRAS_HILO!C137="","","Compra "&amp;COMPRAS_HILO!C137)</f>
        <v/>
      </c>
      <c r="F137" s="95" t="str">
        <f>IF(COMPRAS_HILO!H137=0,"",COMPRAS_HILO!H137)</f>
        <v/>
      </c>
      <c r="G137" s="95" t="str">
        <f>IF(COMPRAS_HILO!O137=0,"",COMPRAS_HILO!O137)</f>
        <v/>
      </c>
      <c r="H137" s="95" t="str">
        <f>IF(COMPRAS_HILO!P137=0,"",COMPRAS_HILO!P137)</f>
        <v/>
      </c>
      <c r="I137" s="94" t="str">
        <f>IF(COMPRAS_HILO!M137="","",COMPRAS_HILO!M137)</f>
        <v/>
      </c>
    </row>
    <row r="138" ht="15.75" customHeight="1">
      <c r="A138" s="92" t="s">
        <v>221</v>
      </c>
      <c r="B138" s="93" t="str">
        <f>IF(COMPRAS_HILO!A138="","",COMPRAS_HILO!A138)</f>
        <v/>
      </c>
      <c r="C138" s="84" t="str">
        <f>IF(COMPRAS_HILO!I138="","",COMPRAS_HILO!I138)</f>
        <v/>
      </c>
      <c r="D138" s="94" t="str">
        <f>IF(COMPRAS_HILO!J138="","",COMPRAS_HILO!J138)</f>
        <v/>
      </c>
      <c r="E138" s="84" t="str">
        <f>IF(COMPRAS_HILO!C138="","","Compra "&amp;COMPRAS_HILO!C138)</f>
        <v/>
      </c>
      <c r="F138" s="95" t="str">
        <f>IF(COMPRAS_HILO!H138=0,"",COMPRAS_HILO!H138)</f>
        <v/>
      </c>
      <c r="G138" s="95" t="str">
        <f>IF(COMPRAS_HILO!O138=0,"",COMPRAS_HILO!O138)</f>
        <v/>
      </c>
      <c r="H138" s="95" t="str">
        <f>IF(COMPRAS_HILO!P138=0,"",COMPRAS_HILO!P138)</f>
        <v/>
      </c>
      <c r="I138" s="94" t="str">
        <f>IF(COMPRAS_HILO!M138="","",COMPRAS_HILO!M138)</f>
        <v/>
      </c>
    </row>
    <row r="139" ht="15.75" customHeight="1">
      <c r="A139" s="92" t="s">
        <v>221</v>
      </c>
      <c r="B139" s="93" t="str">
        <f>IF(COMPRAS_HILO!A139="","",COMPRAS_HILO!A139)</f>
        <v/>
      </c>
      <c r="C139" s="84" t="str">
        <f>IF(COMPRAS_HILO!I139="","",COMPRAS_HILO!I139)</f>
        <v/>
      </c>
      <c r="D139" s="94" t="str">
        <f>IF(COMPRAS_HILO!J139="","",COMPRAS_HILO!J139)</f>
        <v/>
      </c>
      <c r="E139" s="84" t="str">
        <f>IF(COMPRAS_HILO!C139="","","Compra "&amp;COMPRAS_HILO!C139)</f>
        <v/>
      </c>
      <c r="F139" s="95" t="str">
        <f>IF(COMPRAS_HILO!H139=0,"",COMPRAS_HILO!H139)</f>
        <v/>
      </c>
      <c r="G139" s="95" t="str">
        <f>IF(COMPRAS_HILO!O139=0,"",COMPRAS_HILO!O139)</f>
        <v/>
      </c>
      <c r="H139" s="95" t="str">
        <f>IF(COMPRAS_HILO!P139=0,"",COMPRAS_HILO!P139)</f>
        <v/>
      </c>
      <c r="I139" s="94" t="str">
        <f>IF(COMPRAS_HILO!M139="","",COMPRAS_HILO!M139)</f>
        <v/>
      </c>
    </row>
    <row r="140" ht="15.75" customHeight="1">
      <c r="A140" s="92" t="s">
        <v>221</v>
      </c>
      <c r="B140" s="93" t="str">
        <f>IF(COMPRAS_HILO!A140="","",COMPRAS_HILO!A140)</f>
        <v/>
      </c>
      <c r="C140" s="84" t="str">
        <f>IF(COMPRAS_HILO!I140="","",COMPRAS_HILO!I140)</f>
        <v/>
      </c>
      <c r="D140" s="94" t="str">
        <f>IF(COMPRAS_HILO!J140="","",COMPRAS_HILO!J140)</f>
        <v/>
      </c>
      <c r="E140" s="84" t="str">
        <f>IF(COMPRAS_HILO!C140="","","Compra "&amp;COMPRAS_HILO!C140)</f>
        <v/>
      </c>
      <c r="F140" s="95" t="str">
        <f>IF(COMPRAS_HILO!H140=0,"",COMPRAS_HILO!H140)</f>
        <v/>
      </c>
      <c r="G140" s="95" t="str">
        <f>IF(COMPRAS_HILO!O140=0,"",COMPRAS_HILO!O140)</f>
        <v/>
      </c>
      <c r="H140" s="95" t="str">
        <f>IF(COMPRAS_HILO!P140=0,"",COMPRAS_HILO!P140)</f>
        <v/>
      </c>
      <c r="I140" s="94" t="str">
        <f>IF(COMPRAS_HILO!M140="","",COMPRAS_HILO!M140)</f>
        <v/>
      </c>
    </row>
    <row r="141" ht="15.75" customHeight="1">
      <c r="A141" s="92" t="s">
        <v>221</v>
      </c>
      <c r="B141" s="93" t="str">
        <f>IF(COMPRAS_HILO!A141="","",COMPRAS_HILO!A141)</f>
        <v/>
      </c>
      <c r="C141" s="84" t="str">
        <f>IF(COMPRAS_HILO!I141="","",COMPRAS_HILO!I141)</f>
        <v/>
      </c>
      <c r="D141" s="94" t="str">
        <f>IF(COMPRAS_HILO!J141="","",COMPRAS_HILO!J141)</f>
        <v/>
      </c>
      <c r="E141" s="84" t="str">
        <f>IF(COMPRAS_HILO!C141="","","Compra "&amp;COMPRAS_HILO!C141)</f>
        <v/>
      </c>
      <c r="F141" s="95" t="str">
        <f>IF(COMPRAS_HILO!H141=0,"",COMPRAS_HILO!H141)</f>
        <v/>
      </c>
      <c r="G141" s="95" t="str">
        <f>IF(COMPRAS_HILO!O141=0,"",COMPRAS_HILO!O141)</f>
        <v/>
      </c>
      <c r="H141" s="95" t="str">
        <f>IF(COMPRAS_HILO!P141=0,"",COMPRAS_HILO!P141)</f>
        <v/>
      </c>
      <c r="I141" s="94" t="str">
        <f>IF(COMPRAS_HILO!M141="","",COMPRAS_HILO!M141)</f>
        <v/>
      </c>
    </row>
    <row r="142" ht="15.75" customHeight="1">
      <c r="A142" s="92" t="s">
        <v>221</v>
      </c>
      <c r="B142" s="93" t="str">
        <f>IF(COMPRAS_HILO!A142="","",COMPRAS_HILO!A142)</f>
        <v/>
      </c>
      <c r="C142" s="84" t="str">
        <f>IF(COMPRAS_HILO!I142="","",COMPRAS_HILO!I142)</f>
        <v/>
      </c>
      <c r="D142" s="94" t="str">
        <f>IF(COMPRAS_HILO!J142="","",COMPRAS_HILO!J142)</f>
        <v/>
      </c>
      <c r="E142" s="84" t="str">
        <f>IF(COMPRAS_HILO!C142="","","Compra "&amp;COMPRAS_HILO!C142)</f>
        <v/>
      </c>
      <c r="F142" s="95" t="str">
        <f>IF(COMPRAS_HILO!H142=0,"",COMPRAS_HILO!H142)</f>
        <v/>
      </c>
      <c r="G142" s="95" t="str">
        <f>IF(COMPRAS_HILO!O142=0,"",COMPRAS_HILO!O142)</f>
        <v/>
      </c>
      <c r="H142" s="95" t="str">
        <f>IF(COMPRAS_HILO!P142=0,"",COMPRAS_HILO!P142)</f>
        <v/>
      </c>
      <c r="I142" s="94" t="str">
        <f>IF(COMPRAS_HILO!M142="","",COMPRAS_HILO!M142)</f>
        <v/>
      </c>
    </row>
    <row r="143" ht="15.75" customHeight="1">
      <c r="A143" s="92" t="s">
        <v>221</v>
      </c>
      <c r="B143" s="93" t="str">
        <f>IF(COMPRAS_HILO!A143="","",COMPRAS_HILO!A143)</f>
        <v/>
      </c>
      <c r="C143" s="84" t="str">
        <f>IF(COMPRAS_HILO!I143="","",COMPRAS_HILO!I143)</f>
        <v/>
      </c>
      <c r="D143" s="94" t="str">
        <f>IF(COMPRAS_HILO!J143="","",COMPRAS_HILO!J143)</f>
        <v/>
      </c>
      <c r="E143" s="84" t="str">
        <f>IF(COMPRAS_HILO!C143="","","Compra "&amp;COMPRAS_HILO!C143)</f>
        <v/>
      </c>
      <c r="F143" s="95" t="str">
        <f>IF(COMPRAS_HILO!H143=0,"",COMPRAS_HILO!H143)</f>
        <v/>
      </c>
      <c r="G143" s="95" t="str">
        <f>IF(COMPRAS_HILO!O143=0,"",COMPRAS_HILO!O143)</f>
        <v/>
      </c>
      <c r="H143" s="95" t="str">
        <f>IF(COMPRAS_HILO!P143=0,"",COMPRAS_HILO!P143)</f>
        <v/>
      </c>
      <c r="I143" s="94" t="str">
        <f>IF(COMPRAS_HILO!M143="","",COMPRAS_HILO!M143)</f>
        <v/>
      </c>
    </row>
    <row r="144" ht="15.75" customHeight="1">
      <c r="A144" s="92" t="s">
        <v>221</v>
      </c>
      <c r="B144" s="93" t="str">
        <f>IF(COMPRAS_HILO!A144="","",COMPRAS_HILO!A144)</f>
        <v/>
      </c>
      <c r="C144" s="84" t="str">
        <f>IF(COMPRAS_HILO!I144="","",COMPRAS_HILO!I144)</f>
        <v/>
      </c>
      <c r="D144" s="94" t="str">
        <f>IF(COMPRAS_HILO!J144="","",COMPRAS_HILO!J144)</f>
        <v/>
      </c>
      <c r="E144" s="84" t="str">
        <f>IF(COMPRAS_HILO!C144="","","Compra "&amp;COMPRAS_HILO!C144)</f>
        <v/>
      </c>
      <c r="F144" s="95" t="str">
        <f>IF(COMPRAS_HILO!H144=0,"",COMPRAS_HILO!H144)</f>
        <v/>
      </c>
      <c r="G144" s="95" t="str">
        <f>IF(COMPRAS_HILO!O144=0,"",COMPRAS_HILO!O144)</f>
        <v/>
      </c>
      <c r="H144" s="95" t="str">
        <f>IF(COMPRAS_HILO!P144=0,"",COMPRAS_HILO!P144)</f>
        <v/>
      </c>
      <c r="I144" s="94" t="str">
        <f>IF(COMPRAS_HILO!M144="","",COMPRAS_HILO!M144)</f>
        <v/>
      </c>
    </row>
    <row r="145" ht="15.75" customHeight="1">
      <c r="A145" s="92" t="s">
        <v>221</v>
      </c>
      <c r="B145" s="93" t="str">
        <f>IF(COMPRAS_HILO!A145="","",COMPRAS_HILO!A145)</f>
        <v/>
      </c>
      <c r="C145" s="84" t="str">
        <f>IF(COMPRAS_HILO!I145="","",COMPRAS_HILO!I145)</f>
        <v/>
      </c>
      <c r="D145" s="94" t="str">
        <f>IF(COMPRAS_HILO!J145="","",COMPRAS_HILO!J145)</f>
        <v/>
      </c>
      <c r="E145" s="84" t="str">
        <f>IF(COMPRAS_HILO!C145="","","Compra "&amp;COMPRAS_HILO!C145)</f>
        <v/>
      </c>
      <c r="F145" s="95" t="str">
        <f>IF(COMPRAS_HILO!H145=0,"",COMPRAS_HILO!H145)</f>
        <v/>
      </c>
      <c r="G145" s="95" t="str">
        <f>IF(COMPRAS_HILO!O145=0,"",COMPRAS_HILO!O145)</f>
        <v/>
      </c>
      <c r="H145" s="95" t="str">
        <f>IF(COMPRAS_HILO!P145=0,"",COMPRAS_HILO!P145)</f>
        <v/>
      </c>
      <c r="I145" s="94" t="str">
        <f>IF(COMPRAS_HILO!M145="","",COMPRAS_HILO!M145)</f>
        <v/>
      </c>
    </row>
    <row r="146" ht="15.75" customHeight="1">
      <c r="A146" s="92" t="s">
        <v>221</v>
      </c>
      <c r="B146" s="93" t="str">
        <f>IF(COMPRAS_HILO!A146="","",COMPRAS_HILO!A146)</f>
        <v/>
      </c>
      <c r="C146" s="84" t="str">
        <f>IF(COMPRAS_HILO!I146="","",COMPRAS_HILO!I146)</f>
        <v/>
      </c>
      <c r="D146" s="94" t="str">
        <f>IF(COMPRAS_HILO!J146="","",COMPRAS_HILO!J146)</f>
        <v/>
      </c>
      <c r="E146" s="84" t="str">
        <f>IF(COMPRAS_HILO!C146="","","Compra "&amp;COMPRAS_HILO!C146)</f>
        <v/>
      </c>
      <c r="F146" s="95" t="str">
        <f>IF(COMPRAS_HILO!H146=0,"",COMPRAS_HILO!H146)</f>
        <v/>
      </c>
      <c r="G146" s="95" t="str">
        <f>IF(COMPRAS_HILO!O146=0,"",COMPRAS_HILO!O146)</f>
        <v/>
      </c>
      <c r="H146" s="95" t="str">
        <f>IF(COMPRAS_HILO!P146=0,"",COMPRAS_HILO!P146)</f>
        <v/>
      </c>
      <c r="I146" s="94" t="str">
        <f>IF(COMPRAS_HILO!M146="","",COMPRAS_HILO!M146)</f>
        <v/>
      </c>
    </row>
    <row r="147" ht="15.75" customHeight="1">
      <c r="A147" s="92" t="s">
        <v>221</v>
      </c>
      <c r="B147" s="93" t="str">
        <f>IF(COMPRAS_HILO!A147="","",COMPRAS_HILO!A147)</f>
        <v/>
      </c>
      <c r="C147" s="84" t="str">
        <f>IF(COMPRAS_HILO!I147="","",COMPRAS_HILO!I147)</f>
        <v/>
      </c>
      <c r="D147" s="94" t="str">
        <f>IF(COMPRAS_HILO!J147="","",COMPRAS_HILO!J147)</f>
        <v/>
      </c>
      <c r="E147" s="84" t="str">
        <f>IF(COMPRAS_HILO!C147="","","Compra "&amp;COMPRAS_HILO!C147)</f>
        <v/>
      </c>
      <c r="F147" s="95" t="str">
        <f>IF(COMPRAS_HILO!H147=0,"",COMPRAS_HILO!H147)</f>
        <v/>
      </c>
      <c r="G147" s="95" t="str">
        <f>IF(COMPRAS_HILO!O147=0,"",COMPRAS_HILO!O147)</f>
        <v/>
      </c>
      <c r="H147" s="95" t="str">
        <f>IF(COMPRAS_HILO!P147=0,"",COMPRAS_HILO!P147)</f>
        <v/>
      </c>
      <c r="I147" s="94" t="str">
        <f>IF(COMPRAS_HILO!M147="","",COMPRAS_HILO!M147)</f>
        <v/>
      </c>
    </row>
    <row r="148" ht="15.75" customHeight="1">
      <c r="A148" s="92" t="s">
        <v>221</v>
      </c>
      <c r="B148" s="93" t="str">
        <f>IF(COMPRAS_HILO!A148="","",COMPRAS_HILO!A148)</f>
        <v/>
      </c>
      <c r="C148" s="84" t="str">
        <f>IF(COMPRAS_HILO!I148="","",COMPRAS_HILO!I148)</f>
        <v/>
      </c>
      <c r="D148" s="94" t="str">
        <f>IF(COMPRAS_HILO!J148="","",COMPRAS_HILO!J148)</f>
        <v/>
      </c>
      <c r="E148" s="84" t="str">
        <f>IF(COMPRAS_HILO!C148="","","Compra "&amp;COMPRAS_HILO!C148)</f>
        <v/>
      </c>
      <c r="F148" s="95" t="str">
        <f>IF(COMPRAS_HILO!H148=0,"",COMPRAS_HILO!H148)</f>
        <v/>
      </c>
      <c r="G148" s="95" t="str">
        <f>IF(COMPRAS_HILO!O148=0,"",COMPRAS_HILO!O148)</f>
        <v/>
      </c>
      <c r="H148" s="95" t="str">
        <f>IF(COMPRAS_HILO!P148=0,"",COMPRAS_HILO!P148)</f>
        <v/>
      </c>
      <c r="I148" s="94" t="str">
        <f>IF(COMPRAS_HILO!M148="","",COMPRAS_HILO!M148)</f>
        <v/>
      </c>
    </row>
    <row r="149" ht="15.75" customHeight="1">
      <c r="A149" s="92" t="s">
        <v>221</v>
      </c>
      <c r="B149" s="93" t="str">
        <f>IF(COMPRAS_HILO!A149="","",COMPRAS_HILO!A149)</f>
        <v/>
      </c>
      <c r="C149" s="84" t="str">
        <f>IF(COMPRAS_HILO!I149="","",COMPRAS_HILO!I149)</f>
        <v/>
      </c>
      <c r="D149" s="94" t="str">
        <f>IF(COMPRAS_HILO!J149="","",COMPRAS_HILO!J149)</f>
        <v/>
      </c>
      <c r="E149" s="84" t="str">
        <f>IF(COMPRAS_HILO!C149="","","Compra "&amp;COMPRAS_HILO!C149)</f>
        <v/>
      </c>
      <c r="F149" s="95" t="str">
        <f>IF(COMPRAS_HILO!H149=0,"",COMPRAS_HILO!H149)</f>
        <v/>
      </c>
      <c r="G149" s="95" t="str">
        <f>IF(COMPRAS_HILO!O149=0,"",COMPRAS_HILO!O149)</f>
        <v/>
      </c>
      <c r="H149" s="95" t="str">
        <f>IF(COMPRAS_HILO!P149=0,"",COMPRAS_HILO!P149)</f>
        <v/>
      </c>
      <c r="I149" s="94" t="str">
        <f>IF(COMPRAS_HILO!M149="","",COMPRAS_HILO!M149)</f>
        <v/>
      </c>
    </row>
    <row r="150" ht="15.75" customHeight="1">
      <c r="A150" s="92" t="s">
        <v>221</v>
      </c>
      <c r="B150" s="93" t="str">
        <f>IF(COMPRAS_HILO!A150="","",COMPRAS_HILO!A150)</f>
        <v/>
      </c>
      <c r="C150" s="84" t="str">
        <f>IF(COMPRAS_HILO!I150="","",COMPRAS_HILO!I150)</f>
        <v/>
      </c>
      <c r="D150" s="94" t="str">
        <f>IF(COMPRAS_HILO!J150="","",COMPRAS_HILO!J150)</f>
        <v/>
      </c>
      <c r="E150" s="84" t="str">
        <f>IF(COMPRAS_HILO!C150="","","Compra "&amp;COMPRAS_HILO!C150)</f>
        <v/>
      </c>
      <c r="F150" s="95" t="str">
        <f>IF(COMPRAS_HILO!H150=0,"",COMPRAS_HILO!H150)</f>
        <v/>
      </c>
      <c r="G150" s="95" t="str">
        <f>IF(COMPRAS_HILO!O150=0,"",COMPRAS_HILO!O150)</f>
        <v/>
      </c>
      <c r="H150" s="95" t="str">
        <f>IF(COMPRAS_HILO!P150=0,"",COMPRAS_HILO!P150)</f>
        <v/>
      </c>
      <c r="I150" s="94" t="str">
        <f>IF(COMPRAS_HILO!M150="","",COMPRAS_HILO!M150)</f>
        <v/>
      </c>
    </row>
    <row r="151" ht="15.75" customHeight="1">
      <c r="A151" s="92" t="s">
        <v>221</v>
      </c>
      <c r="B151" s="93" t="str">
        <f>IF(COMPRAS_HILO!A151="","",COMPRAS_HILO!A151)</f>
        <v/>
      </c>
      <c r="C151" s="84" t="str">
        <f>IF(COMPRAS_HILO!I151="","",COMPRAS_HILO!I151)</f>
        <v/>
      </c>
      <c r="D151" s="94" t="str">
        <f>IF(COMPRAS_HILO!J151="","",COMPRAS_HILO!J151)</f>
        <v/>
      </c>
      <c r="E151" s="84" t="str">
        <f>IF(COMPRAS_HILO!C151="","","Compra "&amp;COMPRAS_HILO!C151)</f>
        <v/>
      </c>
      <c r="F151" s="95" t="str">
        <f>IF(COMPRAS_HILO!H151=0,"",COMPRAS_HILO!H151)</f>
        <v/>
      </c>
      <c r="G151" s="95" t="str">
        <f>IF(COMPRAS_HILO!O151=0,"",COMPRAS_HILO!O151)</f>
        <v/>
      </c>
      <c r="H151" s="95" t="str">
        <f>IF(COMPRAS_HILO!P151=0,"",COMPRAS_HILO!P151)</f>
        <v/>
      </c>
      <c r="I151" s="94" t="str">
        <f>IF(COMPRAS_HILO!M151="","",COMPRAS_HILO!M151)</f>
        <v/>
      </c>
    </row>
    <row r="152" ht="15.75" customHeight="1">
      <c r="A152" s="92" t="s">
        <v>221</v>
      </c>
      <c r="B152" s="93" t="str">
        <f>IF(COMPRAS_HILO!A152="","",COMPRAS_HILO!A152)</f>
        <v/>
      </c>
      <c r="C152" s="84" t="str">
        <f>IF(COMPRAS_HILO!I152="","",COMPRAS_HILO!I152)</f>
        <v/>
      </c>
      <c r="D152" s="94" t="str">
        <f>IF(COMPRAS_HILO!J152="","",COMPRAS_HILO!J152)</f>
        <v/>
      </c>
      <c r="E152" s="84" t="str">
        <f>IF(COMPRAS_HILO!C152="","","Compra "&amp;COMPRAS_HILO!C152)</f>
        <v/>
      </c>
      <c r="F152" s="95" t="str">
        <f>IF(COMPRAS_HILO!H152=0,"",COMPRAS_HILO!H152)</f>
        <v/>
      </c>
      <c r="G152" s="95" t="str">
        <f>IF(COMPRAS_HILO!O152=0,"",COMPRAS_HILO!O152)</f>
        <v/>
      </c>
      <c r="H152" s="95" t="str">
        <f>IF(COMPRAS_HILO!P152=0,"",COMPRAS_HILO!P152)</f>
        <v/>
      </c>
      <c r="I152" s="94" t="str">
        <f>IF(COMPRAS_HILO!M152="","",COMPRAS_HILO!M152)</f>
        <v/>
      </c>
    </row>
    <row r="153" ht="15.75" customHeight="1">
      <c r="A153" s="92" t="s">
        <v>221</v>
      </c>
      <c r="B153" s="93" t="str">
        <f>IF(COMPRAS_HILO!A153="","",COMPRAS_HILO!A153)</f>
        <v/>
      </c>
      <c r="C153" s="84" t="str">
        <f>IF(COMPRAS_HILO!I153="","",COMPRAS_HILO!I153)</f>
        <v/>
      </c>
      <c r="D153" s="94" t="str">
        <f>IF(COMPRAS_HILO!J153="","",COMPRAS_HILO!J153)</f>
        <v/>
      </c>
      <c r="E153" s="84" t="str">
        <f>IF(COMPRAS_HILO!C153="","","Compra "&amp;COMPRAS_HILO!C153)</f>
        <v/>
      </c>
      <c r="F153" s="95" t="str">
        <f>IF(COMPRAS_HILO!H153=0,"",COMPRAS_HILO!H153)</f>
        <v/>
      </c>
      <c r="G153" s="95" t="str">
        <f>IF(COMPRAS_HILO!O153=0,"",COMPRAS_HILO!O153)</f>
        <v/>
      </c>
      <c r="H153" s="95" t="str">
        <f>IF(COMPRAS_HILO!P153=0,"",COMPRAS_HILO!P153)</f>
        <v/>
      </c>
      <c r="I153" s="94" t="str">
        <f>IF(COMPRAS_HILO!M153="","",COMPRAS_HILO!M153)</f>
        <v/>
      </c>
    </row>
    <row r="154" ht="15.75" customHeight="1">
      <c r="A154" s="92" t="s">
        <v>221</v>
      </c>
      <c r="B154" s="93" t="str">
        <f>IF(COMPRAS_HILO!A154="","",COMPRAS_HILO!A154)</f>
        <v/>
      </c>
      <c r="C154" s="84" t="str">
        <f>IF(COMPRAS_HILO!I154="","",COMPRAS_HILO!I154)</f>
        <v/>
      </c>
      <c r="D154" s="94" t="str">
        <f>IF(COMPRAS_HILO!J154="","",COMPRAS_HILO!J154)</f>
        <v/>
      </c>
      <c r="E154" s="84" t="str">
        <f>IF(COMPRAS_HILO!C154="","","Compra "&amp;COMPRAS_HILO!C154)</f>
        <v/>
      </c>
      <c r="F154" s="95" t="str">
        <f>IF(COMPRAS_HILO!H154=0,"",COMPRAS_HILO!H154)</f>
        <v/>
      </c>
      <c r="G154" s="95" t="str">
        <f>IF(COMPRAS_HILO!O154=0,"",COMPRAS_HILO!O154)</f>
        <v/>
      </c>
      <c r="H154" s="95" t="str">
        <f>IF(COMPRAS_HILO!P154=0,"",COMPRAS_HILO!P154)</f>
        <v/>
      </c>
      <c r="I154" s="94" t="str">
        <f>IF(COMPRAS_HILO!M154="","",COMPRAS_HILO!M154)</f>
        <v/>
      </c>
    </row>
    <row r="155" ht="15.75" customHeight="1">
      <c r="A155" s="92" t="s">
        <v>221</v>
      </c>
      <c r="B155" s="93" t="str">
        <f>IF(COMPRAS_HILO!A155="","",COMPRAS_HILO!A155)</f>
        <v/>
      </c>
      <c r="C155" s="84" t="str">
        <f>IF(COMPRAS_HILO!I155="","",COMPRAS_HILO!I155)</f>
        <v/>
      </c>
      <c r="D155" s="94" t="str">
        <f>IF(COMPRAS_HILO!J155="","",COMPRAS_HILO!J155)</f>
        <v/>
      </c>
      <c r="E155" s="84" t="str">
        <f>IF(COMPRAS_HILO!C155="","","Compra "&amp;COMPRAS_HILO!C155)</f>
        <v/>
      </c>
      <c r="F155" s="95" t="str">
        <f>IF(COMPRAS_HILO!H155=0,"",COMPRAS_HILO!H155)</f>
        <v/>
      </c>
      <c r="G155" s="95" t="str">
        <f>IF(COMPRAS_HILO!O155=0,"",COMPRAS_HILO!O155)</f>
        <v/>
      </c>
      <c r="H155" s="95" t="str">
        <f>IF(COMPRAS_HILO!P155=0,"",COMPRAS_HILO!P155)</f>
        <v/>
      </c>
      <c r="I155" s="94" t="str">
        <f>IF(COMPRAS_HILO!M155="","",COMPRAS_HILO!M155)</f>
        <v/>
      </c>
    </row>
    <row r="156" ht="15.75" customHeight="1">
      <c r="A156" s="92" t="s">
        <v>221</v>
      </c>
      <c r="B156" s="93" t="str">
        <f>IF(COMPRAS_HILO!A156="","",COMPRAS_HILO!A156)</f>
        <v/>
      </c>
      <c r="C156" s="84" t="str">
        <f>IF(COMPRAS_HILO!I156="","",COMPRAS_HILO!I156)</f>
        <v/>
      </c>
      <c r="D156" s="94" t="str">
        <f>IF(COMPRAS_HILO!J156="","",COMPRAS_HILO!J156)</f>
        <v/>
      </c>
      <c r="E156" s="84" t="str">
        <f>IF(COMPRAS_HILO!C156="","","Compra "&amp;COMPRAS_HILO!C156)</f>
        <v/>
      </c>
      <c r="F156" s="95" t="str">
        <f>IF(COMPRAS_HILO!H156=0,"",COMPRAS_HILO!H156)</f>
        <v/>
      </c>
      <c r="G156" s="95" t="str">
        <f>IF(COMPRAS_HILO!O156=0,"",COMPRAS_HILO!O156)</f>
        <v/>
      </c>
      <c r="H156" s="95" t="str">
        <f>IF(COMPRAS_HILO!P156=0,"",COMPRAS_HILO!P156)</f>
        <v/>
      </c>
      <c r="I156" s="94" t="str">
        <f>IF(COMPRAS_HILO!M156="","",COMPRAS_HILO!M156)</f>
        <v/>
      </c>
    </row>
    <row r="157" ht="15.75" customHeight="1">
      <c r="A157" s="92" t="s">
        <v>221</v>
      </c>
      <c r="B157" s="93" t="str">
        <f>IF(COMPRAS_HILO!A157="","",COMPRAS_HILO!A157)</f>
        <v/>
      </c>
      <c r="C157" s="84" t="str">
        <f>IF(COMPRAS_HILO!I157="","",COMPRAS_HILO!I157)</f>
        <v/>
      </c>
      <c r="D157" s="94" t="str">
        <f>IF(COMPRAS_HILO!J157="","",COMPRAS_HILO!J157)</f>
        <v/>
      </c>
      <c r="E157" s="84" t="str">
        <f>IF(COMPRAS_HILO!C157="","","Compra "&amp;COMPRAS_HILO!C157)</f>
        <v/>
      </c>
      <c r="F157" s="95" t="str">
        <f>IF(COMPRAS_HILO!H157=0,"",COMPRAS_HILO!H157)</f>
        <v/>
      </c>
      <c r="G157" s="95" t="str">
        <f>IF(COMPRAS_HILO!O157=0,"",COMPRAS_HILO!O157)</f>
        <v/>
      </c>
      <c r="H157" s="95" t="str">
        <f>IF(COMPRAS_HILO!P157=0,"",COMPRAS_HILO!P157)</f>
        <v/>
      </c>
      <c r="I157" s="94" t="str">
        <f>IF(COMPRAS_HILO!M157="","",COMPRAS_HILO!M157)</f>
        <v/>
      </c>
    </row>
    <row r="158" ht="15.75" customHeight="1">
      <c r="A158" s="92" t="s">
        <v>221</v>
      </c>
      <c r="B158" s="93" t="str">
        <f>IF(COMPRAS_HILO!A158="","",COMPRAS_HILO!A158)</f>
        <v/>
      </c>
      <c r="C158" s="84" t="str">
        <f>IF(COMPRAS_HILO!I158="","",COMPRAS_HILO!I158)</f>
        <v/>
      </c>
      <c r="D158" s="94" t="str">
        <f>IF(COMPRAS_HILO!J158="","",COMPRAS_HILO!J158)</f>
        <v/>
      </c>
      <c r="E158" s="84" t="str">
        <f>IF(COMPRAS_HILO!C158="","","Compra "&amp;COMPRAS_HILO!C158)</f>
        <v/>
      </c>
      <c r="F158" s="95" t="str">
        <f>IF(COMPRAS_HILO!H158=0,"",COMPRAS_HILO!H158)</f>
        <v/>
      </c>
      <c r="G158" s="95" t="str">
        <f>IF(COMPRAS_HILO!O158=0,"",COMPRAS_HILO!O158)</f>
        <v/>
      </c>
      <c r="H158" s="95" t="str">
        <f>IF(COMPRAS_HILO!P158=0,"",COMPRAS_HILO!P158)</f>
        <v/>
      </c>
      <c r="I158" s="94" t="str">
        <f>IF(COMPRAS_HILO!M158="","",COMPRAS_HILO!M158)</f>
        <v/>
      </c>
    </row>
    <row r="159" ht="15.75" customHeight="1">
      <c r="A159" s="92" t="s">
        <v>221</v>
      </c>
      <c r="B159" s="93" t="str">
        <f>IF(COMPRAS_HILO!A159="","",COMPRAS_HILO!A159)</f>
        <v/>
      </c>
      <c r="C159" s="84" t="str">
        <f>IF(COMPRAS_HILO!I159="","",COMPRAS_HILO!I159)</f>
        <v/>
      </c>
      <c r="D159" s="94" t="str">
        <f>IF(COMPRAS_HILO!J159="","",COMPRAS_HILO!J159)</f>
        <v/>
      </c>
      <c r="E159" s="84" t="str">
        <f>IF(COMPRAS_HILO!C159="","","Compra "&amp;COMPRAS_HILO!C159)</f>
        <v/>
      </c>
      <c r="F159" s="95" t="str">
        <f>IF(COMPRAS_HILO!H159=0,"",COMPRAS_HILO!H159)</f>
        <v/>
      </c>
      <c r="G159" s="95" t="str">
        <f>IF(COMPRAS_HILO!O159=0,"",COMPRAS_HILO!O159)</f>
        <v/>
      </c>
      <c r="H159" s="95" t="str">
        <f>IF(COMPRAS_HILO!P159=0,"",COMPRAS_HILO!P159)</f>
        <v/>
      </c>
      <c r="I159" s="94" t="str">
        <f>IF(COMPRAS_HILO!M159="","",COMPRAS_HILO!M159)</f>
        <v/>
      </c>
    </row>
    <row r="160" ht="15.75" customHeight="1">
      <c r="A160" s="92" t="s">
        <v>221</v>
      </c>
      <c r="B160" s="93" t="str">
        <f>IF(COMPRAS_HILO!A160="","",COMPRAS_HILO!A160)</f>
        <v/>
      </c>
      <c r="C160" s="84" t="str">
        <f>IF(COMPRAS_HILO!I160="","",COMPRAS_HILO!I160)</f>
        <v/>
      </c>
      <c r="D160" s="94" t="str">
        <f>IF(COMPRAS_HILO!J160="","",COMPRAS_HILO!J160)</f>
        <v/>
      </c>
      <c r="E160" s="84" t="str">
        <f>IF(COMPRAS_HILO!C160="","","Compra "&amp;COMPRAS_HILO!C160)</f>
        <v/>
      </c>
      <c r="F160" s="95" t="str">
        <f>IF(COMPRAS_HILO!H160=0,"",COMPRAS_HILO!H160)</f>
        <v/>
      </c>
      <c r="G160" s="95" t="str">
        <f>IF(COMPRAS_HILO!O160=0,"",COMPRAS_HILO!O160)</f>
        <v/>
      </c>
      <c r="H160" s="95" t="str">
        <f>IF(COMPRAS_HILO!P160=0,"",COMPRAS_HILO!P160)</f>
        <v/>
      </c>
      <c r="I160" s="94" t="str">
        <f>IF(COMPRAS_HILO!M160="","",COMPRAS_HILO!M160)</f>
        <v/>
      </c>
    </row>
    <row r="161" ht="15.75" customHeight="1">
      <c r="A161" s="92" t="s">
        <v>221</v>
      </c>
      <c r="B161" s="93" t="str">
        <f>IF(COMPRAS_HILO!A161="","",COMPRAS_HILO!A161)</f>
        <v/>
      </c>
      <c r="C161" s="84" t="str">
        <f>IF(COMPRAS_HILO!I161="","",COMPRAS_HILO!I161)</f>
        <v/>
      </c>
      <c r="D161" s="94" t="str">
        <f>IF(COMPRAS_HILO!J161="","",COMPRAS_HILO!J161)</f>
        <v/>
      </c>
      <c r="E161" s="84" t="str">
        <f>IF(COMPRAS_HILO!C161="","","Compra "&amp;COMPRAS_HILO!C161)</f>
        <v/>
      </c>
      <c r="F161" s="95" t="str">
        <f>IF(COMPRAS_HILO!H161=0,"",COMPRAS_HILO!H161)</f>
        <v/>
      </c>
      <c r="G161" s="95" t="str">
        <f>IF(COMPRAS_HILO!O161=0,"",COMPRAS_HILO!O161)</f>
        <v/>
      </c>
      <c r="H161" s="95" t="str">
        <f>IF(COMPRAS_HILO!P161=0,"",COMPRAS_HILO!P161)</f>
        <v/>
      </c>
      <c r="I161" s="94" t="str">
        <f>IF(COMPRAS_HILO!M161="","",COMPRAS_HILO!M161)</f>
        <v/>
      </c>
    </row>
    <row r="162" ht="15.75" customHeight="1">
      <c r="A162" s="92" t="s">
        <v>221</v>
      </c>
      <c r="B162" s="93" t="str">
        <f>IF(COMPRAS_HILO!A162="","",COMPRAS_HILO!A162)</f>
        <v/>
      </c>
      <c r="C162" s="84" t="str">
        <f>IF(COMPRAS_HILO!I162="","",COMPRAS_HILO!I162)</f>
        <v/>
      </c>
      <c r="D162" s="94" t="str">
        <f>IF(COMPRAS_HILO!J162="","",COMPRAS_HILO!J162)</f>
        <v/>
      </c>
      <c r="E162" s="84" t="str">
        <f>IF(COMPRAS_HILO!C162="","","Compra "&amp;COMPRAS_HILO!C162)</f>
        <v/>
      </c>
      <c r="F162" s="95" t="str">
        <f>IF(COMPRAS_HILO!H162=0,"",COMPRAS_HILO!H162)</f>
        <v/>
      </c>
      <c r="G162" s="95" t="str">
        <f>IF(COMPRAS_HILO!O162=0,"",COMPRAS_HILO!O162)</f>
        <v/>
      </c>
      <c r="H162" s="95" t="str">
        <f>IF(COMPRAS_HILO!P162=0,"",COMPRAS_HILO!P162)</f>
        <v/>
      </c>
      <c r="I162" s="94" t="str">
        <f>IF(COMPRAS_HILO!M162="","",COMPRAS_HILO!M162)</f>
        <v/>
      </c>
    </row>
    <row r="163" ht="15.75" customHeight="1">
      <c r="A163" s="92" t="s">
        <v>221</v>
      </c>
      <c r="B163" s="93" t="str">
        <f>IF(COMPRAS_HILO!A163="","",COMPRAS_HILO!A163)</f>
        <v/>
      </c>
      <c r="C163" s="84" t="str">
        <f>IF(COMPRAS_HILO!I163="","",COMPRAS_HILO!I163)</f>
        <v/>
      </c>
      <c r="D163" s="94" t="str">
        <f>IF(COMPRAS_HILO!J163="","",COMPRAS_HILO!J163)</f>
        <v/>
      </c>
      <c r="E163" s="84" t="str">
        <f>IF(COMPRAS_HILO!C163="","","Compra "&amp;COMPRAS_HILO!C163)</f>
        <v/>
      </c>
      <c r="F163" s="95" t="str">
        <f>IF(COMPRAS_HILO!H163=0,"",COMPRAS_HILO!H163)</f>
        <v/>
      </c>
      <c r="G163" s="95" t="str">
        <f>IF(COMPRAS_HILO!O163=0,"",COMPRAS_HILO!O163)</f>
        <v/>
      </c>
      <c r="H163" s="95" t="str">
        <f>IF(COMPRAS_HILO!P163=0,"",COMPRAS_HILO!P163)</f>
        <v/>
      </c>
      <c r="I163" s="94" t="str">
        <f>IF(COMPRAS_HILO!M163="","",COMPRAS_HILO!M163)</f>
        <v/>
      </c>
    </row>
    <row r="164" ht="15.75" customHeight="1">
      <c r="A164" s="92" t="s">
        <v>221</v>
      </c>
      <c r="B164" s="93" t="str">
        <f>IF(COMPRAS_HILO!A164="","",COMPRAS_HILO!A164)</f>
        <v/>
      </c>
      <c r="C164" s="84" t="str">
        <f>IF(COMPRAS_HILO!I164="","",COMPRAS_HILO!I164)</f>
        <v/>
      </c>
      <c r="D164" s="94" t="str">
        <f>IF(COMPRAS_HILO!J164="","",COMPRAS_HILO!J164)</f>
        <v/>
      </c>
      <c r="E164" s="84" t="str">
        <f>IF(COMPRAS_HILO!C164="","","Compra "&amp;COMPRAS_HILO!C164)</f>
        <v/>
      </c>
      <c r="F164" s="95" t="str">
        <f>IF(COMPRAS_HILO!H164=0,"",COMPRAS_HILO!H164)</f>
        <v/>
      </c>
      <c r="G164" s="95" t="str">
        <f>IF(COMPRAS_HILO!O164=0,"",COMPRAS_HILO!O164)</f>
        <v/>
      </c>
      <c r="H164" s="95" t="str">
        <f>IF(COMPRAS_HILO!P164=0,"",COMPRAS_HILO!P164)</f>
        <v/>
      </c>
      <c r="I164" s="94" t="str">
        <f>IF(COMPRAS_HILO!M164="","",COMPRAS_HILO!M164)</f>
        <v/>
      </c>
    </row>
    <row r="165" ht="15.75" customHeight="1">
      <c r="A165" s="92" t="s">
        <v>221</v>
      </c>
      <c r="B165" s="93" t="str">
        <f>IF(COMPRAS_HILO!A165="","",COMPRAS_HILO!A165)</f>
        <v/>
      </c>
      <c r="C165" s="84" t="str">
        <f>IF(COMPRAS_HILO!I165="","",COMPRAS_HILO!I165)</f>
        <v/>
      </c>
      <c r="D165" s="94" t="str">
        <f>IF(COMPRAS_HILO!J165="","",COMPRAS_HILO!J165)</f>
        <v/>
      </c>
      <c r="E165" s="84" t="str">
        <f>IF(COMPRAS_HILO!C165="","","Compra "&amp;COMPRAS_HILO!C165)</f>
        <v/>
      </c>
      <c r="F165" s="95" t="str">
        <f>IF(COMPRAS_HILO!H165=0,"",COMPRAS_HILO!H165)</f>
        <v/>
      </c>
      <c r="G165" s="95" t="str">
        <f>IF(COMPRAS_HILO!O165=0,"",COMPRAS_HILO!O165)</f>
        <v/>
      </c>
      <c r="H165" s="95" t="str">
        <f>IF(COMPRAS_HILO!P165=0,"",COMPRAS_HILO!P165)</f>
        <v/>
      </c>
      <c r="I165" s="94" t="str">
        <f>IF(COMPRAS_HILO!M165="","",COMPRAS_HILO!M165)</f>
        <v/>
      </c>
    </row>
    <row r="166" ht="15.75" customHeight="1">
      <c r="A166" s="92" t="s">
        <v>221</v>
      </c>
      <c r="B166" s="93" t="str">
        <f>IF(COMPRAS_HILO!A166="","",COMPRAS_HILO!A166)</f>
        <v/>
      </c>
      <c r="C166" s="84" t="str">
        <f>IF(COMPRAS_HILO!I166="","",COMPRAS_HILO!I166)</f>
        <v/>
      </c>
      <c r="D166" s="94" t="str">
        <f>IF(COMPRAS_HILO!J166="","",COMPRAS_HILO!J166)</f>
        <v/>
      </c>
      <c r="E166" s="84" t="str">
        <f>IF(COMPRAS_HILO!C166="","","Compra "&amp;COMPRAS_HILO!C166)</f>
        <v/>
      </c>
      <c r="F166" s="95" t="str">
        <f>IF(COMPRAS_HILO!H166=0,"",COMPRAS_HILO!H166)</f>
        <v/>
      </c>
      <c r="G166" s="95" t="str">
        <f>IF(COMPRAS_HILO!O166=0,"",COMPRAS_HILO!O166)</f>
        <v/>
      </c>
      <c r="H166" s="95" t="str">
        <f>IF(COMPRAS_HILO!P166=0,"",COMPRAS_HILO!P166)</f>
        <v/>
      </c>
      <c r="I166" s="94" t="str">
        <f>IF(COMPRAS_HILO!M166="","",COMPRAS_HILO!M166)</f>
        <v/>
      </c>
    </row>
    <row r="167" ht="15.75" customHeight="1">
      <c r="A167" s="92" t="s">
        <v>221</v>
      </c>
      <c r="B167" s="93" t="str">
        <f>IF(COMPRAS_HILO!A167="","",COMPRAS_HILO!A167)</f>
        <v/>
      </c>
      <c r="C167" s="84" t="str">
        <f>IF(COMPRAS_HILO!I167="","",COMPRAS_HILO!I167)</f>
        <v/>
      </c>
      <c r="D167" s="94" t="str">
        <f>IF(COMPRAS_HILO!J167="","",COMPRAS_HILO!J167)</f>
        <v/>
      </c>
      <c r="E167" s="84" t="str">
        <f>IF(COMPRAS_HILO!C167="","","Compra "&amp;COMPRAS_HILO!C167)</f>
        <v/>
      </c>
      <c r="F167" s="95" t="str">
        <f>IF(COMPRAS_HILO!H167=0,"",COMPRAS_HILO!H167)</f>
        <v/>
      </c>
      <c r="G167" s="95" t="str">
        <f>IF(COMPRAS_HILO!O167=0,"",COMPRAS_HILO!O167)</f>
        <v/>
      </c>
      <c r="H167" s="95" t="str">
        <f>IF(COMPRAS_HILO!P167=0,"",COMPRAS_HILO!P167)</f>
        <v/>
      </c>
      <c r="I167" s="94" t="str">
        <f>IF(COMPRAS_HILO!M167="","",COMPRAS_HILO!M167)</f>
        <v/>
      </c>
    </row>
    <row r="168" ht="15.75" customHeight="1">
      <c r="A168" s="92" t="s">
        <v>221</v>
      </c>
      <c r="B168" s="93" t="str">
        <f>IF(COMPRAS_HILO!A168="","",COMPRAS_HILO!A168)</f>
        <v/>
      </c>
      <c r="C168" s="84" t="str">
        <f>IF(COMPRAS_HILO!I168="","",COMPRAS_HILO!I168)</f>
        <v/>
      </c>
      <c r="D168" s="94" t="str">
        <f>IF(COMPRAS_HILO!J168="","",COMPRAS_HILO!J168)</f>
        <v/>
      </c>
      <c r="E168" s="84" t="str">
        <f>IF(COMPRAS_HILO!C168="","","Compra "&amp;COMPRAS_HILO!C168)</f>
        <v/>
      </c>
      <c r="F168" s="95" t="str">
        <f>IF(COMPRAS_HILO!H168=0,"",COMPRAS_HILO!H168)</f>
        <v/>
      </c>
      <c r="G168" s="95" t="str">
        <f>IF(COMPRAS_HILO!O168=0,"",COMPRAS_HILO!O168)</f>
        <v/>
      </c>
      <c r="H168" s="95" t="str">
        <f>IF(COMPRAS_HILO!P168=0,"",COMPRAS_HILO!P168)</f>
        <v/>
      </c>
      <c r="I168" s="94" t="str">
        <f>IF(COMPRAS_HILO!M168="","",COMPRAS_HILO!M168)</f>
        <v/>
      </c>
    </row>
    <row r="169" ht="15.75" customHeight="1">
      <c r="A169" s="92" t="s">
        <v>221</v>
      </c>
      <c r="B169" s="93" t="str">
        <f>IF(COMPRAS_HILO!A169="","",COMPRAS_HILO!A169)</f>
        <v/>
      </c>
      <c r="C169" s="84" t="str">
        <f>IF(COMPRAS_HILO!I169="","",COMPRAS_HILO!I169)</f>
        <v/>
      </c>
      <c r="D169" s="94" t="str">
        <f>IF(COMPRAS_HILO!J169="","",COMPRAS_HILO!J169)</f>
        <v/>
      </c>
      <c r="E169" s="84" t="str">
        <f>IF(COMPRAS_HILO!C169="","","Compra "&amp;COMPRAS_HILO!C169)</f>
        <v/>
      </c>
      <c r="F169" s="95" t="str">
        <f>IF(COMPRAS_HILO!H169=0,"",COMPRAS_HILO!H169)</f>
        <v/>
      </c>
      <c r="G169" s="95" t="str">
        <f>IF(COMPRAS_HILO!O169=0,"",COMPRAS_HILO!O169)</f>
        <v/>
      </c>
      <c r="H169" s="95" t="str">
        <f>IF(COMPRAS_HILO!P169=0,"",COMPRAS_HILO!P169)</f>
        <v/>
      </c>
      <c r="I169" s="94" t="str">
        <f>IF(COMPRAS_HILO!M169="","",COMPRAS_HILO!M169)</f>
        <v/>
      </c>
    </row>
    <row r="170" ht="15.75" customHeight="1">
      <c r="A170" s="92" t="s">
        <v>221</v>
      </c>
      <c r="B170" s="93" t="str">
        <f>IF(COMPRAS_HILO!A170="","",COMPRAS_HILO!A170)</f>
        <v/>
      </c>
      <c r="C170" s="84" t="str">
        <f>IF(COMPRAS_HILO!I170="","",COMPRAS_HILO!I170)</f>
        <v/>
      </c>
      <c r="D170" s="94" t="str">
        <f>IF(COMPRAS_HILO!J170="","",COMPRAS_HILO!J170)</f>
        <v/>
      </c>
      <c r="E170" s="84" t="str">
        <f>IF(COMPRAS_HILO!C170="","","Compra "&amp;COMPRAS_HILO!C170)</f>
        <v/>
      </c>
      <c r="F170" s="95" t="str">
        <f>IF(COMPRAS_HILO!H170=0,"",COMPRAS_HILO!H170)</f>
        <v/>
      </c>
      <c r="G170" s="95" t="str">
        <f>IF(COMPRAS_HILO!O170=0,"",COMPRAS_HILO!O170)</f>
        <v/>
      </c>
      <c r="H170" s="95" t="str">
        <f>IF(COMPRAS_HILO!P170=0,"",COMPRAS_HILO!P170)</f>
        <v/>
      </c>
      <c r="I170" s="94" t="str">
        <f>IF(COMPRAS_HILO!M170="","",COMPRAS_HILO!M170)</f>
        <v/>
      </c>
    </row>
    <row r="171" ht="15.75" customHeight="1">
      <c r="A171" s="92" t="s">
        <v>221</v>
      </c>
      <c r="B171" s="93" t="str">
        <f>IF(COMPRAS_HILO!A171="","",COMPRAS_HILO!A171)</f>
        <v/>
      </c>
      <c r="C171" s="84" t="str">
        <f>IF(COMPRAS_HILO!I171="","",COMPRAS_HILO!I171)</f>
        <v/>
      </c>
      <c r="D171" s="94" t="str">
        <f>IF(COMPRAS_HILO!J171="","",COMPRAS_HILO!J171)</f>
        <v/>
      </c>
      <c r="E171" s="84" t="str">
        <f>IF(COMPRAS_HILO!C171="","","Compra "&amp;COMPRAS_HILO!C171)</f>
        <v/>
      </c>
      <c r="F171" s="95" t="str">
        <f>IF(COMPRAS_HILO!H171=0,"",COMPRAS_HILO!H171)</f>
        <v/>
      </c>
      <c r="G171" s="95" t="str">
        <f>IF(COMPRAS_HILO!O171=0,"",COMPRAS_HILO!O171)</f>
        <v/>
      </c>
      <c r="H171" s="95" t="str">
        <f>IF(COMPRAS_HILO!P171=0,"",COMPRAS_HILO!P171)</f>
        <v/>
      </c>
      <c r="I171" s="94" t="str">
        <f>IF(COMPRAS_HILO!M171="","",COMPRAS_HILO!M171)</f>
        <v/>
      </c>
    </row>
    <row r="172" ht="15.75" customHeight="1">
      <c r="A172" s="92" t="s">
        <v>221</v>
      </c>
      <c r="B172" s="93" t="str">
        <f>IF(COMPRAS_HILO!A172="","",COMPRAS_HILO!A172)</f>
        <v/>
      </c>
      <c r="C172" s="84" t="str">
        <f>IF(COMPRAS_HILO!I172="","",COMPRAS_HILO!I172)</f>
        <v/>
      </c>
      <c r="D172" s="94" t="str">
        <f>IF(COMPRAS_HILO!J172="","",COMPRAS_HILO!J172)</f>
        <v/>
      </c>
      <c r="E172" s="84" t="str">
        <f>IF(COMPRAS_HILO!C172="","","Compra "&amp;COMPRAS_HILO!C172)</f>
        <v/>
      </c>
      <c r="F172" s="95" t="str">
        <f>IF(COMPRAS_HILO!H172=0,"",COMPRAS_HILO!H172)</f>
        <v/>
      </c>
      <c r="G172" s="95" t="str">
        <f>IF(COMPRAS_HILO!O172=0,"",COMPRAS_HILO!O172)</f>
        <v/>
      </c>
      <c r="H172" s="95" t="str">
        <f>IF(COMPRAS_HILO!P172=0,"",COMPRAS_HILO!P172)</f>
        <v/>
      </c>
      <c r="I172" s="94" t="str">
        <f>IF(COMPRAS_HILO!M172="","",COMPRAS_HILO!M172)</f>
        <v/>
      </c>
    </row>
    <row r="173" ht="15.75" customHeight="1">
      <c r="A173" s="92" t="s">
        <v>221</v>
      </c>
      <c r="B173" s="93" t="str">
        <f>IF(COMPRAS_HILO!A173="","",COMPRAS_HILO!A173)</f>
        <v/>
      </c>
      <c r="C173" s="84" t="str">
        <f>IF(COMPRAS_HILO!I173="","",COMPRAS_HILO!I173)</f>
        <v/>
      </c>
      <c r="D173" s="94" t="str">
        <f>IF(COMPRAS_HILO!J173="","",COMPRAS_HILO!J173)</f>
        <v/>
      </c>
      <c r="E173" s="84" t="str">
        <f>IF(COMPRAS_HILO!C173="","","Compra "&amp;COMPRAS_HILO!C173)</f>
        <v/>
      </c>
      <c r="F173" s="95" t="str">
        <f>IF(COMPRAS_HILO!H173=0,"",COMPRAS_HILO!H173)</f>
        <v/>
      </c>
      <c r="G173" s="95" t="str">
        <f>IF(COMPRAS_HILO!O173=0,"",COMPRAS_HILO!O173)</f>
        <v/>
      </c>
      <c r="H173" s="95" t="str">
        <f>IF(COMPRAS_HILO!P173=0,"",COMPRAS_HILO!P173)</f>
        <v/>
      </c>
      <c r="I173" s="94" t="str">
        <f>IF(COMPRAS_HILO!M173="","",COMPRAS_HILO!M173)</f>
        <v/>
      </c>
    </row>
    <row r="174" ht="15.75" customHeight="1">
      <c r="A174" s="92" t="s">
        <v>221</v>
      </c>
      <c r="B174" s="93" t="str">
        <f>IF(COMPRAS_HILO!A174="","",COMPRAS_HILO!A174)</f>
        <v/>
      </c>
      <c r="C174" s="84" t="str">
        <f>IF(COMPRAS_HILO!I174="","",COMPRAS_HILO!I174)</f>
        <v/>
      </c>
      <c r="D174" s="94" t="str">
        <f>IF(COMPRAS_HILO!J174="","",COMPRAS_HILO!J174)</f>
        <v/>
      </c>
      <c r="E174" s="84" t="str">
        <f>IF(COMPRAS_HILO!C174="","","Compra "&amp;COMPRAS_HILO!C174)</f>
        <v/>
      </c>
      <c r="F174" s="95" t="str">
        <f>IF(COMPRAS_HILO!H174=0,"",COMPRAS_HILO!H174)</f>
        <v/>
      </c>
      <c r="G174" s="95" t="str">
        <f>IF(COMPRAS_HILO!O174=0,"",COMPRAS_HILO!O174)</f>
        <v/>
      </c>
      <c r="H174" s="95" t="str">
        <f>IF(COMPRAS_HILO!P174=0,"",COMPRAS_HILO!P174)</f>
        <v/>
      </c>
      <c r="I174" s="94" t="str">
        <f>IF(COMPRAS_HILO!M174="","",COMPRAS_HILO!M174)</f>
        <v/>
      </c>
    </row>
    <row r="175" ht="15.75" customHeight="1">
      <c r="A175" s="92" t="s">
        <v>221</v>
      </c>
      <c r="B175" s="93" t="str">
        <f>IF(COMPRAS_HILO!A175="","",COMPRAS_HILO!A175)</f>
        <v/>
      </c>
      <c r="C175" s="84" t="str">
        <f>IF(COMPRAS_HILO!I175="","",COMPRAS_HILO!I175)</f>
        <v/>
      </c>
      <c r="D175" s="94" t="str">
        <f>IF(COMPRAS_HILO!J175="","",COMPRAS_HILO!J175)</f>
        <v/>
      </c>
      <c r="E175" s="84" t="str">
        <f>IF(COMPRAS_HILO!C175="","","Compra "&amp;COMPRAS_HILO!C175)</f>
        <v/>
      </c>
      <c r="F175" s="95" t="str">
        <f>IF(COMPRAS_HILO!H175=0,"",COMPRAS_HILO!H175)</f>
        <v/>
      </c>
      <c r="G175" s="95" t="str">
        <f>IF(COMPRAS_HILO!O175=0,"",COMPRAS_HILO!O175)</f>
        <v/>
      </c>
      <c r="H175" s="95" t="str">
        <f>IF(COMPRAS_HILO!P175=0,"",COMPRAS_HILO!P175)</f>
        <v/>
      </c>
      <c r="I175" s="94" t="str">
        <f>IF(COMPRAS_HILO!M175="","",COMPRAS_HILO!M175)</f>
        <v/>
      </c>
    </row>
    <row r="176" ht="15.75" customHeight="1">
      <c r="A176" s="92" t="s">
        <v>221</v>
      </c>
      <c r="B176" s="93" t="str">
        <f>IF(COMPRAS_HILO!A176="","",COMPRAS_HILO!A176)</f>
        <v/>
      </c>
      <c r="C176" s="84" t="str">
        <f>IF(COMPRAS_HILO!I176="","",COMPRAS_HILO!I176)</f>
        <v/>
      </c>
      <c r="D176" s="94" t="str">
        <f>IF(COMPRAS_HILO!J176="","",COMPRAS_HILO!J176)</f>
        <v/>
      </c>
      <c r="E176" s="84" t="str">
        <f>IF(COMPRAS_HILO!C176="","","Compra "&amp;COMPRAS_HILO!C176)</f>
        <v/>
      </c>
      <c r="F176" s="95" t="str">
        <f>IF(COMPRAS_HILO!H176=0,"",COMPRAS_HILO!H176)</f>
        <v/>
      </c>
      <c r="G176" s="95" t="str">
        <f>IF(COMPRAS_HILO!O176=0,"",COMPRAS_HILO!O176)</f>
        <v/>
      </c>
      <c r="H176" s="95" t="str">
        <f>IF(COMPRAS_HILO!P176=0,"",COMPRAS_HILO!P176)</f>
        <v/>
      </c>
      <c r="I176" s="94" t="str">
        <f>IF(COMPRAS_HILO!M176="","",COMPRAS_HILO!M176)</f>
        <v/>
      </c>
    </row>
    <row r="177" ht="15.75" customHeight="1">
      <c r="A177" s="92" t="s">
        <v>221</v>
      </c>
      <c r="B177" s="93" t="str">
        <f>IF(COMPRAS_HILO!A177="","",COMPRAS_HILO!A177)</f>
        <v/>
      </c>
      <c r="C177" s="84" t="str">
        <f>IF(COMPRAS_HILO!I177="","",COMPRAS_HILO!I177)</f>
        <v/>
      </c>
      <c r="D177" s="94" t="str">
        <f>IF(COMPRAS_HILO!J177="","",COMPRAS_HILO!J177)</f>
        <v/>
      </c>
      <c r="E177" s="84" t="str">
        <f>IF(COMPRAS_HILO!C177="","","Compra "&amp;COMPRAS_HILO!C177)</f>
        <v/>
      </c>
      <c r="F177" s="95" t="str">
        <f>IF(COMPRAS_HILO!H177=0,"",COMPRAS_HILO!H177)</f>
        <v/>
      </c>
      <c r="G177" s="95" t="str">
        <f>IF(COMPRAS_HILO!O177=0,"",COMPRAS_HILO!O177)</f>
        <v/>
      </c>
      <c r="H177" s="95" t="str">
        <f>IF(COMPRAS_HILO!P177=0,"",COMPRAS_HILO!P177)</f>
        <v/>
      </c>
      <c r="I177" s="94" t="str">
        <f>IF(COMPRAS_HILO!M177="","",COMPRAS_HILO!M177)</f>
        <v/>
      </c>
    </row>
    <row r="178" ht="15.75" customHeight="1">
      <c r="A178" s="92" t="s">
        <v>221</v>
      </c>
      <c r="B178" s="93" t="str">
        <f>IF(COMPRAS_HILO!A178="","",COMPRAS_HILO!A178)</f>
        <v/>
      </c>
      <c r="C178" s="84" t="str">
        <f>IF(COMPRAS_HILO!I178="","",COMPRAS_HILO!I178)</f>
        <v/>
      </c>
      <c r="D178" s="94" t="str">
        <f>IF(COMPRAS_HILO!J178="","",COMPRAS_HILO!J178)</f>
        <v/>
      </c>
      <c r="E178" s="84" t="str">
        <f>IF(COMPRAS_HILO!C178="","","Compra "&amp;COMPRAS_HILO!C178)</f>
        <v/>
      </c>
      <c r="F178" s="95" t="str">
        <f>IF(COMPRAS_HILO!H178=0,"",COMPRAS_HILO!H178)</f>
        <v/>
      </c>
      <c r="G178" s="95" t="str">
        <f>IF(COMPRAS_HILO!O178=0,"",COMPRAS_HILO!O178)</f>
        <v/>
      </c>
      <c r="H178" s="95" t="str">
        <f>IF(COMPRAS_HILO!P178=0,"",COMPRAS_HILO!P178)</f>
        <v/>
      </c>
      <c r="I178" s="94" t="str">
        <f>IF(COMPRAS_HILO!M178="","",COMPRAS_HILO!M178)</f>
        <v/>
      </c>
    </row>
    <row r="179" ht="15.75" customHeight="1">
      <c r="A179" s="92" t="s">
        <v>221</v>
      </c>
      <c r="B179" s="93" t="str">
        <f>IF(COMPRAS_HILO!A179="","",COMPRAS_HILO!A179)</f>
        <v/>
      </c>
      <c r="C179" s="84" t="str">
        <f>IF(COMPRAS_HILO!I179="","",COMPRAS_HILO!I179)</f>
        <v/>
      </c>
      <c r="D179" s="94" t="str">
        <f>IF(COMPRAS_HILO!J179="","",COMPRAS_HILO!J179)</f>
        <v/>
      </c>
      <c r="E179" s="84" t="str">
        <f>IF(COMPRAS_HILO!C179="","","Compra "&amp;COMPRAS_HILO!C179)</f>
        <v/>
      </c>
      <c r="F179" s="95" t="str">
        <f>IF(COMPRAS_HILO!H179=0,"",COMPRAS_HILO!H179)</f>
        <v/>
      </c>
      <c r="G179" s="95" t="str">
        <f>IF(COMPRAS_HILO!O179=0,"",COMPRAS_HILO!O179)</f>
        <v/>
      </c>
      <c r="H179" s="95" t="str">
        <f>IF(COMPRAS_HILO!P179=0,"",COMPRAS_HILO!P179)</f>
        <v/>
      </c>
      <c r="I179" s="94" t="str">
        <f>IF(COMPRAS_HILO!M179="","",COMPRAS_HILO!M179)</f>
        <v/>
      </c>
    </row>
    <row r="180" ht="15.75" customHeight="1">
      <c r="A180" s="92" t="s">
        <v>221</v>
      </c>
      <c r="B180" s="93" t="str">
        <f>IF(COMPRAS_HILO!A180="","",COMPRAS_HILO!A180)</f>
        <v/>
      </c>
      <c r="C180" s="84" t="str">
        <f>IF(COMPRAS_HILO!I180="","",COMPRAS_HILO!I180)</f>
        <v/>
      </c>
      <c r="D180" s="94" t="str">
        <f>IF(COMPRAS_HILO!J180="","",COMPRAS_HILO!J180)</f>
        <v/>
      </c>
      <c r="E180" s="84" t="str">
        <f>IF(COMPRAS_HILO!C180="","","Compra "&amp;COMPRAS_HILO!C180)</f>
        <v/>
      </c>
      <c r="F180" s="95" t="str">
        <f>IF(COMPRAS_HILO!H180=0,"",COMPRAS_HILO!H180)</f>
        <v/>
      </c>
      <c r="G180" s="95" t="str">
        <f>IF(COMPRAS_HILO!O180=0,"",COMPRAS_HILO!O180)</f>
        <v/>
      </c>
      <c r="H180" s="95" t="str">
        <f>IF(COMPRAS_HILO!P180=0,"",COMPRAS_HILO!P180)</f>
        <v/>
      </c>
      <c r="I180" s="94" t="str">
        <f>IF(COMPRAS_HILO!M180="","",COMPRAS_HILO!M180)</f>
        <v/>
      </c>
    </row>
    <row r="181" ht="15.75" customHeight="1">
      <c r="A181" s="92" t="s">
        <v>221</v>
      </c>
      <c r="B181" s="93" t="str">
        <f>IF(COMPRAS_HILO!A181="","",COMPRAS_HILO!A181)</f>
        <v/>
      </c>
      <c r="C181" s="84" t="str">
        <f>IF(COMPRAS_HILO!I181="","",COMPRAS_HILO!I181)</f>
        <v/>
      </c>
      <c r="D181" s="94" t="str">
        <f>IF(COMPRAS_HILO!J181="","",COMPRAS_HILO!J181)</f>
        <v/>
      </c>
      <c r="E181" s="84" t="str">
        <f>IF(COMPRAS_HILO!C181="","","Compra "&amp;COMPRAS_HILO!C181)</f>
        <v/>
      </c>
      <c r="F181" s="95" t="str">
        <f>IF(COMPRAS_HILO!H181=0,"",COMPRAS_HILO!H181)</f>
        <v/>
      </c>
      <c r="G181" s="95" t="str">
        <f>IF(COMPRAS_HILO!O181=0,"",COMPRAS_HILO!O181)</f>
        <v/>
      </c>
      <c r="H181" s="95" t="str">
        <f>IF(COMPRAS_HILO!P181=0,"",COMPRAS_HILO!P181)</f>
        <v/>
      </c>
      <c r="I181" s="94" t="str">
        <f>IF(COMPRAS_HILO!M181="","",COMPRAS_HILO!M181)</f>
        <v/>
      </c>
    </row>
    <row r="182" ht="15.75" customHeight="1">
      <c r="A182" s="92" t="s">
        <v>221</v>
      </c>
      <c r="B182" s="93" t="str">
        <f>IF(COMPRAS_HILO!A182="","",COMPRAS_HILO!A182)</f>
        <v/>
      </c>
      <c r="C182" s="84" t="str">
        <f>IF(COMPRAS_HILO!I182="","",COMPRAS_HILO!I182)</f>
        <v/>
      </c>
      <c r="D182" s="94" t="str">
        <f>IF(COMPRAS_HILO!J182="","",COMPRAS_HILO!J182)</f>
        <v/>
      </c>
      <c r="E182" s="84" t="str">
        <f>IF(COMPRAS_HILO!C182="","","Compra "&amp;COMPRAS_HILO!C182)</f>
        <v/>
      </c>
      <c r="F182" s="95" t="str">
        <f>IF(COMPRAS_HILO!H182=0,"",COMPRAS_HILO!H182)</f>
        <v/>
      </c>
      <c r="G182" s="95" t="str">
        <f>IF(COMPRAS_HILO!O182=0,"",COMPRAS_HILO!O182)</f>
        <v/>
      </c>
      <c r="H182" s="95" t="str">
        <f>IF(COMPRAS_HILO!P182=0,"",COMPRAS_HILO!P182)</f>
        <v/>
      </c>
      <c r="I182" s="94" t="str">
        <f>IF(COMPRAS_HILO!M182="","",COMPRAS_HILO!M182)</f>
        <v/>
      </c>
    </row>
    <row r="183" ht="15.75" customHeight="1">
      <c r="A183" s="92" t="s">
        <v>221</v>
      </c>
      <c r="B183" s="93" t="str">
        <f>IF(COMPRAS_HILO!A183="","",COMPRAS_HILO!A183)</f>
        <v/>
      </c>
      <c r="C183" s="84" t="str">
        <f>IF(COMPRAS_HILO!I183="","",COMPRAS_HILO!I183)</f>
        <v/>
      </c>
      <c r="D183" s="94" t="str">
        <f>IF(COMPRAS_HILO!J183="","",COMPRAS_HILO!J183)</f>
        <v/>
      </c>
      <c r="E183" s="84" t="str">
        <f>IF(COMPRAS_HILO!C183="","","Compra "&amp;COMPRAS_HILO!C183)</f>
        <v/>
      </c>
      <c r="F183" s="95" t="str">
        <f>IF(COMPRAS_HILO!H183=0,"",COMPRAS_HILO!H183)</f>
        <v/>
      </c>
      <c r="G183" s="95" t="str">
        <f>IF(COMPRAS_HILO!O183=0,"",COMPRAS_HILO!O183)</f>
        <v/>
      </c>
      <c r="H183" s="95" t="str">
        <f>IF(COMPRAS_HILO!P183=0,"",COMPRAS_HILO!P183)</f>
        <v/>
      </c>
      <c r="I183" s="94" t="str">
        <f>IF(COMPRAS_HILO!M183="","",COMPRAS_HILO!M183)</f>
        <v/>
      </c>
    </row>
    <row r="184" ht="15.75" customHeight="1">
      <c r="A184" s="92" t="s">
        <v>221</v>
      </c>
      <c r="B184" s="93" t="str">
        <f>IF(COMPRAS_HILO!A184="","",COMPRAS_HILO!A184)</f>
        <v/>
      </c>
      <c r="C184" s="84" t="str">
        <f>IF(COMPRAS_HILO!I184="","",COMPRAS_HILO!I184)</f>
        <v/>
      </c>
      <c r="D184" s="94" t="str">
        <f>IF(COMPRAS_HILO!J184="","",COMPRAS_HILO!J184)</f>
        <v/>
      </c>
      <c r="E184" s="84" t="str">
        <f>IF(COMPRAS_HILO!C184="","","Compra "&amp;COMPRAS_HILO!C184)</f>
        <v/>
      </c>
      <c r="F184" s="95" t="str">
        <f>IF(COMPRAS_HILO!H184=0,"",COMPRAS_HILO!H184)</f>
        <v/>
      </c>
      <c r="G184" s="95" t="str">
        <f>IF(COMPRAS_HILO!O184=0,"",COMPRAS_HILO!O184)</f>
        <v/>
      </c>
      <c r="H184" s="95" t="str">
        <f>IF(COMPRAS_HILO!P184=0,"",COMPRAS_HILO!P184)</f>
        <v/>
      </c>
      <c r="I184" s="94" t="str">
        <f>IF(COMPRAS_HILO!M184="","",COMPRAS_HILO!M184)</f>
        <v/>
      </c>
    </row>
    <row r="185" ht="15.75" customHeight="1">
      <c r="A185" s="92" t="s">
        <v>221</v>
      </c>
      <c r="B185" s="93" t="str">
        <f>IF(COMPRAS_HILO!A185="","",COMPRAS_HILO!A185)</f>
        <v/>
      </c>
      <c r="C185" s="84" t="str">
        <f>IF(COMPRAS_HILO!I185="","",COMPRAS_HILO!I185)</f>
        <v/>
      </c>
      <c r="D185" s="94" t="str">
        <f>IF(COMPRAS_HILO!J185="","",COMPRAS_HILO!J185)</f>
        <v/>
      </c>
      <c r="E185" s="84" t="str">
        <f>IF(COMPRAS_HILO!C185="","","Compra "&amp;COMPRAS_HILO!C185)</f>
        <v/>
      </c>
      <c r="F185" s="95" t="str">
        <f>IF(COMPRAS_HILO!H185=0,"",COMPRAS_HILO!H185)</f>
        <v/>
      </c>
      <c r="G185" s="95" t="str">
        <f>IF(COMPRAS_HILO!O185=0,"",COMPRAS_HILO!O185)</f>
        <v/>
      </c>
      <c r="H185" s="95" t="str">
        <f>IF(COMPRAS_HILO!P185=0,"",COMPRAS_HILO!P185)</f>
        <v/>
      </c>
      <c r="I185" s="94" t="str">
        <f>IF(COMPRAS_HILO!M185="","",COMPRAS_HILO!M185)</f>
        <v/>
      </c>
    </row>
    <row r="186" ht="15.75" customHeight="1">
      <c r="A186" s="92" t="s">
        <v>221</v>
      </c>
      <c r="B186" s="93" t="str">
        <f>IF(COMPRAS_HILO!A186="","",COMPRAS_HILO!A186)</f>
        <v/>
      </c>
      <c r="C186" s="84" t="str">
        <f>IF(COMPRAS_HILO!I186="","",COMPRAS_HILO!I186)</f>
        <v/>
      </c>
      <c r="D186" s="94" t="str">
        <f>IF(COMPRAS_HILO!J186="","",COMPRAS_HILO!J186)</f>
        <v/>
      </c>
      <c r="E186" s="84" t="str">
        <f>IF(COMPRAS_HILO!C186="","","Compra "&amp;COMPRAS_HILO!C186)</f>
        <v/>
      </c>
      <c r="F186" s="95" t="str">
        <f>IF(COMPRAS_HILO!H186=0,"",COMPRAS_HILO!H186)</f>
        <v/>
      </c>
      <c r="G186" s="95" t="str">
        <f>IF(COMPRAS_HILO!O186=0,"",COMPRAS_HILO!O186)</f>
        <v/>
      </c>
      <c r="H186" s="95" t="str">
        <f>IF(COMPRAS_HILO!P186=0,"",COMPRAS_HILO!P186)</f>
        <v/>
      </c>
      <c r="I186" s="94" t="str">
        <f>IF(COMPRAS_HILO!M186="","",COMPRAS_HILO!M186)</f>
        <v/>
      </c>
    </row>
    <row r="187" ht="15.75" customHeight="1">
      <c r="A187" s="92" t="s">
        <v>221</v>
      </c>
      <c r="B187" s="93" t="str">
        <f>IF(COMPRAS_HILO!A187="","",COMPRAS_HILO!A187)</f>
        <v/>
      </c>
      <c r="C187" s="84" t="str">
        <f>IF(COMPRAS_HILO!I187="","",COMPRAS_HILO!I187)</f>
        <v/>
      </c>
      <c r="D187" s="94" t="str">
        <f>IF(COMPRAS_HILO!J187="","",COMPRAS_HILO!J187)</f>
        <v/>
      </c>
      <c r="E187" s="84" t="str">
        <f>IF(COMPRAS_HILO!C187="","","Compra "&amp;COMPRAS_HILO!C187)</f>
        <v/>
      </c>
      <c r="F187" s="95" t="str">
        <f>IF(COMPRAS_HILO!H187=0,"",COMPRAS_HILO!H187)</f>
        <v/>
      </c>
      <c r="G187" s="95" t="str">
        <f>IF(COMPRAS_HILO!O187=0,"",COMPRAS_HILO!O187)</f>
        <v/>
      </c>
      <c r="H187" s="95" t="str">
        <f>IF(COMPRAS_HILO!P187=0,"",COMPRAS_HILO!P187)</f>
        <v/>
      </c>
      <c r="I187" s="94" t="str">
        <f>IF(COMPRAS_HILO!M187="","",COMPRAS_HILO!M187)</f>
        <v/>
      </c>
    </row>
    <row r="188" ht="15.75" customHeight="1">
      <c r="A188" s="92" t="s">
        <v>221</v>
      </c>
      <c r="B188" s="93" t="str">
        <f>IF(COMPRAS_HILO!A188="","",COMPRAS_HILO!A188)</f>
        <v/>
      </c>
      <c r="C188" s="84" t="str">
        <f>IF(COMPRAS_HILO!I188="","",COMPRAS_HILO!I188)</f>
        <v/>
      </c>
      <c r="D188" s="94" t="str">
        <f>IF(COMPRAS_HILO!J188="","",COMPRAS_HILO!J188)</f>
        <v/>
      </c>
      <c r="E188" s="84" t="str">
        <f>IF(COMPRAS_HILO!C188="","","Compra "&amp;COMPRAS_HILO!C188)</f>
        <v/>
      </c>
      <c r="F188" s="95" t="str">
        <f>IF(COMPRAS_HILO!H188=0,"",COMPRAS_HILO!H188)</f>
        <v/>
      </c>
      <c r="G188" s="95" t="str">
        <f>IF(COMPRAS_HILO!O188=0,"",COMPRAS_HILO!O188)</f>
        <v/>
      </c>
      <c r="H188" s="95" t="str">
        <f>IF(COMPRAS_HILO!P188=0,"",COMPRAS_HILO!P188)</f>
        <v/>
      </c>
      <c r="I188" s="94" t="str">
        <f>IF(COMPRAS_HILO!M188="","",COMPRAS_HILO!M188)</f>
        <v/>
      </c>
    </row>
    <row r="189" ht="15.75" customHeight="1">
      <c r="A189" s="92" t="s">
        <v>221</v>
      </c>
      <c r="B189" s="93" t="str">
        <f>IF(COMPRAS_HILO!A189="","",COMPRAS_HILO!A189)</f>
        <v/>
      </c>
      <c r="C189" s="84" t="str">
        <f>IF(COMPRAS_HILO!I189="","",COMPRAS_HILO!I189)</f>
        <v/>
      </c>
      <c r="D189" s="94" t="str">
        <f>IF(COMPRAS_HILO!J189="","",COMPRAS_HILO!J189)</f>
        <v/>
      </c>
      <c r="E189" s="84" t="str">
        <f>IF(COMPRAS_HILO!C189="","","Compra "&amp;COMPRAS_HILO!C189)</f>
        <v/>
      </c>
      <c r="F189" s="95" t="str">
        <f>IF(COMPRAS_HILO!H189=0,"",COMPRAS_HILO!H189)</f>
        <v/>
      </c>
      <c r="G189" s="95" t="str">
        <f>IF(COMPRAS_HILO!O189=0,"",COMPRAS_HILO!O189)</f>
        <v/>
      </c>
      <c r="H189" s="95" t="str">
        <f>IF(COMPRAS_HILO!P189=0,"",COMPRAS_HILO!P189)</f>
        <v/>
      </c>
      <c r="I189" s="94" t="str">
        <f>IF(COMPRAS_HILO!M189="","",COMPRAS_HILO!M189)</f>
        <v/>
      </c>
    </row>
    <row r="190" ht="15.75" customHeight="1">
      <c r="A190" s="92" t="s">
        <v>221</v>
      </c>
      <c r="B190" s="93" t="str">
        <f>IF(COMPRAS_HILO!A190="","",COMPRAS_HILO!A190)</f>
        <v/>
      </c>
      <c r="C190" s="84" t="str">
        <f>IF(COMPRAS_HILO!I190="","",COMPRAS_HILO!I190)</f>
        <v/>
      </c>
      <c r="D190" s="94" t="str">
        <f>IF(COMPRAS_HILO!J190="","",COMPRAS_HILO!J190)</f>
        <v/>
      </c>
      <c r="E190" s="84" t="str">
        <f>IF(COMPRAS_HILO!C190="","","Compra "&amp;COMPRAS_HILO!C190)</f>
        <v/>
      </c>
      <c r="F190" s="95" t="str">
        <f>IF(COMPRAS_HILO!H190=0,"",COMPRAS_HILO!H190)</f>
        <v/>
      </c>
      <c r="G190" s="95" t="str">
        <f>IF(COMPRAS_HILO!O190=0,"",COMPRAS_HILO!O190)</f>
        <v/>
      </c>
      <c r="H190" s="95" t="str">
        <f>IF(COMPRAS_HILO!P190=0,"",COMPRAS_HILO!P190)</f>
        <v/>
      </c>
      <c r="I190" s="94" t="str">
        <f>IF(COMPRAS_HILO!M190="","",COMPRAS_HILO!M190)</f>
        <v/>
      </c>
    </row>
    <row r="191" ht="15.75" customHeight="1">
      <c r="A191" s="92" t="s">
        <v>221</v>
      </c>
      <c r="B191" s="93" t="str">
        <f>IF(COMPRAS_HILO!A191="","",COMPRAS_HILO!A191)</f>
        <v/>
      </c>
      <c r="C191" s="84" t="str">
        <f>IF(COMPRAS_HILO!I191="","",COMPRAS_HILO!I191)</f>
        <v/>
      </c>
      <c r="D191" s="94" t="str">
        <f>IF(COMPRAS_HILO!J191="","",COMPRAS_HILO!J191)</f>
        <v/>
      </c>
      <c r="E191" s="84" t="str">
        <f>IF(COMPRAS_HILO!C191="","","Compra "&amp;COMPRAS_HILO!C191)</f>
        <v/>
      </c>
      <c r="F191" s="95" t="str">
        <f>IF(COMPRAS_HILO!H191=0,"",COMPRAS_HILO!H191)</f>
        <v/>
      </c>
      <c r="G191" s="95" t="str">
        <f>IF(COMPRAS_HILO!O191=0,"",COMPRAS_HILO!O191)</f>
        <v/>
      </c>
      <c r="H191" s="95" t="str">
        <f>IF(COMPRAS_HILO!P191=0,"",COMPRAS_HILO!P191)</f>
        <v/>
      </c>
      <c r="I191" s="94" t="str">
        <f>IF(COMPRAS_HILO!M191="","",COMPRAS_HILO!M191)</f>
        <v/>
      </c>
    </row>
    <row r="192" ht="15.75" customHeight="1">
      <c r="A192" s="92" t="s">
        <v>221</v>
      </c>
      <c r="B192" s="93" t="str">
        <f>IF(COMPRAS_HILO!A192="","",COMPRAS_HILO!A192)</f>
        <v/>
      </c>
      <c r="C192" s="84" t="str">
        <f>IF(COMPRAS_HILO!I192="","",COMPRAS_HILO!I192)</f>
        <v/>
      </c>
      <c r="D192" s="94" t="str">
        <f>IF(COMPRAS_HILO!J192="","",COMPRAS_HILO!J192)</f>
        <v/>
      </c>
      <c r="E192" s="84" t="str">
        <f>IF(COMPRAS_HILO!C192="","","Compra "&amp;COMPRAS_HILO!C192)</f>
        <v/>
      </c>
      <c r="F192" s="95" t="str">
        <f>IF(COMPRAS_HILO!H192=0,"",COMPRAS_HILO!H192)</f>
        <v/>
      </c>
      <c r="G192" s="95" t="str">
        <f>IF(COMPRAS_HILO!O192=0,"",COMPRAS_HILO!O192)</f>
        <v/>
      </c>
      <c r="H192" s="95" t="str">
        <f>IF(COMPRAS_HILO!P192=0,"",COMPRAS_HILO!P192)</f>
        <v/>
      </c>
      <c r="I192" s="94" t="str">
        <f>IF(COMPRAS_HILO!M192="","",COMPRAS_HILO!M192)</f>
        <v/>
      </c>
    </row>
    <row r="193" ht="15.75" customHeight="1">
      <c r="A193" s="92" t="s">
        <v>221</v>
      </c>
      <c r="B193" s="93" t="str">
        <f>IF(COMPRAS_HILO!A193="","",COMPRAS_HILO!A193)</f>
        <v/>
      </c>
      <c r="C193" s="84" t="str">
        <f>IF(COMPRAS_HILO!I193="","",COMPRAS_HILO!I193)</f>
        <v/>
      </c>
      <c r="D193" s="94" t="str">
        <f>IF(COMPRAS_HILO!J193="","",COMPRAS_HILO!J193)</f>
        <v/>
      </c>
      <c r="E193" s="84" t="str">
        <f>IF(COMPRAS_HILO!C193="","","Compra "&amp;COMPRAS_HILO!C193)</f>
        <v/>
      </c>
      <c r="F193" s="95" t="str">
        <f>IF(COMPRAS_HILO!H193=0,"",COMPRAS_HILO!H193)</f>
        <v/>
      </c>
      <c r="G193" s="95" t="str">
        <f>IF(COMPRAS_HILO!O193=0,"",COMPRAS_HILO!O193)</f>
        <v/>
      </c>
      <c r="H193" s="95" t="str">
        <f>IF(COMPRAS_HILO!P193=0,"",COMPRAS_HILO!P193)</f>
        <v/>
      </c>
      <c r="I193" s="94" t="str">
        <f>IF(COMPRAS_HILO!M193="","",COMPRAS_HILO!M193)</f>
        <v/>
      </c>
    </row>
    <row r="194" ht="15.75" customHeight="1">
      <c r="A194" s="92" t="s">
        <v>221</v>
      </c>
      <c r="B194" s="93" t="str">
        <f>IF(COMPRAS_HILO!A194="","",COMPRAS_HILO!A194)</f>
        <v/>
      </c>
      <c r="C194" s="84" t="str">
        <f>IF(COMPRAS_HILO!I194="","",COMPRAS_HILO!I194)</f>
        <v/>
      </c>
      <c r="D194" s="94" t="str">
        <f>IF(COMPRAS_HILO!J194="","",COMPRAS_HILO!J194)</f>
        <v/>
      </c>
      <c r="E194" s="84" t="str">
        <f>IF(COMPRAS_HILO!C194="","","Compra "&amp;COMPRAS_HILO!C194)</f>
        <v/>
      </c>
      <c r="F194" s="95" t="str">
        <f>IF(COMPRAS_HILO!H194=0,"",COMPRAS_HILO!H194)</f>
        <v/>
      </c>
      <c r="G194" s="95" t="str">
        <f>IF(COMPRAS_HILO!O194=0,"",COMPRAS_HILO!O194)</f>
        <v/>
      </c>
      <c r="H194" s="95" t="str">
        <f>IF(COMPRAS_HILO!P194=0,"",COMPRAS_HILO!P194)</f>
        <v/>
      </c>
      <c r="I194" s="94" t="str">
        <f>IF(COMPRAS_HILO!M194="","",COMPRAS_HILO!M194)</f>
        <v/>
      </c>
    </row>
    <row r="195" ht="15.75" customHeight="1">
      <c r="A195" s="92" t="s">
        <v>221</v>
      </c>
      <c r="B195" s="93" t="str">
        <f>IF(COMPRAS_HILO!A195="","",COMPRAS_HILO!A195)</f>
        <v/>
      </c>
      <c r="C195" s="84" t="str">
        <f>IF(COMPRAS_HILO!I195="","",COMPRAS_HILO!I195)</f>
        <v/>
      </c>
      <c r="D195" s="94" t="str">
        <f>IF(COMPRAS_HILO!J195="","",COMPRAS_HILO!J195)</f>
        <v/>
      </c>
      <c r="E195" s="84" t="str">
        <f>IF(COMPRAS_HILO!C195="","","Compra "&amp;COMPRAS_HILO!C195)</f>
        <v/>
      </c>
      <c r="F195" s="95" t="str">
        <f>IF(COMPRAS_HILO!H195=0,"",COMPRAS_HILO!H195)</f>
        <v/>
      </c>
      <c r="G195" s="95" t="str">
        <f>IF(COMPRAS_HILO!O195=0,"",COMPRAS_HILO!O195)</f>
        <v/>
      </c>
      <c r="H195" s="95" t="str">
        <f>IF(COMPRAS_HILO!P195=0,"",COMPRAS_HILO!P195)</f>
        <v/>
      </c>
      <c r="I195" s="94" t="str">
        <f>IF(COMPRAS_HILO!M195="","",COMPRAS_HILO!M195)</f>
        <v/>
      </c>
    </row>
    <row r="196" ht="15.75" customHeight="1">
      <c r="A196" s="92" t="s">
        <v>221</v>
      </c>
      <c r="B196" s="93" t="str">
        <f>IF(COMPRAS_HILO!A196="","",COMPRAS_HILO!A196)</f>
        <v/>
      </c>
      <c r="C196" s="84" t="str">
        <f>IF(COMPRAS_HILO!I196="","",COMPRAS_HILO!I196)</f>
        <v/>
      </c>
      <c r="D196" s="94" t="str">
        <f>IF(COMPRAS_HILO!J196="","",COMPRAS_HILO!J196)</f>
        <v/>
      </c>
      <c r="E196" s="84" t="str">
        <f>IF(COMPRAS_HILO!C196="","","Compra "&amp;COMPRAS_HILO!C196)</f>
        <v/>
      </c>
      <c r="F196" s="95" t="str">
        <f>IF(COMPRAS_HILO!H196=0,"",COMPRAS_HILO!H196)</f>
        <v/>
      </c>
      <c r="G196" s="95" t="str">
        <f>IF(COMPRAS_HILO!O196=0,"",COMPRAS_HILO!O196)</f>
        <v/>
      </c>
      <c r="H196" s="95" t="str">
        <f>IF(COMPRAS_HILO!P196=0,"",COMPRAS_HILO!P196)</f>
        <v/>
      </c>
      <c r="I196" s="94" t="str">
        <f>IF(COMPRAS_HILO!M196="","",COMPRAS_HILO!M196)</f>
        <v/>
      </c>
    </row>
    <row r="197" ht="15.75" customHeight="1">
      <c r="A197" s="92" t="s">
        <v>221</v>
      </c>
      <c r="B197" s="93" t="str">
        <f>IF(COMPRAS_HILO!A197="","",COMPRAS_HILO!A197)</f>
        <v/>
      </c>
      <c r="C197" s="84" t="str">
        <f>IF(COMPRAS_HILO!I197="","",COMPRAS_HILO!I197)</f>
        <v/>
      </c>
      <c r="D197" s="94" t="str">
        <f>IF(COMPRAS_HILO!J197="","",COMPRAS_HILO!J197)</f>
        <v/>
      </c>
      <c r="E197" s="84" t="str">
        <f>IF(COMPRAS_HILO!C197="","","Compra "&amp;COMPRAS_HILO!C197)</f>
        <v/>
      </c>
      <c r="F197" s="95" t="str">
        <f>IF(COMPRAS_HILO!H197=0,"",COMPRAS_HILO!H197)</f>
        <v/>
      </c>
      <c r="G197" s="95" t="str">
        <f>IF(COMPRAS_HILO!O197=0,"",COMPRAS_HILO!O197)</f>
        <v/>
      </c>
      <c r="H197" s="95" t="str">
        <f>IF(COMPRAS_HILO!P197=0,"",COMPRAS_HILO!P197)</f>
        <v/>
      </c>
      <c r="I197" s="94" t="str">
        <f>IF(COMPRAS_HILO!M197="","",COMPRAS_HILO!M197)</f>
        <v/>
      </c>
    </row>
    <row r="198" ht="15.75" customHeight="1">
      <c r="A198" s="92" t="s">
        <v>221</v>
      </c>
      <c r="B198" s="93" t="str">
        <f>IF(COMPRAS_HILO!A198="","",COMPRAS_HILO!A198)</f>
        <v/>
      </c>
      <c r="C198" s="84" t="str">
        <f>IF(COMPRAS_HILO!I198="","",COMPRAS_HILO!I198)</f>
        <v/>
      </c>
      <c r="D198" s="94" t="str">
        <f>IF(COMPRAS_HILO!J198="","",COMPRAS_HILO!J198)</f>
        <v/>
      </c>
      <c r="E198" s="84" t="str">
        <f>IF(COMPRAS_HILO!C198="","","Compra "&amp;COMPRAS_HILO!C198)</f>
        <v/>
      </c>
      <c r="F198" s="95" t="str">
        <f>IF(COMPRAS_HILO!H198=0,"",COMPRAS_HILO!H198)</f>
        <v/>
      </c>
      <c r="G198" s="95" t="str">
        <f>IF(COMPRAS_HILO!O198=0,"",COMPRAS_HILO!O198)</f>
        <v/>
      </c>
      <c r="H198" s="95" t="str">
        <f>IF(COMPRAS_HILO!P198=0,"",COMPRAS_HILO!P198)</f>
        <v/>
      </c>
      <c r="I198" s="94" t="str">
        <f>IF(COMPRAS_HILO!M198="","",COMPRAS_HILO!M198)</f>
        <v/>
      </c>
    </row>
    <row r="199" ht="15.75" customHeight="1">
      <c r="A199" s="92" t="s">
        <v>221</v>
      </c>
      <c r="B199" s="93" t="str">
        <f>IF(COMPRAS_HILO!A199="","",COMPRAS_HILO!A199)</f>
        <v/>
      </c>
      <c r="C199" s="84" t="str">
        <f>IF(COMPRAS_HILO!I199="","",COMPRAS_HILO!I199)</f>
        <v/>
      </c>
      <c r="D199" s="94" t="str">
        <f>IF(COMPRAS_HILO!J199="","",COMPRAS_HILO!J199)</f>
        <v/>
      </c>
      <c r="E199" s="84" t="str">
        <f>IF(COMPRAS_HILO!C199="","","Compra "&amp;COMPRAS_HILO!C199)</f>
        <v/>
      </c>
      <c r="F199" s="95" t="str">
        <f>IF(COMPRAS_HILO!H199=0,"",COMPRAS_HILO!H199)</f>
        <v/>
      </c>
      <c r="G199" s="95" t="str">
        <f>IF(COMPRAS_HILO!O199=0,"",COMPRAS_HILO!O199)</f>
        <v/>
      </c>
      <c r="H199" s="95" t="str">
        <f>IF(COMPRAS_HILO!P199=0,"",COMPRAS_HILO!P199)</f>
        <v/>
      </c>
      <c r="I199" s="94" t="str">
        <f>IF(COMPRAS_HILO!M199="","",COMPRAS_HILO!M199)</f>
        <v/>
      </c>
    </row>
    <row r="200" ht="15.75" customHeight="1">
      <c r="A200" s="92" t="s">
        <v>221</v>
      </c>
      <c r="B200" s="93" t="str">
        <f>IF(COMPRAS_HILO!A200="","",COMPRAS_HILO!A200)</f>
        <v/>
      </c>
      <c r="C200" s="84" t="str">
        <f>IF(COMPRAS_HILO!I200="","",COMPRAS_HILO!I200)</f>
        <v/>
      </c>
      <c r="D200" s="94" t="str">
        <f>IF(COMPRAS_HILO!J200="","",COMPRAS_HILO!J200)</f>
        <v/>
      </c>
      <c r="E200" s="84" t="str">
        <f>IF(COMPRAS_HILO!C200="","","Compra "&amp;COMPRAS_HILO!C200)</f>
        <v/>
      </c>
      <c r="F200" s="95" t="str">
        <f>IF(COMPRAS_HILO!H200=0,"",COMPRAS_HILO!H200)</f>
        <v/>
      </c>
      <c r="G200" s="95" t="str">
        <f>IF(COMPRAS_HILO!O200=0,"",COMPRAS_HILO!O200)</f>
        <v/>
      </c>
      <c r="H200" s="95" t="str">
        <f>IF(COMPRAS_HILO!P200=0,"",COMPRAS_HILO!P200)</f>
        <v/>
      </c>
      <c r="I200" s="94" t="str">
        <f>IF(COMPRAS_HILO!M200="","",COMPRAS_HILO!M200)</f>
        <v/>
      </c>
    </row>
    <row r="201" ht="15.75" customHeight="1">
      <c r="A201" s="92" t="s">
        <v>221</v>
      </c>
      <c r="B201" s="93" t="str">
        <f>IF(COMPRAS_HILO!A201="","",COMPRAS_HILO!A201)</f>
        <v/>
      </c>
      <c r="C201" s="84" t="str">
        <f>IF(COMPRAS_HILO!I201="","",COMPRAS_HILO!I201)</f>
        <v/>
      </c>
      <c r="D201" s="94" t="str">
        <f>IF(COMPRAS_HILO!J201="","",COMPRAS_HILO!J201)</f>
        <v/>
      </c>
      <c r="E201" s="84" t="str">
        <f>IF(COMPRAS_HILO!C201="","","Compra "&amp;COMPRAS_HILO!C201)</f>
        <v/>
      </c>
      <c r="F201" s="95" t="str">
        <f>IF(COMPRAS_HILO!H201=0,"",COMPRAS_HILO!H201)</f>
        <v/>
      </c>
      <c r="G201" s="95" t="str">
        <f>IF(COMPRAS_HILO!O201=0,"",COMPRAS_HILO!O201)</f>
        <v/>
      </c>
      <c r="H201" s="95" t="str">
        <f>IF(COMPRAS_HILO!P201=0,"",COMPRAS_HILO!P201)</f>
        <v/>
      </c>
      <c r="I201" s="94" t="str">
        <f>IF(COMPRAS_HILO!M201="","",COMPRAS_HILO!M201)</f>
        <v/>
      </c>
    </row>
    <row r="202" ht="15.75" customHeight="1">
      <c r="A202" s="92" t="s">
        <v>221</v>
      </c>
      <c r="B202" s="93" t="str">
        <f>IF(COMPRAS_HILO!A202="","",COMPRAS_HILO!A202)</f>
        <v/>
      </c>
      <c r="C202" s="84" t="str">
        <f>IF(COMPRAS_HILO!I202="","",COMPRAS_HILO!I202)</f>
        <v/>
      </c>
      <c r="D202" s="94" t="str">
        <f>IF(COMPRAS_HILO!J202="","",COMPRAS_HILO!J202)</f>
        <v/>
      </c>
      <c r="E202" s="84" t="str">
        <f>IF(COMPRAS_HILO!C202="","","Compra "&amp;COMPRAS_HILO!C202)</f>
        <v/>
      </c>
      <c r="F202" s="95" t="str">
        <f>IF(COMPRAS_HILO!H202=0,"",COMPRAS_HILO!H202)</f>
        <v/>
      </c>
      <c r="G202" s="95" t="str">
        <f>IF(COMPRAS_HILO!O202=0,"",COMPRAS_HILO!O202)</f>
        <v/>
      </c>
      <c r="H202" s="95" t="str">
        <f>IF(COMPRAS_HILO!P202=0,"",COMPRAS_HILO!P202)</f>
        <v/>
      </c>
      <c r="I202" s="94" t="str">
        <f>IF(COMPRAS_HILO!M202="","",COMPRAS_HILO!M202)</f>
        <v/>
      </c>
    </row>
    <row r="203" ht="15.75" customHeight="1">
      <c r="A203" s="92" t="s">
        <v>221</v>
      </c>
      <c r="B203" s="93" t="str">
        <f>IF(COMPRAS_HILO!A203="","",COMPRAS_HILO!A203)</f>
        <v/>
      </c>
      <c r="C203" s="84" t="str">
        <f>IF(COMPRAS_HILO!I203="","",COMPRAS_HILO!I203)</f>
        <v/>
      </c>
      <c r="D203" s="94" t="str">
        <f>IF(COMPRAS_HILO!J203="","",COMPRAS_HILO!J203)</f>
        <v/>
      </c>
      <c r="E203" s="84" t="str">
        <f>IF(COMPRAS_HILO!C203="","","Compra "&amp;COMPRAS_HILO!C203)</f>
        <v/>
      </c>
      <c r="F203" s="95" t="str">
        <f>IF(COMPRAS_HILO!H203=0,"",COMPRAS_HILO!H203)</f>
        <v/>
      </c>
      <c r="G203" s="95" t="str">
        <f>IF(COMPRAS_HILO!O203=0,"",COMPRAS_HILO!O203)</f>
        <v/>
      </c>
      <c r="H203" s="95" t="str">
        <f>IF(COMPRAS_HILO!P203=0,"",COMPRAS_HILO!P203)</f>
        <v/>
      </c>
      <c r="I203" s="94" t="str">
        <f>IF(COMPRAS_HILO!M203="","",COMPRAS_HILO!M203)</f>
        <v/>
      </c>
    </row>
    <row r="204" ht="15.75" customHeight="1">
      <c r="A204" s="87" t="s">
        <v>229</v>
      </c>
      <c r="B204" s="93">
        <f>IFERROR(VLOOKUP(PROGRAMA_DETALLE!A4,PROGRAMAS!$A$4:$B$103,2,FALSE()),"")</f>
        <v>46113</v>
      </c>
      <c r="C204" s="84" t="str">
        <f>IF(PROGRAMA_DETALLE!A4="","","Tejedora")</f>
        <v>Tejedora</v>
      </c>
      <c r="D204" s="94" t="str">
        <f>IF(PROGRAMA_DETALLE!N4="","",PROGRAMA_DETALLE!N4)</f>
        <v>TEJ-001</v>
      </c>
      <c r="E204" s="84" t="str">
        <f>IF(PROGRAMA_DETALLE!A4="","","Tejido "&amp;PROGRAMA_DETALLE!A4&amp;" "&amp;PROGRAMA_DETALLE!B4)</f>
        <v>Tejido PIQUE-001 Negro</v>
      </c>
      <c r="F204" s="95">
        <f>IF(PROGRAMA_DETALLE!M4=0,"",PROGRAMA_DETALLE!M4)</f>
        <v>710</v>
      </c>
      <c r="G204" s="95">
        <f>IF(PROGRAMA_DETALLE!P4="PAGADO",PROGRAMA_DETALLE!M4,0)</f>
        <v>710</v>
      </c>
      <c r="H204" s="95">
        <f>IF(OR(PROGRAMA_DETALLE!P4="PENDIENTE",PROGRAMA_DETALLE!P4="PARCIAL"),PROGRAMA_DETALLE!M4,0)</f>
        <v>0</v>
      </c>
      <c r="I204" s="94" t="str">
        <f>IF(PROGRAMA_DETALLE!P4="","",PROGRAMA_DETALLE!P4)</f>
        <v>PAGADO</v>
      </c>
    </row>
    <row r="205" ht="15.75" customHeight="1">
      <c r="A205" s="87" t="s">
        <v>229</v>
      </c>
      <c r="B205" s="93">
        <f>IFERROR(VLOOKUP(PROGRAMA_DETALLE!A5,PROGRAMAS!$A$4:$B$103,2,FALSE()),"")</f>
        <v>46113</v>
      </c>
      <c r="C205" s="84" t="str">
        <f>IF(PROGRAMA_DETALLE!A5="","","Tejedora")</f>
        <v>Tejedora</v>
      </c>
      <c r="D205" s="94" t="str">
        <f>IF(PROGRAMA_DETALLE!N5="","",PROGRAMA_DETALLE!N5)</f>
        <v>TEJ-002</v>
      </c>
      <c r="E205" s="84" t="str">
        <f>IF(PROGRAMA_DETALLE!A5="","","Tejido "&amp;PROGRAMA_DETALLE!A5&amp;" "&amp;PROGRAMA_DETALLE!B5)</f>
        <v>Tejido PIQUE-001 Perla</v>
      </c>
      <c r="F205" s="95">
        <f>IF(PROGRAMA_DETALLE!M5=0,"",PROGRAMA_DETALLE!M5)</f>
        <v>355</v>
      </c>
      <c r="G205" s="95">
        <f>IF(PROGRAMA_DETALLE!P5="PAGADO",PROGRAMA_DETALLE!M5,0)</f>
        <v>355</v>
      </c>
      <c r="H205" s="95">
        <f>IF(OR(PROGRAMA_DETALLE!P5="PENDIENTE",PROGRAMA_DETALLE!P5="PARCIAL"),PROGRAMA_DETALLE!M5,0)</f>
        <v>0</v>
      </c>
      <c r="I205" s="94" t="str">
        <f>IF(PROGRAMA_DETALLE!P5="","",PROGRAMA_DETALLE!P5)</f>
        <v>PAGADO</v>
      </c>
    </row>
    <row r="206" ht="15.75" customHeight="1">
      <c r="A206" s="87" t="s">
        <v>229</v>
      </c>
      <c r="B206" s="93">
        <f>IFERROR(VLOOKUP(PROGRAMA_DETALLE!A6,PROGRAMAS!$A$4:$B$103,2,FALSE()),"")</f>
        <v>46113</v>
      </c>
      <c r="C206" s="84" t="str">
        <f>IF(PROGRAMA_DETALLE!A6="","","Tejedora")</f>
        <v>Tejedora</v>
      </c>
      <c r="D206" s="94" t="str">
        <f>IF(PROGRAMA_DETALLE!N6="","",PROGRAMA_DETALLE!N6)</f>
        <v>TEJ-003</v>
      </c>
      <c r="E206" s="84" t="str">
        <f>IF(PROGRAMA_DETALLE!A6="","","Tejido "&amp;PROGRAMA_DETALLE!A6&amp;" "&amp;PROGRAMA_DETALLE!B6)</f>
        <v>Tejido PIQUE-001 Beige</v>
      </c>
      <c r="F206" s="95">
        <f>IF(PROGRAMA_DETALLE!M6=0,"",PROGRAMA_DETALLE!M6)</f>
        <v>355</v>
      </c>
      <c r="G206" s="95">
        <f>IF(PROGRAMA_DETALLE!P6="PAGADO",PROGRAMA_DETALLE!M6,0)</f>
        <v>355</v>
      </c>
      <c r="H206" s="95">
        <f>IF(OR(PROGRAMA_DETALLE!P6="PENDIENTE",PROGRAMA_DETALLE!P6="PARCIAL"),PROGRAMA_DETALLE!M6,0)</f>
        <v>0</v>
      </c>
      <c r="I206" s="94" t="str">
        <f>IF(PROGRAMA_DETALLE!P6="","",PROGRAMA_DETALLE!P6)</f>
        <v>PAGADO</v>
      </c>
    </row>
    <row r="207" ht="15.75" customHeight="1">
      <c r="A207" s="87" t="s">
        <v>229</v>
      </c>
      <c r="B207" s="93">
        <f>IFERROR(VLOOKUP(PROGRAMA_DETALLE!A7,PROGRAMAS!$A$4:$B$103,2,FALSE()),"")</f>
        <v>46113</v>
      </c>
      <c r="C207" s="84" t="str">
        <f>IF(PROGRAMA_DETALLE!A7="","","Tejedora")</f>
        <v>Tejedora</v>
      </c>
      <c r="D207" s="94" t="str">
        <f>IF(PROGRAMA_DETALLE!N7="","",PROGRAMA_DETALLE!N7)</f>
        <v>TEJ-004</v>
      </c>
      <c r="E207" s="84" t="str">
        <f>IF(PROGRAMA_DETALLE!A7="","","Tejido "&amp;PROGRAMA_DETALLE!A7&amp;" "&amp;PROGRAMA_DETALLE!B7)</f>
        <v>Tejido PIQUE-001 Melange</v>
      </c>
      <c r="F207" s="95">
        <f>IF(PROGRAMA_DETALLE!M7=0,"",PROGRAMA_DETALLE!M7)</f>
        <v>355</v>
      </c>
      <c r="G207" s="95">
        <f>IF(PROGRAMA_DETALLE!P7="PAGADO",PROGRAMA_DETALLE!M7,0)</f>
        <v>355</v>
      </c>
      <c r="H207" s="95">
        <f>IF(OR(PROGRAMA_DETALLE!P7="PENDIENTE",PROGRAMA_DETALLE!P7="PARCIAL"),PROGRAMA_DETALLE!M7,0)</f>
        <v>0</v>
      </c>
      <c r="I207" s="94" t="str">
        <f>IF(PROGRAMA_DETALLE!P7="","",PROGRAMA_DETALLE!P7)</f>
        <v>PAGADO</v>
      </c>
    </row>
    <row r="208" ht="15.75" customHeight="1">
      <c r="A208" s="87" t="s">
        <v>229</v>
      </c>
      <c r="B208" s="93" t="str">
        <f>IFERROR(VLOOKUP(PROGRAMA_DETALLE!A8,PROGRAMAS!$A$4:$B$103,2,FALSE()),"")</f>
        <v/>
      </c>
      <c r="C208" s="84" t="str">
        <f>IF(PROGRAMA_DETALLE!A8="","","Tejedora")</f>
        <v/>
      </c>
      <c r="D208" s="94" t="str">
        <f>IF(PROGRAMA_DETALLE!N8="","",PROGRAMA_DETALLE!N8)</f>
        <v/>
      </c>
      <c r="E208" s="84" t="str">
        <f>IF(PROGRAMA_DETALLE!A8="","","Tejido "&amp;PROGRAMA_DETALLE!A8&amp;" "&amp;PROGRAMA_DETALLE!B8)</f>
        <v/>
      </c>
      <c r="F208" s="95" t="str">
        <f>IF(PROGRAMA_DETALLE!M8=0,"",PROGRAMA_DETALLE!M8)</f>
        <v/>
      </c>
      <c r="G208" s="95">
        <f>IF(PROGRAMA_DETALLE!P8="PAGADO",PROGRAMA_DETALLE!M8,0)</f>
        <v>0</v>
      </c>
      <c r="H208" s="95">
        <f>IF(OR(PROGRAMA_DETALLE!P8="PENDIENTE",PROGRAMA_DETALLE!P8="PARCIAL"),PROGRAMA_DETALLE!M8,0)</f>
        <v>0</v>
      </c>
      <c r="I208" s="94" t="str">
        <f>IF(PROGRAMA_DETALLE!P8="","",PROGRAMA_DETALLE!P8)</f>
        <v/>
      </c>
    </row>
    <row r="209" ht="15.75" customHeight="1">
      <c r="A209" s="87" t="s">
        <v>229</v>
      </c>
      <c r="B209" s="93" t="str">
        <f>IFERROR(VLOOKUP(PROGRAMA_DETALLE!A9,PROGRAMAS!$A$4:$B$103,2,FALSE()),"")</f>
        <v/>
      </c>
      <c r="C209" s="84" t="str">
        <f>IF(PROGRAMA_DETALLE!A9="","","Tejedora")</f>
        <v/>
      </c>
      <c r="D209" s="94" t="str">
        <f>IF(PROGRAMA_DETALLE!N9="","",PROGRAMA_DETALLE!N9)</f>
        <v/>
      </c>
      <c r="E209" s="84" t="str">
        <f>IF(PROGRAMA_DETALLE!A9="","","Tejido "&amp;PROGRAMA_DETALLE!A9&amp;" "&amp;PROGRAMA_DETALLE!B9)</f>
        <v/>
      </c>
      <c r="F209" s="95" t="str">
        <f>IF(PROGRAMA_DETALLE!M9=0,"",PROGRAMA_DETALLE!M9)</f>
        <v/>
      </c>
      <c r="G209" s="95">
        <f>IF(PROGRAMA_DETALLE!P9="PAGADO",PROGRAMA_DETALLE!M9,0)</f>
        <v>0</v>
      </c>
      <c r="H209" s="95">
        <f>IF(OR(PROGRAMA_DETALLE!P9="PENDIENTE",PROGRAMA_DETALLE!P9="PARCIAL"),PROGRAMA_DETALLE!M9,0)</f>
        <v>0</v>
      </c>
      <c r="I209" s="94" t="str">
        <f>IF(PROGRAMA_DETALLE!P9="","",PROGRAMA_DETALLE!P9)</f>
        <v/>
      </c>
    </row>
    <row r="210" ht="15.75" customHeight="1">
      <c r="A210" s="87" t="s">
        <v>229</v>
      </c>
      <c r="B210" s="93">
        <f>IFERROR(VLOOKUP(PROGRAMA_DETALLE!A10,PROGRAMAS!$A$4:$B$103,2,FALSE()),"")</f>
        <v>46152</v>
      </c>
      <c r="C210" s="84" t="str">
        <f>IF(PROGRAMA_DETALLE!A10="","","Tejedora")</f>
        <v>Tejedora</v>
      </c>
      <c r="D210" s="94" t="str">
        <f>IF(PROGRAMA_DETALLE!N10="","",PROGRAMA_DETALLE!N10)</f>
        <v/>
      </c>
      <c r="E210" s="84" t="str">
        <f>IF(PROGRAMA_DETALLE!A10="","","Tejido "&amp;PROGRAMA_DETALLE!A10&amp;" "&amp;PROGRAMA_DETALLE!B10)</f>
        <v>Tejido FULL LYCRA 50/1-001 Negro</v>
      </c>
      <c r="F210" s="95" t="str">
        <f>IF(PROGRAMA_DETALLE!M10=0,"",PROGRAMA_DETALLE!M10)</f>
        <v/>
      </c>
      <c r="G210" s="95">
        <f>IF(PROGRAMA_DETALLE!P10="PAGADO",PROGRAMA_DETALLE!M10,0)</f>
        <v>0</v>
      </c>
      <c r="H210" s="95">
        <f>IF(OR(PROGRAMA_DETALLE!P10="PENDIENTE",PROGRAMA_DETALLE!P10="PARCIAL"),PROGRAMA_DETALLE!M10,0)</f>
        <v>0</v>
      </c>
      <c r="I210" s="94" t="str">
        <f>IF(PROGRAMA_DETALLE!P10="","",PROGRAMA_DETALLE!P10)</f>
        <v/>
      </c>
    </row>
    <row r="211" ht="15.75" customHeight="1">
      <c r="A211" s="87" t="s">
        <v>229</v>
      </c>
      <c r="B211" s="93">
        <f>IFERROR(VLOOKUP(PROGRAMA_DETALLE!A11,PROGRAMAS!$A$4:$B$103,2,FALSE()),"")</f>
        <v>46152</v>
      </c>
      <c r="C211" s="84" t="str">
        <f>IF(PROGRAMA_DETALLE!A11="","","Tejedora")</f>
        <v>Tejedora</v>
      </c>
      <c r="D211" s="94" t="str">
        <f>IF(PROGRAMA_DETALLE!N11="","",PROGRAMA_DETALLE!N11)</f>
        <v/>
      </c>
      <c r="E211" s="84" t="str">
        <f>IF(PROGRAMA_DETALLE!A11="","","Tejido "&amp;PROGRAMA_DETALLE!A11&amp;" "&amp;PROGRAMA_DETALLE!B11)</f>
        <v>Tejido FULL LYCRA 50/1-001 Perla</v>
      </c>
      <c r="F211" s="95" t="str">
        <f>IF(PROGRAMA_DETALLE!M11=0,"",PROGRAMA_DETALLE!M11)</f>
        <v/>
      </c>
      <c r="G211" s="95">
        <f>IF(PROGRAMA_DETALLE!P11="PAGADO",PROGRAMA_DETALLE!M11,0)</f>
        <v>0</v>
      </c>
      <c r="H211" s="95">
        <f>IF(OR(PROGRAMA_DETALLE!P11="PENDIENTE",PROGRAMA_DETALLE!P11="PARCIAL"),PROGRAMA_DETALLE!M11,0)</f>
        <v>0</v>
      </c>
      <c r="I211" s="94" t="str">
        <f>IF(PROGRAMA_DETALLE!P11="","",PROGRAMA_DETALLE!P11)</f>
        <v/>
      </c>
    </row>
    <row r="212" ht="15.75" customHeight="1">
      <c r="A212" s="87" t="s">
        <v>229</v>
      </c>
      <c r="B212" s="93">
        <f>IFERROR(VLOOKUP(PROGRAMA_DETALLE!A12,PROGRAMAS!$A$4:$B$103,2,FALSE()),"")</f>
        <v>46152</v>
      </c>
      <c r="C212" s="84" t="str">
        <f>IF(PROGRAMA_DETALLE!A12="","","Tejedora")</f>
        <v>Tejedora</v>
      </c>
      <c r="D212" s="94" t="str">
        <f>IF(PROGRAMA_DETALLE!N12="","",PROGRAMA_DETALLE!N12)</f>
        <v/>
      </c>
      <c r="E212" s="84" t="str">
        <f>IF(PROGRAMA_DETALLE!A12="","","Tejido "&amp;PROGRAMA_DETALLE!A12&amp;" "&amp;PROGRAMA_DETALLE!B12)</f>
        <v>Tejido FULL LYCRA 50/1-001 Colegial</v>
      </c>
      <c r="F212" s="95" t="str">
        <f>IF(PROGRAMA_DETALLE!M12=0,"",PROGRAMA_DETALLE!M12)</f>
        <v/>
      </c>
      <c r="G212" s="95">
        <f>IF(PROGRAMA_DETALLE!P12="PAGADO",PROGRAMA_DETALLE!M12,0)</f>
        <v>0</v>
      </c>
      <c r="H212" s="95">
        <f>IF(OR(PROGRAMA_DETALLE!P12="PENDIENTE",PROGRAMA_DETALLE!P12="PARCIAL"),PROGRAMA_DETALLE!M12,0)</f>
        <v>0</v>
      </c>
      <c r="I212" s="94" t="str">
        <f>IF(PROGRAMA_DETALLE!P12="","",PROGRAMA_DETALLE!P12)</f>
        <v/>
      </c>
    </row>
    <row r="213" ht="15.75" customHeight="1">
      <c r="A213" s="87" t="s">
        <v>229</v>
      </c>
      <c r="B213" s="93" t="str">
        <f>IFERROR(VLOOKUP(PROGRAMA_DETALLE!A13,PROGRAMAS!$A$4:$B$103,2,FALSE()),"")</f>
        <v/>
      </c>
      <c r="C213" s="84" t="str">
        <f>IF(PROGRAMA_DETALLE!A13="","","Tejedora")</f>
        <v/>
      </c>
      <c r="D213" s="94" t="str">
        <f>IF(PROGRAMA_DETALLE!N13="","",PROGRAMA_DETALLE!N13)</f>
        <v/>
      </c>
      <c r="E213" s="84" t="str">
        <f>IF(PROGRAMA_DETALLE!A13="","","Tejido "&amp;PROGRAMA_DETALLE!A13&amp;" "&amp;PROGRAMA_DETALLE!B13)</f>
        <v/>
      </c>
      <c r="F213" s="95" t="str">
        <f>IF(PROGRAMA_DETALLE!M13=0,"",PROGRAMA_DETALLE!M13)</f>
        <v/>
      </c>
      <c r="G213" s="95">
        <f>IF(PROGRAMA_DETALLE!P13="PAGADO",PROGRAMA_DETALLE!M13,0)</f>
        <v>0</v>
      </c>
      <c r="H213" s="95">
        <f>IF(OR(PROGRAMA_DETALLE!P13="PENDIENTE",PROGRAMA_DETALLE!P13="PARCIAL"),PROGRAMA_DETALLE!M13,0)</f>
        <v>0</v>
      </c>
      <c r="I213" s="94" t="str">
        <f>IF(PROGRAMA_DETALLE!P13="","",PROGRAMA_DETALLE!P13)</f>
        <v/>
      </c>
    </row>
    <row r="214" ht="15.75" customHeight="1">
      <c r="A214" s="87" t="s">
        <v>229</v>
      </c>
      <c r="B214" s="93">
        <f>IFERROR(VLOOKUP(PROGRAMA_DETALLE!A14,PROGRAMAS!$A$4:$B$103,2,FALSE()),"")</f>
        <v>46152</v>
      </c>
      <c r="C214" s="84" t="str">
        <f>IF(PROGRAMA_DETALLE!A14="","","Tejedora")</f>
        <v>Tejedora</v>
      </c>
      <c r="D214" s="94" t="str">
        <f>IF(PROGRAMA_DETALLE!N14="","",PROGRAMA_DETALLE!N14)</f>
        <v/>
      </c>
      <c r="E214" s="84" t="str">
        <f>IF(PROGRAMA_DETALLE!A14="","","Tejido "&amp;PROGRAMA_DETALLE!A14&amp;" "&amp;PROGRAMA_DETALLE!B14)</f>
        <v>Tejido frecnh terry - 001 Negro</v>
      </c>
      <c r="F214" s="95" t="str">
        <f>IF(PROGRAMA_DETALLE!M14=0,"",PROGRAMA_DETALLE!M14)</f>
        <v/>
      </c>
      <c r="G214" s="95">
        <f>IF(PROGRAMA_DETALLE!P14="PAGADO",PROGRAMA_DETALLE!M14,0)</f>
        <v>0</v>
      </c>
      <c r="H214" s="95">
        <f>IF(OR(PROGRAMA_DETALLE!P14="PENDIENTE",PROGRAMA_DETALLE!P14="PARCIAL"),PROGRAMA_DETALLE!M14,0)</f>
        <v>0</v>
      </c>
      <c r="I214" s="94" t="str">
        <f>IF(PROGRAMA_DETALLE!P14="","",PROGRAMA_DETALLE!P14)</f>
        <v/>
      </c>
    </row>
    <row r="215" ht="15.75" customHeight="1">
      <c r="A215" s="87" t="s">
        <v>229</v>
      </c>
      <c r="B215" s="93">
        <f>IFERROR(VLOOKUP(PROGRAMA_DETALLE!A15,PROGRAMAS!$A$4:$B$103,2,FALSE()),"")</f>
        <v>46152</v>
      </c>
      <c r="C215" s="84" t="str">
        <f>IF(PROGRAMA_DETALLE!A15="","","Tejedora")</f>
        <v>Tejedora</v>
      </c>
      <c r="D215" s="94" t="str">
        <f>IF(PROGRAMA_DETALLE!N15="","",PROGRAMA_DETALLE!N15)</f>
        <v/>
      </c>
      <c r="E215" s="84" t="str">
        <f>IF(PROGRAMA_DETALLE!A15="","","Tejido "&amp;PROGRAMA_DETALLE!A15&amp;" "&amp;PROGRAMA_DETALLE!B15)</f>
        <v>Tejido frecnh terry - 001 Perla</v>
      </c>
      <c r="F215" s="95" t="str">
        <f>IF(PROGRAMA_DETALLE!M15=0,"",PROGRAMA_DETALLE!M15)</f>
        <v/>
      </c>
      <c r="G215" s="95">
        <f>IF(PROGRAMA_DETALLE!P15="PAGADO",PROGRAMA_DETALLE!M15,0)</f>
        <v>0</v>
      </c>
      <c r="H215" s="95">
        <f>IF(OR(PROGRAMA_DETALLE!P15="PENDIENTE",PROGRAMA_DETALLE!P15="PARCIAL"),PROGRAMA_DETALLE!M15,0)</f>
        <v>0</v>
      </c>
      <c r="I215" s="94" t="str">
        <f>IF(PROGRAMA_DETALLE!P15="","",PROGRAMA_DETALLE!P15)</f>
        <v/>
      </c>
    </row>
    <row r="216" ht="15.75" customHeight="1">
      <c r="A216" s="87" t="s">
        <v>229</v>
      </c>
      <c r="B216" s="93">
        <f>IFERROR(VLOOKUP(PROGRAMA_DETALLE!A16,PROGRAMAS!$A$4:$B$103,2,FALSE()),"")</f>
        <v>46152</v>
      </c>
      <c r="C216" s="84" t="str">
        <f>IF(PROGRAMA_DETALLE!A16="","","Tejedora")</f>
        <v>Tejedora</v>
      </c>
      <c r="D216" s="94" t="str">
        <f>IF(PROGRAMA_DETALLE!N16="","",PROGRAMA_DETALLE!N16)</f>
        <v/>
      </c>
      <c r="E216" s="84" t="str">
        <f>IF(PROGRAMA_DETALLE!A16="","","Tejido "&amp;PROGRAMA_DETALLE!A16&amp;" "&amp;PROGRAMA_DETALLE!B16)</f>
        <v>Tejido frecnh terry - 001 Azul Marino</v>
      </c>
      <c r="F216" s="95" t="str">
        <f>IF(PROGRAMA_DETALLE!M16=0,"",PROGRAMA_DETALLE!M16)</f>
        <v/>
      </c>
      <c r="G216" s="95">
        <f>IF(PROGRAMA_DETALLE!P16="PAGADO",PROGRAMA_DETALLE!M16,0)</f>
        <v>0</v>
      </c>
      <c r="H216" s="95">
        <f>IF(OR(PROGRAMA_DETALLE!P16="PENDIENTE",PROGRAMA_DETALLE!P16="PARCIAL"),PROGRAMA_DETALLE!M16,0)</f>
        <v>0</v>
      </c>
      <c r="I216" s="94" t="str">
        <f>IF(PROGRAMA_DETALLE!P16="","",PROGRAMA_DETALLE!P16)</f>
        <v/>
      </c>
    </row>
    <row r="217" ht="15.75" customHeight="1">
      <c r="A217" s="87" t="s">
        <v>229</v>
      </c>
      <c r="B217" s="93">
        <f>IFERROR(VLOOKUP(PROGRAMA_DETALLE!A17,PROGRAMAS!$A$4:$B$103,2,FALSE()),"")</f>
        <v>46152</v>
      </c>
      <c r="C217" s="84" t="str">
        <f>IF(PROGRAMA_DETALLE!A17="","","Tejedora")</f>
        <v>Tejedora</v>
      </c>
      <c r="D217" s="94" t="str">
        <f>IF(PROGRAMA_DETALLE!N17="","",PROGRAMA_DETALLE!N17)</f>
        <v/>
      </c>
      <c r="E217" s="84" t="str">
        <f>IF(PROGRAMA_DETALLE!A17="","","Tejido "&amp;PROGRAMA_DETALLE!A17&amp;" "&amp;PROGRAMA_DETALLE!B17)</f>
        <v>Tejido frecnh terry - 001 Vino</v>
      </c>
      <c r="F217" s="95" t="str">
        <f>IF(PROGRAMA_DETALLE!M17=0,"",PROGRAMA_DETALLE!M17)</f>
        <v/>
      </c>
      <c r="G217" s="95">
        <f>IF(PROGRAMA_DETALLE!P17="PAGADO",PROGRAMA_DETALLE!M17,0)</f>
        <v>0</v>
      </c>
      <c r="H217" s="95">
        <f>IF(OR(PROGRAMA_DETALLE!P17="PENDIENTE",PROGRAMA_DETALLE!P17="PARCIAL"),PROGRAMA_DETALLE!M17,0)</f>
        <v>0</v>
      </c>
      <c r="I217" s="94" t="str">
        <f>IF(PROGRAMA_DETALLE!P17="","",PROGRAMA_DETALLE!P17)</f>
        <v/>
      </c>
    </row>
    <row r="218" ht="15.75" customHeight="1">
      <c r="A218" s="87" t="s">
        <v>229</v>
      </c>
      <c r="B218" s="93">
        <f>IFERROR(VLOOKUP(PROGRAMA_DETALLE!A18,PROGRAMAS!$A$4:$B$103,2,FALSE()),"")</f>
        <v>46152</v>
      </c>
      <c r="C218" s="84" t="str">
        <f>IF(PROGRAMA_DETALLE!A18="","","Tejedora")</f>
        <v>Tejedora</v>
      </c>
      <c r="D218" s="94" t="str">
        <f>IF(PROGRAMA_DETALLE!N18="","",PROGRAMA_DETALLE!N18)</f>
        <v/>
      </c>
      <c r="E218" s="84" t="str">
        <f>IF(PROGRAMA_DETALLE!A18="","","Tejido "&amp;PROGRAMA_DETALLE!A18&amp;" "&amp;PROGRAMA_DETALLE!B18)</f>
        <v>Tejido frecnh terry - 001 Denim</v>
      </c>
      <c r="F218" s="95" t="str">
        <f>IF(PROGRAMA_DETALLE!M18=0,"",PROGRAMA_DETALLE!M18)</f>
        <v/>
      </c>
      <c r="G218" s="95">
        <f>IF(PROGRAMA_DETALLE!P18="PAGADO",PROGRAMA_DETALLE!M18,0)</f>
        <v>0</v>
      </c>
      <c r="H218" s="95">
        <f>IF(OR(PROGRAMA_DETALLE!P18="PENDIENTE",PROGRAMA_DETALLE!P18="PARCIAL"),PROGRAMA_DETALLE!M18,0)</f>
        <v>0</v>
      </c>
      <c r="I218" s="94" t="str">
        <f>IF(PROGRAMA_DETALLE!P18="","",PROGRAMA_DETALLE!P18)</f>
        <v/>
      </c>
    </row>
    <row r="219" ht="15.75" customHeight="1">
      <c r="A219" s="87" t="s">
        <v>229</v>
      </c>
      <c r="B219" s="93">
        <f>IFERROR(VLOOKUP(PROGRAMA_DETALLE!A19,PROGRAMAS!$A$4:$B$103,2,FALSE()),"")</f>
        <v>46152</v>
      </c>
      <c r="C219" s="84" t="str">
        <f>IF(PROGRAMA_DETALLE!A19="","","Tejedora")</f>
        <v>Tejedora</v>
      </c>
      <c r="D219" s="94" t="str">
        <f>IF(PROGRAMA_DETALLE!N19="","",PROGRAMA_DETALLE!N19)</f>
        <v/>
      </c>
      <c r="E219" s="84" t="str">
        <f>IF(PROGRAMA_DETALLE!A19="","","Tejido "&amp;PROGRAMA_DETALLE!A19&amp;" "&amp;PROGRAMA_DETALLE!B19)</f>
        <v>Tejido frecnh terry - 001 Pacay</v>
      </c>
      <c r="F219" s="95" t="str">
        <f>IF(PROGRAMA_DETALLE!M19=0,"",PROGRAMA_DETALLE!M19)</f>
        <v/>
      </c>
      <c r="G219" s="95">
        <f>IF(PROGRAMA_DETALLE!P19="PAGADO",PROGRAMA_DETALLE!M19,0)</f>
        <v>0</v>
      </c>
      <c r="H219" s="95">
        <f>IF(OR(PROGRAMA_DETALLE!P19="PENDIENTE",PROGRAMA_DETALLE!P19="PARCIAL"),PROGRAMA_DETALLE!M19,0)</f>
        <v>0</v>
      </c>
      <c r="I219" s="94" t="str">
        <f>IF(PROGRAMA_DETALLE!P19="","",PROGRAMA_DETALLE!P19)</f>
        <v/>
      </c>
    </row>
    <row r="220" ht="15.75" customHeight="1">
      <c r="A220" s="87" t="s">
        <v>229</v>
      </c>
      <c r="B220" s="93">
        <f>IFERROR(VLOOKUP(PROGRAMA_DETALLE!A20,PROGRAMAS!$A$4:$B$103,2,FALSE()),"")</f>
        <v>46152</v>
      </c>
      <c r="C220" s="84" t="str">
        <f>IF(PROGRAMA_DETALLE!A20="","","Tejedora")</f>
        <v>Tejedora</v>
      </c>
      <c r="D220" s="94" t="str">
        <f>IF(PROGRAMA_DETALLE!N20="","",PROGRAMA_DETALLE!N20)</f>
        <v/>
      </c>
      <c r="E220" s="84" t="str">
        <f>IF(PROGRAMA_DETALLE!A20="","","Tejido "&amp;PROGRAMA_DETALLE!A20&amp;" "&amp;PROGRAMA_DETALLE!B20)</f>
        <v>Tejido frecnh terry - 001 Topo</v>
      </c>
      <c r="F220" s="95" t="str">
        <f>IF(PROGRAMA_DETALLE!M20=0,"",PROGRAMA_DETALLE!M20)</f>
        <v/>
      </c>
      <c r="G220" s="95">
        <f>IF(PROGRAMA_DETALLE!P20="PAGADO",PROGRAMA_DETALLE!M20,0)</f>
        <v>0</v>
      </c>
      <c r="H220" s="95">
        <f>IF(OR(PROGRAMA_DETALLE!P20="PENDIENTE",PROGRAMA_DETALLE!P20="PARCIAL"),PROGRAMA_DETALLE!M20,0)</f>
        <v>0</v>
      </c>
      <c r="I220" s="94" t="str">
        <f>IF(PROGRAMA_DETALLE!P20="","",PROGRAMA_DETALLE!P20)</f>
        <v/>
      </c>
    </row>
    <row r="221" ht="15.75" customHeight="1">
      <c r="A221" s="87" t="s">
        <v>229</v>
      </c>
      <c r="B221" s="93">
        <f>IFERROR(VLOOKUP(PROGRAMA_DETALLE!A21,PROGRAMAS!$A$4:$B$103,2,FALSE()),"")</f>
        <v>46152</v>
      </c>
      <c r="C221" s="84" t="str">
        <f>IF(PROGRAMA_DETALLE!A21="","","Tejedora")</f>
        <v>Tejedora</v>
      </c>
      <c r="D221" s="94" t="str">
        <f>IF(PROGRAMA_DETALLE!N21="","",PROGRAMA_DETALLE!N21)</f>
        <v/>
      </c>
      <c r="E221" s="84" t="str">
        <f>IF(PROGRAMA_DETALLE!A21="","","Tejido "&amp;PROGRAMA_DETALLE!A21&amp;" "&amp;PROGRAMA_DETALLE!B21)</f>
        <v>Tejido frecnh terry - 001 Palo Rosa</v>
      </c>
      <c r="F221" s="95" t="str">
        <f>IF(PROGRAMA_DETALLE!M21=0,"",PROGRAMA_DETALLE!M21)</f>
        <v/>
      </c>
      <c r="G221" s="95">
        <f>IF(PROGRAMA_DETALLE!P21="PAGADO",PROGRAMA_DETALLE!M21,0)</f>
        <v>0</v>
      </c>
      <c r="H221" s="95">
        <f>IF(OR(PROGRAMA_DETALLE!P21="PENDIENTE",PROGRAMA_DETALLE!P21="PARCIAL"),PROGRAMA_DETALLE!M21,0)</f>
        <v>0</v>
      </c>
      <c r="I221" s="94" t="str">
        <f>IF(PROGRAMA_DETALLE!P21="","",PROGRAMA_DETALLE!P21)</f>
        <v/>
      </c>
    </row>
    <row r="222" ht="15.75" customHeight="1">
      <c r="A222" s="87" t="s">
        <v>229</v>
      </c>
      <c r="B222" s="93">
        <f>IFERROR(VLOOKUP(PROGRAMA_DETALLE!A22,PROGRAMAS!$A$4:$B$103,2,FALSE()),"")</f>
        <v>46152</v>
      </c>
      <c r="C222" s="84" t="str">
        <f>IF(PROGRAMA_DETALLE!A22="","","Tejedora")</f>
        <v>Tejedora</v>
      </c>
      <c r="D222" s="94" t="str">
        <f>IF(PROGRAMA_DETALLE!N22="","",PROGRAMA_DETALLE!N22)</f>
        <v/>
      </c>
      <c r="E222" s="84" t="str">
        <f>IF(PROGRAMA_DETALLE!A22="","","Tejido "&amp;PROGRAMA_DETALLE!A22&amp;" "&amp;PROGRAMA_DETALLE!B22)</f>
        <v>Tejido frecnh terry - 001 Beige</v>
      </c>
      <c r="F222" s="95" t="str">
        <f>IF(PROGRAMA_DETALLE!M22=0,"",PROGRAMA_DETALLE!M22)</f>
        <v/>
      </c>
      <c r="G222" s="95">
        <f>IF(PROGRAMA_DETALLE!P22="PAGADO",PROGRAMA_DETALLE!M22,0)</f>
        <v>0</v>
      </c>
      <c r="H222" s="95">
        <f>IF(OR(PROGRAMA_DETALLE!P22="PENDIENTE",PROGRAMA_DETALLE!P22="PARCIAL"),PROGRAMA_DETALLE!M22,0)</f>
        <v>0</v>
      </c>
      <c r="I222" s="94" t="str">
        <f>IF(PROGRAMA_DETALLE!P22="","",PROGRAMA_DETALLE!P22)</f>
        <v/>
      </c>
    </row>
    <row r="223" ht="15.75" customHeight="1">
      <c r="A223" s="87" t="s">
        <v>229</v>
      </c>
      <c r="B223" s="93" t="str">
        <f>IFERROR(VLOOKUP(PROGRAMA_DETALLE!A23,PROGRAMAS!$A$4:$B$103,2,FALSE()),"")</f>
        <v/>
      </c>
      <c r="C223" s="84" t="str">
        <f>IF(PROGRAMA_DETALLE!A23="","","Tejedora")</f>
        <v/>
      </c>
      <c r="D223" s="94" t="str">
        <f>IF(PROGRAMA_DETALLE!N23="","",PROGRAMA_DETALLE!N23)</f>
        <v/>
      </c>
      <c r="E223" s="84" t="str">
        <f>IF(PROGRAMA_DETALLE!A23="","","Tejido "&amp;PROGRAMA_DETALLE!A23&amp;" "&amp;PROGRAMA_DETALLE!B23)</f>
        <v/>
      </c>
      <c r="F223" s="95" t="str">
        <f>IF(PROGRAMA_DETALLE!M23=0,"",PROGRAMA_DETALLE!M23)</f>
        <v/>
      </c>
      <c r="G223" s="95">
        <f>IF(PROGRAMA_DETALLE!P23="PAGADO",PROGRAMA_DETALLE!M23,0)</f>
        <v>0</v>
      </c>
      <c r="H223" s="95">
        <f>IF(OR(PROGRAMA_DETALLE!P23="PENDIENTE",PROGRAMA_DETALLE!P23="PARCIAL"),PROGRAMA_DETALLE!M23,0)</f>
        <v>0</v>
      </c>
      <c r="I223" s="94" t="str">
        <f>IF(PROGRAMA_DETALLE!P23="","",PROGRAMA_DETALLE!P23)</f>
        <v/>
      </c>
    </row>
    <row r="224" ht="15.75" customHeight="1">
      <c r="A224" s="87" t="s">
        <v>229</v>
      </c>
      <c r="B224" s="93">
        <f>IFERROR(VLOOKUP(PROGRAMA_DETALLE!A24,PROGRAMAS!$A$4:$B$103,2,FALSE()),"")</f>
        <v>46313</v>
      </c>
      <c r="C224" s="84" t="str">
        <f>IF(PROGRAMA_DETALLE!A24="","","Tejedora")</f>
        <v>Tejedora</v>
      </c>
      <c r="D224" s="94" t="str">
        <f>IF(PROGRAMA_DETALLE!N24="","",PROGRAMA_DETALLE!N24)</f>
        <v/>
      </c>
      <c r="E224" s="84" t="str">
        <f>IF(PROGRAMA_DETALLE!A24="","","Tejido "&amp;PROGRAMA_DETALLE!A24&amp;" "&amp;PROGRAMA_DETALLE!B24)</f>
        <v>Tejido jersey algodon - 001 Negro</v>
      </c>
      <c r="F224" s="95" t="str">
        <f>IF(PROGRAMA_DETALLE!M24=0,"",PROGRAMA_DETALLE!M24)</f>
        <v/>
      </c>
      <c r="G224" s="95">
        <f>IF(PROGRAMA_DETALLE!P24="PAGADO",PROGRAMA_DETALLE!M24,0)</f>
        <v>0</v>
      </c>
      <c r="H224" s="95">
        <f>IF(OR(PROGRAMA_DETALLE!P24="PENDIENTE",PROGRAMA_DETALLE!P24="PARCIAL"),PROGRAMA_DETALLE!M24,0)</f>
        <v>0</v>
      </c>
      <c r="I224" s="94" t="str">
        <f>IF(PROGRAMA_DETALLE!P24="","",PROGRAMA_DETALLE!P24)</f>
        <v/>
      </c>
    </row>
    <row r="225" ht="15.75" customHeight="1">
      <c r="A225" s="87" t="s">
        <v>229</v>
      </c>
      <c r="B225" s="93">
        <f>IFERROR(VLOOKUP(PROGRAMA_DETALLE!A25,PROGRAMAS!$A$4:$B$103,2,FALSE()),"")</f>
        <v>46160</v>
      </c>
      <c r="C225" s="84" t="str">
        <f>IF(PROGRAMA_DETALLE!A25="","","Tejedora")</f>
        <v>Tejedora</v>
      </c>
      <c r="D225" s="94" t="str">
        <f>IF(PROGRAMA_DETALLE!N25="","",PROGRAMA_DETALLE!N25)</f>
        <v/>
      </c>
      <c r="E225" s="84" t="str">
        <f>IF(PROGRAMA_DETALLE!A25="","","Tejido "&amp;PROGRAMA_DETALLE!A25&amp;" "&amp;PROGRAMA_DETALLE!B25)</f>
        <v>Tejido rib 1x1- jersey algodon -001 Negro</v>
      </c>
      <c r="F225" s="95" t="str">
        <f>IF(PROGRAMA_DETALLE!M25=0,"",PROGRAMA_DETALLE!M25)</f>
        <v/>
      </c>
      <c r="G225" s="95">
        <f>IF(PROGRAMA_DETALLE!P25="PAGADO",PROGRAMA_DETALLE!M25,0)</f>
        <v>0</v>
      </c>
      <c r="H225" s="95">
        <f>IF(OR(PROGRAMA_DETALLE!P25="PENDIENTE",PROGRAMA_DETALLE!P25="PARCIAL"),PROGRAMA_DETALLE!M25,0)</f>
        <v>0</v>
      </c>
      <c r="I225" s="94" t="str">
        <f>IF(PROGRAMA_DETALLE!P25="","",PROGRAMA_DETALLE!P25)</f>
        <v/>
      </c>
    </row>
    <row r="226" ht="15.75" customHeight="1">
      <c r="A226" s="87" t="s">
        <v>229</v>
      </c>
      <c r="B226" s="93">
        <f>IFERROR(VLOOKUP(PROGRAMA_DETALLE!A26,PROGRAMAS!$A$4:$B$103,2,FALSE()),"")</f>
        <v>46313</v>
      </c>
      <c r="C226" s="84" t="str">
        <f>IF(PROGRAMA_DETALLE!A26="","","Tejedora")</f>
        <v>Tejedora</v>
      </c>
      <c r="D226" s="94" t="str">
        <f>IF(PROGRAMA_DETALLE!N26="","",PROGRAMA_DETALLE!N26)</f>
        <v/>
      </c>
      <c r="E226" s="84" t="str">
        <f>IF(PROGRAMA_DETALLE!A26="","","Tejido "&amp;PROGRAMA_DETALLE!A26&amp;" "&amp;PROGRAMA_DETALLE!B26)</f>
        <v>Tejido jersey algodon - 001 Perla</v>
      </c>
      <c r="F226" s="95" t="str">
        <f>IF(PROGRAMA_DETALLE!M26=0,"",PROGRAMA_DETALLE!M26)</f>
        <v/>
      </c>
      <c r="G226" s="95">
        <f>IF(PROGRAMA_DETALLE!P26="PAGADO",PROGRAMA_DETALLE!M26,0)</f>
        <v>0</v>
      </c>
      <c r="H226" s="95">
        <f>IF(OR(PROGRAMA_DETALLE!P26="PENDIENTE",PROGRAMA_DETALLE!P26="PARCIAL"),PROGRAMA_DETALLE!M26,0)</f>
        <v>0</v>
      </c>
      <c r="I226" s="94" t="str">
        <f>IF(PROGRAMA_DETALLE!P26="","",PROGRAMA_DETALLE!P26)</f>
        <v/>
      </c>
    </row>
    <row r="227" ht="15.75" customHeight="1">
      <c r="A227" s="87" t="s">
        <v>229</v>
      </c>
      <c r="B227" s="93">
        <f>IFERROR(VLOOKUP(PROGRAMA_DETALLE!A27,PROGRAMAS!$A$4:$B$103,2,FALSE()),"")</f>
        <v>46160</v>
      </c>
      <c r="C227" s="84" t="str">
        <f>IF(PROGRAMA_DETALLE!A27="","","Tejedora")</f>
        <v>Tejedora</v>
      </c>
      <c r="D227" s="94" t="str">
        <f>IF(PROGRAMA_DETALLE!N27="","",PROGRAMA_DETALLE!N27)</f>
        <v/>
      </c>
      <c r="E227" s="84" t="str">
        <f>IF(PROGRAMA_DETALLE!A27="","","Tejido "&amp;PROGRAMA_DETALLE!A27&amp;" "&amp;PROGRAMA_DETALLE!B27)</f>
        <v>Tejido rib 1x1- jersey algodon -001 Perla</v>
      </c>
      <c r="F227" s="95" t="str">
        <f>IF(PROGRAMA_DETALLE!M27=0,"",PROGRAMA_DETALLE!M27)</f>
        <v/>
      </c>
      <c r="G227" s="95">
        <f>IF(PROGRAMA_DETALLE!P27="PAGADO",PROGRAMA_DETALLE!M27,0)</f>
        <v>0</v>
      </c>
      <c r="H227" s="95">
        <f>IF(OR(PROGRAMA_DETALLE!P27="PENDIENTE",PROGRAMA_DETALLE!P27="PARCIAL"),PROGRAMA_DETALLE!M27,0)</f>
        <v>0</v>
      </c>
      <c r="I227" s="94" t="str">
        <f>IF(PROGRAMA_DETALLE!P27="","",PROGRAMA_DETALLE!P27)</f>
        <v/>
      </c>
    </row>
    <row r="228" ht="15.75" customHeight="1">
      <c r="A228" s="87" t="s">
        <v>229</v>
      </c>
      <c r="B228" s="93">
        <f>IFERROR(VLOOKUP(PROGRAMA_DETALLE!A28,PROGRAMAS!$A$4:$B$103,2,FALSE()),"")</f>
        <v>46313</v>
      </c>
      <c r="C228" s="84" t="str">
        <f>IF(PROGRAMA_DETALLE!A28="","","Tejedora")</f>
        <v>Tejedora</v>
      </c>
      <c r="D228" s="94" t="str">
        <f>IF(PROGRAMA_DETALLE!N28="","",PROGRAMA_DETALLE!N28)</f>
        <v/>
      </c>
      <c r="E228" s="84" t="str">
        <f>IF(PROGRAMA_DETALLE!A28="","","Tejido "&amp;PROGRAMA_DETALLE!A28&amp;" "&amp;PROGRAMA_DETALLE!B28)</f>
        <v>Tejido jersey algodon - 001 Beige</v>
      </c>
      <c r="F228" s="95" t="str">
        <f>IF(PROGRAMA_DETALLE!M28=0,"",PROGRAMA_DETALLE!M28)</f>
        <v/>
      </c>
      <c r="G228" s="95">
        <f>IF(PROGRAMA_DETALLE!P28="PAGADO",PROGRAMA_DETALLE!M28,0)</f>
        <v>0</v>
      </c>
      <c r="H228" s="95">
        <f>IF(OR(PROGRAMA_DETALLE!P28="PENDIENTE",PROGRAMA_DETALLE!P28="PARCIAL"),PROGRAMA_DETALLE!M28,0)</f>
        <v>0</v>
      </c>
      <c r="I228" s="94" t="str">
        <f>IF(PROGRAMA_DETALLE!P28="","",PROGRAMA_DETALLE!P28)</f>
        <v/>
      </c>
    </row>
    <row r="229" ht="15.75" customHeight="1">
      <c r="A229" s="87" t="s">
        <v>229</v>
      </c>
      <c r="B229" s="93">
        <f>IFERROR(VLOOKUP(PROGRAMA_DETALLE!A29,PROGRAMAS!$A$4:$B$103,2,FALSE()),"")</f>
        <v>46160</v>
      </c>
      <c r="C229" s="84" t="str">
        <f>IF(PROGRAMA_DETALLE!A29="","","Tejedora")</f>
        <v>Tejedora</v>
      </c>
      <c r="D229" s="94" t="str">
        <f>IF(PROGRAMA_DETALLE!N29="","",PROGRAMA_DETALLE!N29)</f>
        <v/>
      </c>
      <c r="E229" s="84" t="str">
        <f>IF(PROGRAMA_DETALLE!A29="","","Tejido "&amp;PROGRAMA_DETALLE!A29&amp;" "&amp;PROGRAMA_DETALLE!B29)</f>
        <v>Tejido rib 1x1- jersey algodon -001 Beige</v>
      </c>
      <c r="F229" s="95" t="str">
        <f>IF(PROGRAMA_DETALLE!M29=0,"",PROGRAMA_DETALLE!M29)</f>
        <v/>
      </c>
      <c r="G229" s="95">
        <f>IF(PROGRAMA_DETALLE!P29="PAGADO",PROGRAMA_DETALLE!M29,0)</f>
        <v>0</v>
      </c>
      <c r="H229" s="95">
        <f>IF(OR(PROGRAMA_DETALLE!P29="PENDIENTE",PROGRAMA_DETALLE!P29="PARCIAL"),PROGRAMA_DETALLE!M29,0)</f>
        <v>0</v>
      </c>
      <c r="I229" s="94" t="str">
        <f>IF(PROGRAMA_DETALLE!P29="","",PROGRAMA_DETALLE!P29)</f>
        <v/>
      </c>
    </row>
    <row r="230" ht="15.75" customHeight="1">
      <c r="A230" s="87" t="s">
        <v>229</v>
      </c>
      <c r="B230" s="93">
        <f>IFERROR(VLOOKUP(PROGRAMA_DETALLE!A30,PROGRAMAS!$A$4:$B$103,2,FALSE()),"")</f>
        <v>46313</v>
      </c>
      <c r="C230" s="84" t="str">
        <f>IF(PROGRAMA_DETALLE!A30="","","Tejedora")</f>
        <v>Tejedora</v>
      </c>
      <c r="D230" s="94" t="str">
        <f>IF(PROGRAMA_DETALLE!N30="","",PROGRAMA_DETALLE!N30)</f>
        <v/>
      </c>
      <c r="E230" s="84" t="str">
        <f>IF(PROGRAMA_DETALLE!A30="","","Tejido "&amp;PROGRAMA_DETALLE!A30&amp;" "&amp;PROGRAMA_DETALLE!B30)</f>
        <v>Tejido jersey algodon - 001 Acero</v>
      </c>
      <c r="F230" s="95" t="str">
        <f>IF(PROGRAMA_DETALLE!M30=0,"",PROGRAMA_DETALLE!M30)</f>
        <v/>
      </c>
      <c r="G230" s="95">
        <f>IF(PROGRAMA_DETALLE!P30="PAGADO",PROGRAMA_DETALLE!M30,0)</f>
        <v>0</v>
      </c>
      <c r="H230" s="95">
        <f>IF(OR(PROGRAMA_DETALLE!P30="PENDIENTE",PROGRAMA_DETALLE!P30="PARCIAL"),PROGRAMA_DETALLE!M30,0)</f>
        <v>0</v>
      </c>
      <c r="I230" s="94" t="str">
        <f>IF(PROGRAMA_DETALLE!P30="","",PROGRAMA_DETALLE!P30)</f>
        <v/>
      </c>
    </row>
    <row r="231" ht="15.75" customHeight="1">
      <c r="A231" s="87" t="s">
        <v>229</v>
      </c>
      <c r="B231" s="93">
        <f>IFERROR(VLOOKUP(PROGRAMA_DETALLE!A31,PROGRAMAS!$A$4:$B$103,2,FALSE()),"")</f>
        <v>46160</v>
      </c>
      <c r="C231" s="84" t="str">
        <f>IF(PROGRAMA_DETALLE!A31="","","Tejedora")</f>
        <v>Tejedora</v>
      </c>
      <c r="D231" s="94" t="str">
        <f>IF(PROGRAMA_DETALLE!N31="","",PROGRAMA_DETALLE!N31)</f>
        <v/>
      </c>
      <c r="E231" s="84" t="str">
        <f>IF(PROGRAMA_DETALLE!A31="","","Tejido "&amp;PROGRAMA_DETALLE!A31&amp;" "&amp;PROGRAMA_DETALLE!B31)</f>
        <v>Tejido rib 1x1- jersey algodon -001 Acero</v>
      </c>
      <c r="F231" s="95" t="str">
        <f>IF(PROGRAMA_DETALLE!M31=0,"",PROGRAMA_DETALLE!M31)</f>
        <v/>
      </c>
      <c r="G231" s="95">
        <f>IF(PROGRAMA_DETALLE!P31="PAGADO",PROGRAMA_DETALLE!M31,0)</f>
        <v>0</v>
      </c>
      <c r="H231" s="95">
        <f>IF(OR(PROGRAMA_DETALLE!P31="PENDIENTE",PROGRAMA_DETALLE!P31="PARCIAL"),PROGRAMA_DETALLE!M31,0)</f>
        <v>0</v>
      </c>
      <c r="I231" s="94" t="str">
        <f>IF(PROGRAMA_DETALLE!P31="","",PROGRAMA_DETALLE!P31)</f>
        <v/>
      </c>
    </row>
    <row r="232" ht="15.75" customHeight="1">
      <c r="A232" s="87" t="s">
        <v>229</v>
      </c>
      <c r="B232" s="93" t="str">
        <f>IFERROR(VLOOKUP(PROGRAMA_DETALLE!A32,PROGRAMAS!$A$4:$B$103,2,FALSE()),"")</f>
        <v/>
      </c>
      <c r="C232" s="84" t="str">
        <f>IF(PROGRAMA_DETALLE!A32="","","Tejedora")</f>
        <v/>
      </c>
      <c r="D232" s="94" t="str">
        <f>IF(PROGRAMA_DETALLE!N32="","",PROGRAMA_DETALLE!N32)</f>
        <v/>
      </c>
      <c r="E232" s="84" t="str">
        <f>IF(PROGRAMA_DETALLE!A32="","","Tejido "&amp;PROGRAMA_DETALLE!A32&amp;" "&amp;PROGRAMA_DETALLE!B32)</f>
        <v/>
      </c>
      <c r="F232" s="95" t="str">
        <f>IF(PROGRAMA_DETALLE!M32=0,"",PROGRAMA_DETALLE!M32)</f>
        <v/>
      </c>
      <c r="G232" s="95">
        <f>IF(PROGRAMA_DETALLE!P32="PAGADO",PROGRAMA_DETALLE!M32,0)</f>
        <v>0</v>
      </c>
      <c r="H232" s="95">
        <f>IF(OR(PROGRAMA_DETALLE!P32="PENDIENTE",PROGRAMA_DETALLE!P32="PARCIAL"),PROGRAMA_DETALLE!M32,0)</f>
        <v>0</v>
      </c>
      <c r="I232" s="94" t="str">
        <f>IF(PROGRAMA_DETALLE!P32="","",PROGRAMA_DETALLE!P32)</f>
        <v/>
      </c>
    </row>
    <row r="233" ht="15.75" customHeight="1">
      <c r="A233" s="87" t="s">
        <v>229</v>
      </c>
      <c r="B233" s="93" t="str">
        <f>IFERROR(VLOOKUP(PROGRAMA_DETALLE!A33,PROGRAMAS!$A$4:$B$103,2,FALSE()),"")</f>
        <v/>
      </c>
      <c r="C233" s="84" t="str">
        <f>IF(PROGRAMA_DETALLE!A33="","","Tejedora")</f>
        <v/>
      </c>
      <c r="D233" s="94" t="str">
        <f>IF(PROGRAMA_DETALLE!N33="","",PROGRAMA_DETALLE!N33)</f>
        <v/>
      </c>
      <c r="E233" s="84" t="str">
        <f>IF(PROGRAMA_DETALLE!A33="","","Tejido "&amp;PROGRAMA_DETALLE!A33&amp;" "&amp;PROGRAMA_DETALLE!B33)</f>
        <v/>
      </c>
      <c r="F233" s="95" t="str">
        <f>IF(PROGRAMA_DETALLE!M33=0,"",PROGRAMA_DETALLE!M33)</f>
        <v/>
      </c>
      <c r="G233" s="95">
        <f>IF(PROGRAMA_DETALLE!P33="PAGADO",PROGRAMA_DETALLE!M33,0)</f>
        <v>0</v>
      </c>
      <c r="H233" s="95">
        <f>IF(OR(PROGRAMA_DETALLE!P33="PENDIENTE",PROGRAMA_DETALLE!P33="PARCIAL"),PROGRAMA_DETALLE!M33,0)</f>
        <v>0</v>
      </c>
      <c r="I233" s="94" t="str">
        <f>IF(PROGRAMA_DETALLE!P33="","",PROGRAMA_DETALLE!P33)</f>
        <v/>
      </c>
    </row>
    <row r="234" ht="15.75" customHeight="1">
      <c r="A234" s="87" t="s">
        <v>229</v>
      </c>
      <c r="B234" s="93" t="str">
        <f>IFERROR(VLOOKUP(PROGRAMA_DETALLE!A34,PROGRAMAS!$A$4:$B$103,2,FALSE()),"")</f>
        <v/>
      </c>
      <c r="C234" s="84" t="str">
        <f>IF(PROGRAMA_DETALLE!A34="","","Tejedora")</f>
        <v/>
      </c>
      <c r="D234" s="94" t="str">
        <f>IF(PROGRAMA_DETALLE!N34="","",PROGRAMA_DETALLE!N34)</f>
        <v/>
      </c>
      <c r="E234" s="84" t="str">
        <f>IF(PROGRAMA_DETALLE!A34="","","Tejido "&amp;PROGRAMA_DETALLE!A34&amp;" "&amp;PROGRAMA_DETALLE!B34)</f>
        <v/>
      </c>
      <c r="F234" s="95" t="str">
        <f>IF(PROGRAMA_DETALLE!M34=0,"",PROGRAMA_DETALLE!M34)</f>
        <v/>
      </c>
      <c r="G234" s="95">
        <f>IF(PROGRAMA_DETALLE!P34="PAGADO",PROGRAMA_DETALLE!M34,0)</f>
        <v>0</v>
      </c>
      <c r="H234" s="95">
        <f>IF(OR(PROGRAMA_DETALLE!P34="PENDIENTE",PROGRAMA_DETALLE!P34="PARCIAL"),PROGRAMA_DETALLE!M34,0)</f>
        <v>0</v>
      </c>
      <c r="I234" s="94" t="str">
        <f>IF(PROGRAMA_DETALLE!P34="","",PROGRAMA_DETALLE!P34)</f>
        <v/>
      </c>
    </row>
    <row r="235" ht="15.75" customHeight="1">
      <c r="A235" s="87" t="s">
        <v>229</v>
      </c>
      <c r="B235" s="93" t="str">
        <f>IFERROR(VLOOKUP(PROGRAMA_DETALLE!A35,PROGRAMAS!$A$4:$B$103,2,FALSE()),"")</f>
        <v/>
      </c>
      <c r="C235" s="84" t="str">
        <f>IF(PROGRAMA_DETALLE!A35="","","Tejedora")</f>
        <v/>
      </c>
      <c r="D235" s="94" t="str">
        <f>IF(PROGRAMA_DETALLE!N35="","",PROGRAMA_DETALLE!N35)</f>
        <v/>
      </c>
      <c r="E235" s="84" t="str">
        <f>IF(PROGRAMA_DETALLE!A35="","","Tejido "&amp;PROGRAMA_DETALLE!A35&amp;" "&amp;PROGRAMA_DETALLE!B35)</f>
        <v/>
      </c>
      <c r="F235" s="95" t="str">
        <f>IF(PROGRAMA_DETALLE!M35=0,"",PROGRAMA_DETALLE!M35)</f>
        <v/>
      </c>
      <c r="G235" s="95">
        <f>IF(PROGRAMA_DETALLE!P35="PAGADO",PROGRAMA_DETALLE!M35,0)</f>
        <v>0</v>
      </c>
      <c r="H235" s="95">
        <f>IF(OR(PROGRAMA_DETALLE!P35="PENDIENTE",PROGRAMA_DETALLE!P35="PARCIAL"),PROGRAMA_DETALLE!M35,0)</f>
        <v>0</v>
      </c>
      <c r="I235" s="94" t="str">
        <f>IF(PROGRAMA_DETALLE!P35="","",PROGRAMA_DETALLE!P35)</f>
        <v/>
      </c>
    </row>
    <row r="236" ht="15.75" customHeight="1">
      <c r="A236" s="87" t="s">
        <v>229</v>
      </c>
      <c r="B236" s="93" t="str">
        <f>IFERROR(VLOOKUP(PROGRAMA_DETALLE!A36,PROGRAMAS!$A$4:$B$103,2,FALSE()),"")</f>
        <v/>
      </c>
      <c r="C236" s="84" t="str">
        <f>IF(PROGRAMA_DETALLE!A36="","","Tejedora")</f>
        <v/>
      </c>
      <c r="D236" s="94" t="str">
        <f>IF(PROGRAMA_DETALLE!N36="","",PROGRAMA_DETALLE!N36)</f>
        <v/>
      </c>
      <c r="E236" s="84" t="str">
        <f>IF(PROGRAMA_DETALLE!A36="","","Tejido "&amp;PROGRAMA_DETALLE!A36&amp;" "&amp;PROGRAMA_DETALLE!B36)</f>
        <v/>
      </c>
      <c r="F236" s="95" t="str">
        <f>IF(PROGRAMA_DETALLE!M36=0,"",PROGRAMA_DETALLE!M36)</f>
        <v/>
      </c>
      <c r="G236" s="95">
        <f>IF(PROGRAMA_DETALLE!P36="PAGADO",PROGRAMA_DETALLE!M36,0)</f>
        <v>0</v>
      </c>
      <c r="H236" s="95">
        <f>IF(OR(PROGRAMA_DETALLE!P36="PENDIENTE",PROGRAMA_DETALLE!P36="PARCIAL"),PROGRAMA_DETALLE!M36,0)</f>
        <v>0</v>
      </c>
      <c r="I236" s="94" t="str">
        <f>IF(PROGRAMA_DETALLE!P36="","",PROGRAMA_DETALLE!P36)</f>
        <v/>
      </c>
    </row>
    <row r="237" ht="15.75" customHeight="1">
      <c r="A237" s="87" t="s">
        <v>229</v>
      </c>
      <c r="B237" s="93" t="str">
        <f>IFERROR(VLOOKUP(PROGRAMA_DETALLE!A37,PROGRAMAS!$A$4:$B$103,2,FALSE()),"")</f>
        <v/>
      </c>
      <c r="C237" s="84" t="str">
        <f>IF(PROGRAMA_DETALLE!A37="","","Tejedora")</f>
        <v/>
      </c>
      <c r="D237" s="94" t="str">
        <f>IF(PROGRAMA_DETALLE!N37="","",PROGRAMA_DETALLE!N37)</f>
        <v/>
      </c>
      <c r="E237" s="84" t="str">
        <f>IF(PROGRAMA_DETALLE!A37="","","Tejido "&amp;PROGRAMA_DETALLE!A37&amp;" "&amp;PROGRAMA_DETALLE!B37)</f>
        <v/>
      </c>
      <c r="F237" s="95" t="str">
        <f>IF(PROGRAMA_DETALLE!M37=0,"",PROGRAMA_DETALLE!M37)</f>
        <v/>
      </c>
      <c r="G237" s="95">
        <f>IF(PROGRAMA_DETALLE!P37="PAGADO",PROGRAMA_DETALLE!M37,0)</f>
        <v>0</v>
      </c>
      <c r="H237" s="95">
        <f>IF(OR(PROGRAMA_DETALLE!P37="PENDIENTE",PROGRAMA_DETALLE!P37="PARCIAL"),PROGRAMA_DETALLE!M37,0)</f>
        <v>0</v>
      </c>
      <c r="I237" s="94" t="str">
        <f>IF(PROGRAMA_DETALLE!P37="","",PROGRAMA_DETALLE!P37)</f>
        <v/>
      </c>
    </row>
    <row r="238" ht="15.75" customHeight="1">
      <c r="A238" s="87" t="s">
        <v>229</v>
      </c>
      <c r="B238" s="93" t="str">
        <f>IFERROR(VLOOKUP(PROGRAMA_DETALLE!A38,PROGRAMAS!$A$4:$B$103,2,FALSE()),"")</f>
        <v/>
      </c>
      <c r="C238" s="84" t="str">
        <f>IF(PROGRAMA_DETALLE!A38="","","Tejedora")</f>
        <v/>
      </c>
      <c r="D238" s="94" t="str">
        <f>IF(PROGRAMA_DETALLE!N38="","",PROGRAMA_DETALLE!N38)</f>
        <v/>
      </c>
      <c r="E238" s="84" t="str">
        <f>IF(PROGRAMA_DETALLE!A38="","","Tejido "&amp;PROGRAMA_DETALLE!A38&amp;" "&amp;PROGRAMA_DETALLE!B38)</f>
        <v/>
      </c>
      <c r="F238" s="95" t="str">
        <f>IF(PROGRAMA_DETALLE!M38=0,"",PROGRAMA_DETALLE!M38)</f>
        <v/>
      </c>
      <c r="G238" s="95">
        <f>IF(PROGRAMA_DETALLE!P38="PAGADO",PROGRAMA_DETALLE!M38,0)</f>
        <v>0</v>
      </c>
      <c r="H238" s="95">
        <f>IF(OR(PROGRAMA_DETALLE!P38="PENDIENTE",PROGRAMA_DETALLE!P38="PARCIAL"),PROGRAMA_DETALLE!M38,0)</f>
        <v>0</v>
      </c>
      <c r="I238" s="94" t="str">
        <f>IF(PROGRAMA_DETALLE!P38="","",PROGRAMA_DETALLE!P38)</f>
        <v/>
      </c>
    </row>
    <row r="239" ht="15.75" customHeight="1">
      <c r="A239" s="87" t="s">
        <v>229</v>
      </c>
      <c r="B239" s="93" t="str">
        <f>IFERROR(VLOOKUP(PROGRAMA_DETALLE!A39,PROGRAMAS!$A$4:$B$103,2,FALSE()),"")</f>
        <v/>
      </c>
      <c r="C239" s="84" t="str">
        <f>IF(PROGRAMA_DETALLE!A39="","","Tejedora")</f>
        <v/>
      </c>
      <c r="D239" s="94" t="str">
        <f>IF(PROGRAMA_DETALLE!N39="","",PROGRAMA_DETALLE!N39)</f>
        <v/>
      </c>
      <c r="E239" s="84" t="str">
        <f>IF(PROGRAMA_DETALLE!A39="","","Tejido "&amp;PROGRAMA_DETALLE!A39&amp;" "&amp;PROGRAMA_DETALLE!B39)</f>
        <v/>
      </c>
      <c r="F239" s="95" t="str">
        <f>IF(PROGRAMA_DETALLE!M39=0,"",PROGRAMA_DETALLE!M39)</f>
        <v/>
      </c>
      <c r="G239" s="95">
        <f>IF(PROGRAMA_DETALLE!P39="PAGADO",PROGRAMA_DETALLE!M39,0)</f>
        <v>0</v>
      </c>
      <c r="H239" s="95">
        <f>IF(OR(PROGRAMA_DETALLE!P39="PENDIENTE",PROGRAMA_DETALLE!P39="PARCIAL"),PROGRAMA_DETALLE!M39,0)</f>
        <v>0</v>
      </c>
      <c r="I239" s="94" t="str">
        <f>IF(PROGRAMA_DETALLE!P39="","",PROGRAMA_DETALLE!P39)</f>
        <v/>
      </c>
    </row>
    <row r="240" ht="15.75" customHeight="1">
      <c r="A240" s="87" t="s">
        <v>229</v>
      </c>
      <c r="B240" s="93" t="str">
        <f>IFERROR(VLOOKUP(PROGRAMA_DETALLE!A40,PROGRAMAS!$A$4:$B$103,2,FALSE()),"")</f>
        <v/>
      </c>
      <c r="C240" s="84" t="str">
        <f>IF(PROGRAMA_DETALLE!A40="","","Tejedora")</f>
        <v/>
      </c>
      <c r="D240" s="94" t="str">
        <f>IF(PROGRAMA_DETALLE!N40="","",PROGRAMA_DETALLE!N40)</f>
        <v/>
      </c>
      <c r="E240" s="84" t="str">
        <f>IF(PROGRAMA_DETALLE!A40="","","Tejido "&amp;PROGRAMA_DETALLE!A40&amp;" "&amp;PROGRAMA_DETALLE!B40)</f>
        <v/>
      </c>
      <c r="F240" s="95" t="str">
        <f>IF(PROGRAMA_DETALLE!M40=0,"",PROGRAMA_DETALLE!M40)</f>
        <v/>
      </c>
      <c r="G240" s="95">
        <f>IF(PROGRAMA_DETALLE!P40="PAGADO",PROGRAMA_DETALLE!M40,0)</f>
        <v>0</v>
      </c>
      <c r="H240" s="95">
        <f>IF(OR(PROGRAMA_DETALLE!P40="PENDIENTE",PROGRAMA_DETALLE!P40="PARCIAL"),PROGRAMA_DETALLE!M40,0)</f>
        <v>0</v>
      </c>
      <c r="I240" s="94" t="str">
        <f>IF(PROGRAMA_DETALLE!P40="","",PROGRAMA_DETALLE!P40)</f>
        <v/>
      </c>
    </row>
    <row r="241" ht="15.75" customHeight="1">
      <c r="A241" s="87" t="s">
        <v>229</v>
      </c>
      <c r="B241" s="93" t="str">
        <f>IFERROR(VLOOKUP(PROGRAMA_DETALLE!A41,PROGRAMAS!$A$4:$B$103,2,FALSE()),"")</f>
        <v/>
      </c>
      <c r="C241" s="84" t="str">
        <f>IF(PROGRAMA_DETALLE!A41="","","Tejedora")</f>
        <v/>
      </c>
      <c r="D241" s="94" t="str">
        <f>IF(PROGRAMA_DETALLE!N41="","",PROGRAMA_DETALLE!N41)</f>
        <v/>
      </c>
      <c r="E241" s="84" t="str">
        <f>IF(PROGRAMA_DETALLE!A41="","","Tejido "&amp;PROGRAMA_DETALLE!A41&amp;" "&amp;PROGRAMA_DETALLE!B41)</f>
        <v/>
      </c>
      <c r="F241" s="95" t="str">
        <f>IF(PROGRAMA_DETALLE!M41=0,"",PROGRAMA_DETALLE!M41)</f>
        <v/>
      </c>
      <c r="G241" s="95">
        <f>IF(PROGRAMA_DETALLE!P41="PAGADO",PROGRAMA_DETALLE!M41,0)</f>
        <v>0</v>
      </c>
      <c r="H241" s="95">
        <f>IF(OR(PROGRAMA_DETALLE!P41="PENDIENTE",PROGRAMA_DETALLE!P41="PARCIAL"),PROGRAMA_DETALLE!M41,0)</f>
        <v>0</v>
      </c>
      <c r="I241" s="94" t="str">
        <f>IF(PROGRAMA_DETALLE!P41="","",PROGRAMA_DETALLE!P41)</f>
        <v/>
      </c>
    </row>
    <row r="242" ht="15.75" customHeight="1">
      <c r="A242" s="87" t="s">
        <v>229</v>
      </c>
      <c r="B242" s="93" t="str">
        <f>IFERROR(VLOOKUP(PROGRAMA_DETALLE!A42,PROGRAMAS!$A$4:$B$103,2,FALSE()),"")</f>
        <v/>
      </c>
      <c r="C242" s="84" t="str">
        <f>IF(PROGRAMA_DETALLE!A42="","","Tejedora")</f>
        <v/>
      </c>
      <c r="D242" s="94" t="str">
        <f>IF(PROGRAMA_DETALLE!N42="","",PROGRAMA_DETALLE!N42)</f>
        <v/>
      </c>
      <c r="E242" s="84" t="str">
        <f>IF(PROGRAMA_DETALLE!A42="","","Tejido "&amp;PROGRAMA_DETALLE!A42&amp;" "&amp;PROGRAMA_DETALLE!B42)</f>
        <v/>
      </c>
      <c r="F242" s="95" t="str">
        <f>IF(PROGRAMA_DETALLE!M42=0,"",PROGRAMA_DETALLE!M42)</f>
        <v/>
      </c>
      <c r="G242" s="95">
        <f>IF(PROGRAMA_DETALLE!P42="PAGADO",PROGRAMA_DETALLE!M42,0)</f>
        <v>0</v>
      </c>
      <c r="H242" s="95">
        <f>IF(OR(PROGRAMA_DETALLE!P42="PENDIENTE",PROGRAMA_DETALLE!P42="PARCIAL"),PROGRAMA_DETALLE!M42,0)</f>
        <v>0</v>
      </c>
      <c r="I242" s="94" t="str">
        <f>IF(PROGRAMA_DETALLE!P42="","",PROGRAMA_DETALLE!P42)</f>
        <v/>
      </c>
    </row>
    <row r="243" ht="15.75" customHeight="1">
      <c r="A243" s="87" t="s">
        <v>229</v>
      </c>
      <c r="B243" s="93" t="str">
        <f>IFERROR(VLOOKUP(PROGRAMA_DETALLE!A43,PROGRAMAS!$A$4:$B$103,2,FALSE()),"")</f>
        <v/>
      </c>
      <c r="C243" s="84" t="str">
        <f>IF(PROGRAMA_DETALLE!A43="","","Tejedora")</f>
        <v/>
      </c>
      <c r="D243" s="94" t="str">
        <f>IF(PROGRAMA_DETALLE!N43="","",PROGRAMA_DETALLE!N43)</f>
        <v/>
      </c>
      <c r="E243" s="84" t="str">
        <f>IF(PROGRAMA_DETALLE!A43="","","Tejido "&amp;PROGRAMA_DETALLE!A43&amp;" "&amp;PROGRAMA_DETALLE!B43)</f>
        <v/>
      </c>
      <c r="F243" s="95" t="str">
        <f>IF(PROGRAMA_DETALLE!M43=0,"",PROGRAMA_DETALLE!M43)</f>
        <v/>
      </c>
      <c r="G243" s="95">
        <f>IF(PROGRAMA_DETALLE!P43="PAGADO",PROGRAMA_DETALLE!M43,0)</f>
        <v>0</v>
      </c>
      <c r="H243" s="95">
        <f>IF(OR(PROGRAMA_DETALLE!P43="PENDIENTE",PROGRAMA_DETALLE!P43="PARCIAL"),PROGRAMA_DETALLE!M43,0)</f>
        <v>0</v>
      </c>
      <c r="I243" s="94" t="str">
        <f>IF(PROGRAMA_DETALLE!P43="","",PROGRAMA_DETALLE!P43)</f>
        <v/>
      </c>
    </row>
    <row r="244" ht="15.75" customHeight="1">
      <c r="A244" s="87" t="s">
        <v>229</v>
      </c>
      <c r="B244" s="93" t="str">
        <f>IFERROR(VLOOKUP(PROGRAMA_DETALLE!A44,PROGRAMAS!$A$4:$B$103,2,FALSE()),"")</f>
        <v/>
      </c>
      <c r="C244" s="84" t="str">
        <f>IF(PROGRAMA_DETALLE!A44="","","Tejedora")</f>
        <v/>
      </c>
      <c r="D244" s="94" t="str">
        <f>IF(PROGRAMA_DETALLE!N44="","",PROGRAMA_DETALLE!N44)</f>
        <v/>
      </c>
      <c r="E244" s="84" t="str">
        <f>IF(PROGRAMA_DETALLE!A44="","","Tejido "&amp;PROGRAMA_DETALLE!A44&amp;" "&amp;PROGRAMA_DETALLE!B44)</f>
        <v/>
      </c>
      <c r="F244" s="95" t="str">
        <f>IF(PROGRAMA_DETALLE!M44=0,"",PROGRAMA_DETALLE!M44)</f>
        <v/>
      </c>
      <c r="G244" s="95">
        <f>IF(PROGRAMA_DETALLE!P44="PAGADO",PROGRAMA_DETALLE!M44,0)</f>
        <v>0</v>
      </c>
      <c r="H244" s="95">
        <f>IF(OR(PROGRAMA_DETALLE!P44="PENDIENTE",PROGRAMA_DETALLE!P44="PARCIAL"),PROGRAMA_DETALLE!M44,0)</f>
        <v>0</v>
      </c>
      <c r="I244" s="94" t="str">
        <f>IF(PROGRAMA_DETALLE!P44="","",PROGRAMA_DETALLE!P44)</f>
        <v/>
      </c>
    </row>
    <row r="245" ht="15.75" customHeight="1">
      <c r="A245" s="87" t="s">
        <v>229</v>
      </c>
      <c r="B245" s="93" t="str">
        <f>IFERROR(VLOOKUP(PROGRAMA_DETALLE!A45,PROGRAMAS!$A$4:$B$103,2,FALSE()),"")</f>
        <v/>
      </c>
      <c r="C245" s="84" t="str">
        <f>IF(PROGRAMA_DETALLE!A45="","","Tejedora")</f>
        <v/>
      </c>
      <c r="D245" s="94" t="str">
        <f>IF(PROGRAMA_DETALLE!N45="","",PROGRAMA_DETALLE!N45)</f>
        <v/>
      </c>
      <c r="E245" s="84" t="str">
        <f>IF(PROGRAMA_DETALLE!A45="","","Tejido "&amp;PROGRAMA_DETALLE!A45&amp;" "&amp;PROGRAMA_DETALLE!B45)</f>
        <v/>
      </c>
      <c r="F245" s="95" t="str">
        <f>IF(PROGRAMA_DETALLE!M45=0,"",PROGRAMA_DETALLE!M45)</f>
        <v/>
      </c>
      <c r="G245" s="95">
        <f>IF(PROGRAMA_DETALLE!P45="PAGADO",PROGRAMA_DETALLE!M45,0)</f>
        <v>0</v>
      </c>
      <c r="H245" s="95">
        <f>IF(OR(PROGRAMA_DETALLE!P45="PENDIENTE",PROGRAMA_DETALLE!P45="PARCIAL"),PROGRAMA_DETALLE!M45,0)</f>
        <v>0</v>
      </c>
      <c r="I245" s="94" t="str">
        <f>IF(PROGRAMA_DETALLE!P45="","",PROGRAMA_DETALLE!P45)</f>
        <v/>
      </c>
    </row>
    <row r="246" ht="15.75" customHeight="1">
      <c r="A246" s="87" t="s">
        <v>229</v>
      </c>
      <c r="B246" s="93" t="str">
        <f>IFERROR(VLOOKUP(PROGRAMA_DETALLE!A46,PROGRAMAS!$A$4:$B$103,2,FALSE()),"")</f>
        <v/>
      </c>
      <c r="C246" s="84" t="str">
        <f>IF(PROGRAMA_DETALLE!A46="","","Tejedora")</f>
        <v/>
      </c>
      <c r="D246" s="94" t="str">
        <f>IF(PROGRAMA_DETALLE!N46="","",PROGRAMA_DETALLE!N46)</f>
        <v/>
      </c>
      <c r="E246" s="84" t="str">
        <f>IF(PROGRAMA_DETALLE!A46="","","Tejido "&amp;PROGRAMA_DETALLE!A46&amp;" "&amp;PROGRAMA_DETALLE!B46)</f>
        <v/>
      </c>
      <c r="F246" s="95" t="str">
        <f>IF(PROGRAMA_DETALLE!M46=0,"",PROGRAMA_DETALLE!M46)</f>
        <v/>
      </c>
      <c r="G246" s="95">
        <f>IF(PROGRAMA_DETALLE!P46="PAGADO",PROGRAMA_DETALLE!M46,0)</f>
        <v>0</v>
      </c>
      <c r="H246" s="95">
        <f>IF(OR(PROGRAMA_DETALLE!P46="PENDIENTE",PROGRAMA_DETALLE!P46="PARCIAL"),PROGRAMA_DETALLE!M46,0)</f>
        <v>0</v>
      </c>
      <c r="I246" s="94" t="str">
        <f>IF(PROGRAMA_DETALLE!P46="","",PROGRAMA_DETALLE!P46)</f>
        <v/>
      </c>
    </row>
    <row r="247" ht="15.75" customHeight="1">
      <c r="A247" s="87" t="s">
        <v>229</v>
      </c>
      <c r="B247" s="93" t="str">
        <f>IFERROR(VLOOKUP(PROGRAMA_DETALLE!A47,PROGRAMAS!$A$4:$B$103,2,FALSE()),"")</f>
        <v/>
      </c>
      <c r="C247" s="84" t="str">
        <f>IF(PROGRAMA_DETALLE!A47="","","Tejedora")</f>
        <v/>
      </c>
      <c r="D247" s="94" t="str">
        <f>IF(PROGRAMA_DETALLE!N47="","",PROGRAMA_DETALLE!N47)</f>
        <v/>
      </c>
      <c r="E247" s="84" t="str">
        <f>IF(PROGRAMA_DETALLE!A47="","","Tejido "&amp;PROGRAMA_DETALLE!A47&amp;" "&amp;PROGRAMA_DETALLE!B47)</f>
        <v/>
      </c>
      <c r="F247" s="95" t="str">
        <f>IF(PROGRAMA_DETALLE!M47=0,"",PROGRAMA_DETALLE!M47)</f>
        <v/>
      </c>
      <c r="G247" s="95">
        <f>IF(PROGRAMA_DETALLE!P47="PAGADO",PROGRAMA_DETALLE!M47,0)</f>
        <v>0</v>
      </c>
      <c r="H247" s="95">
        <f>IF(OR(PROGRAMA_DETALLE!P47="PENDIENTE",PROGRAMA_DETALLE!P47="PARCIAL"),PROGRAMA_DETALLE!M47,0)</f>
        <v>0</v>
      </c>
      <c r="I247" s="94" t="str">
        <f>IF(PROGRAMA_DETALLE!P47="","",PROGRAMA_DETALLE!P47)</f>
        <v/>
      </c>
    </row>
    <row r="248" ht="15.75" customHeight="1">
      <c r="A248" s="87" t="s">
        <v>229</v>
      </c>
      <c r="B248" s="93" t="str">
        <f>IFERROR(VLOOKUP(PROGRAMA_DETALLE!A48,PROGRAMAS!$A$4:$B$103,2,FALSE()),"")</f>
        <v/>
      </c>
      <c r="C248" s="84" t="str">
        <f>IF(PROGRAMA_DETALLE!A48="","","Tejedora")</f>
        <v/>
      </c>
      <c r="D248" s="94" t="str">
        <f>IF(PROGRAMA_DETALLE!N48="","",PROGRAMA_DETALLE!N48)</f>
        <v/>
      </c>
      <c r="E248" s="84" t="str">
        <f>IF(PROGRAMA_DETALLE!A48="","","Tejido "&amp;PROGRAMA_DETALLE!A48&amp;" "&amp;PROGRAMA_DETALLE!B48)</f>
        <v/>
      </c>
      <c r="F248" s="95" t="str">
        <f>IF(PROGRAMA_DETALLE!M48=0,"",PROGRAMA_DETALLE!M48)</f>
        <v/>
      </c>
      <c r="G248" s="95">
        <f>IF(PROGRAMA_DETALLE!P48="PAGADO",PROGRAMA_DETALLE!M48,0)</f>
        <v>0</v>
      </c>
      <c r="H248" s="95">
        <f>IF(OR(PROGRAMA_DETALLE!P48="PENDIENTE",PROGRAMA_DETALLE!P48="PARCIAL"),PROGRAMA_DETALLE!M48,0)</f>
        <v>0</v>
      </c>
      <c r="I248" s="94" t="str">
        <f>IF(PROGRAMA_DETALLE!P48="","",PROGRAMA_DETALLE!P48)</f>
        <v/>
      </c>
    </row>
    <row r="249" ht="15.75" customHeight="1">
      <c r="A249" s="87" t="s">
        <v>229</v>
      </c>
      <c r="B249" s="93" t="str">
        <f>IFERROR(VLOOKUP(PROGRAMA_DETALLE!A49,PROGRAMAS!$A$4:$B$103,2,FALSE()),"")</f>
        <v/>
      </c>
      <c r="C249" s="84" t="str">
        <f>IF(PROGRAMA_DETALLE!A49="","","Tejedora")</f>
        <v/>
      </c>
      <c r="D249" s="94" t="str">
        <f>IF(PROGRAMA_DETALLE!N49="","",PROGRAMA_DETALLE!N49)</f>
        <v/>
      </c>
      <c r="E249" s="84" t="str">
        <f>IF(PROGRAMA_DETALLE!A49="","","Tejido "&amp;PROGRAMA_DETALLE!A49&amp;" "&amp;PROGRAMA_DETALLE!B49)</f>
        <v/>
      </c>
      <c r="F249" s="95" t="str">
        <f>IF(PROGRAMA_DETALLE!M49=0,"",PROGRAMA_DETALLE!M49)</f>
        <v/>
      </c>
      <c r="G249" s="95">
        <f>IF(PROGRAMA_DETALLE!P49="PAGADO",PROGRAMA_DETALLE!M49,0)</f>
        <v>0</v>
      </c>
      <c r="H249" s="95">
        <f>IF(OR(PROGRAMA_DETALLE!P49="PENDIENTE",PROGRAMA_DETALLE!P49="PARCIAL"),PROGRAMA_DETALLE!M49,0)</f>
        <v>0</v>
      </c>
      <c r="I249" s="94" t="str">
        <f>IF(PROGRAMA_DETALLE!P49="","",PROGRAMA_DETALLE!P49)</f>
        <v/>
      </c>
    </row>
    <row r="250" ht="15.75" customHeight="1">
      <c r="A250" s="87" t="s">
        <v>229</v>
      </c>
      <c r="B250" s="93" t="str">
        <f>IFERROR(VLOOKUP(PROGRAMA_DETALLE!A50,PROGRAMAS!$A$4:$B$103,2,FALSE()),"")</f>
        <v/>
      </c>
      <c r="C250" s="84" t="str">
        <f>IF(PROGRAMA_DETALLE!A50="","","Tejedora")</f>
        <v/>
      </c>
      <c r="D250" s="94" t="str">
        <f>IF(PROGRAMA_DETALLE!N50="","",PROGRAMA_DETALLE!N50)</f>
        <v/>
      </c>
      <c r="E250" s="84" t="str">
        <f>IF(PROGRAMA_DETALLE!A50="","","Tejido "&amp;PROGRAMA_DETALLE!A50&amp;" "&amp;PROGRAMA_DETALLE!B50)</f>
        <v/>
      </c>
      <c r="F250" s="95" t="str">
        <f>IF(PROGRAMA_DETALLE!M50=0,"",PROGRAMA_DETALLE!M50)</f>
        <v/>
      </c>
      <c r="G250" s="95">
        <f>IF(PROGRAMA_DETALLE!P50="PAGADO",PROGRAMA_DETALLE!M50,0)</f>
        <v>0</v>
      </c>
      <c r="H250" s="95">
        <f>IF(OR(PROGRAMA_DETALLE!P50="PENDIENTE",PROGRAMA_DETALLE!P50="PARCIAL"),PROGRAMA_DETALLE!M50,0)</f>
        <v>0</v>
      </c>
      <c r="I250" s="94" t="str">
        <f>IF(PROGRAMA_DETALLE!P50="","",PROGRAMA_DETALLE!P50)</f>
        <v/>
      </c>
    </row>
    <row r="251" ht="15.75" customHeight="1">
      <c r="A251" s="87" t="s">
        <v>229</v>
      </c>
      <c r="B251" s="93" t="str">
        <f>IFERROR(VLOOKUP(PROGRAMA_DETALLE!A51,PROGRAMAS!$A$4:$B$103,2,FALSE()),"")</f>
        <v/>
      </c>
      <c r="C251" s="84" t="str">
        <f>IF(PROGRAMA_DETALLE!A51="","","Tejedora")</f>
        <v/>
      </c>
      <c r="D251" s="94" t="str">
        <f>IF(PROGRAMA_DETALLE!N51="","",PROGRAMA_DETALLE!N51)</f>
        <v/>
      </c>
      <c r="E251" s="84" t="str">
        <f>IF(PROGRAMA_DETALLE!A51="","","Tejido "&amp;PROGRAMA_DETALLE!A51&amp;" "&amp;PROGRAMA_DETALLE!B51)</f>
        <v/>
      </c>
      <c r="F251" s="95" t="str">
        <f>IF(PROGRAMA_DETALLE!M51=0,"",PROGRAMA_DETALLE!M51)</f>
        <v/>
      </c>
      <c r="G251" s="95">
        <f>IF(PROGRAMA_DETALLE!P51="PAGADO",PROGRAMA_DETALLE!M51,0)</f>
        <v>0</v>
      </c>
      <c r="H251" s="95">
        <f>IF(OR(PROGRAMA_DETALLE!P51="PENDIENTE",PROGRAMA_DETALLE!P51="PARCIAL"),PROGRAMA_DETALLE!M51,0)</f>
        <v>0</v>
      </c>
      <c r="I251" s="94" t="str">
        <f>IF(PROGRAMA_DETALLE!P51="","",PROGRAMA_DETALLE!P51)</f>
        <v/>
      </c>
    </row>
    <row r="252" ht="15.75" customHeight="1">
      <c r="A252" s="87" t="s">
        <v>229</v>
      </c>
      <c r="B252" s="93" t="str">
        <f>IFERROR(VLOOKUP(PROGRAMA_DETALLE!A52,PROGRAMAS!$A$4:$B$103,2,FALSE()),"")</f>
        <v/>
      </c>
      <c r="C252" s="84" t="str">
        <f>IF(PROGRAMA_DETALLE!A52="","","Tejedora")</f>
        <v/>
      </c>
      <c r="D252" s="94" t="str">
        <f>IF(PROGRAMA_DETALLE!N52="","",PROGRAMA_DETALLE!N52)</f>
        <v/>
      </c>
      <c r="E252" s="84" t="str">
        <f>IF(PROGRAMA_DETALLE!A52="","","Tejido "&amp;PROGRAMA_DETALLE!A52&amp;" "&amp;PROGRAMA_DETALLE!B52)</f>
        <v/>
      </c>
      <c r="F252" s="95" t="str">
        <f>IF(PROGRAMA_DETALLE!M52=0,"",PROGRAMA_DETALLE!M52)</f>
        <v/>
      </c>
      <c r="G252" s="95">
        <f>IF(PROGRAMA_DETALLE!P52="PAGADO",PROGRAMA_DETALLE!M52,0)</f>
        <v>0</v>
      </c>
      <c r="H252" s="95">
        <f>IF(OR(PROGRAMA_DETALLE!P52="PENDIENTE",PROGRAMA_DETALLE!P52="PARCIAL"),PROGRAMA_DETALLE!M52,0)</f>
        <v>0</v>
      </c>
      <c r="I252" s="94" t="str">
        <f>IF(PROGRAMA_DETALLE!P52="","",PROGRAMA_DETALLE!P52)</f>
        <v/>
      </c>
    </row>
    <row r="253" ht="15.75" customHeight="1">
      <c r="A253" s="87" t="s">
        <v>229</v>
      </c>
      <c r="B253" s="93" t="str">
        <f>IFERROR(VLOOKUP(PROGRAMA_DETALLE!A53,PROGRAMAS!$A$4:$B$103,2,FALSE()),"")</f>
        <v/>
      </c>
      <c r="C253" s="84" t="str">
        <f>IF(PROGRAMA_DETALLE!A53="","","Tejedora")</f>
        <v/>
      </c>
      <c r="D253" s="94" t="str">
        <f>IF(PROGRAMA_DETALLE!N53="","",PROGRAMA_DETALLE!N53)</f>
        <v/>
      </c>
      <c r="E253" s="84" t="str">
        <f>IF(PROGRAMA_DETALLE!A53="","","Tejido "&amp;PROGRAMA_DETALLE!A53&amp;" "&amp;PROGRAMA_DETALLE!B53)</f>
        <v/>
      </c>
      <c r="F253" s="95" t="str">
        <f>IF(PROGRAMA_DETALLE!M53=0,"",PROGRAMA_DETALLE!M53)</f>
        <v/>
      </c>
      <c r="G253" s="95">
        <f>IF(PROGRAMA_DETALLE!P53="PAGADO",PROGRAMA_DETALLE!M53,0)</f>
        <v>0</v>
      </c>
      <c r="H253" s="95">
        <f>IF(OR(PROGRAMA_DETALLE!P53="PENDIENTE",PROGRAMA_DETALLE!P53="PARCIAL"),PROGRAMA_DETALLE!M53,0)</f>
        <v>0</v>
      </c>
      <c r="I253" s="94" t="str">
        <f>IF(PROGRAMA_DETALLE!P53="","",PROGRAMA_DETALLE!P53)</f>
        <v/>
      </c>
    </row>
    <row r="254" ht="15.75" customHeight="1">
      <c r="A254" s="87" t="s">
        <v>229</v>
      </c>
      <c r="B254" s="93" t="str">
        <f>IFERROR(VLOOKUP(PROGRAMA_DETALLE!A54,PROGRAMAS!$A$4:$B$103,2,FALSE()),"")</f>
        <v/>
      </c>
      <c r="C254" s="84" t="str">
        <f>IF(PROGRAMA_DETALLE!A54="","","Tejedora")</f>
        <v/>
      </c>
      <c r="D254" s="94" t="str">
        <f>IF(PROGRAMA_DETALLE!N54="","",PROGRAMA_DETALLE!N54)</f>
        <v/>
      </c>
      <c r="E254" s="84" t="str">
        <f>IF(PROGRAMA_DETALLE!A54="","","Tejido "&amp;PROGRAMA_DETALLE!A54&amp;" "&amp;PROGRAMA_DETALLE!B54)</f>
        <v/>
      </c>
      <c r="F254" s="95" t="str">
        <f>IF(PROGRAMA_DETALLE!M54=0,"",PROGRAMA_DETALLE!M54)</f>
        <v/>
      </c>
      <c r="G254" s="95">
        <f>IF(PROGRAMA_DETALLE!P54="PAGADO",PROGRAMA_DETALLE!M54,0)</f>
        <v>0</v>
      </c>
      <c r="H254" s="95">
        <f>IF(OR(PROGRAMA_DETALLE!P54="PENDIENTE",PROGRAMA_DETALLE!P54="PARCIAL"),PROGRAMA_DETALLE!M54,0)</f>
        <v>0</v>
      </c>
      <c r="I254" s="94" t="str">
        <f>IF(PROGRAMA_DETALLE!P54="","",PROGRAMA_DETALLE!P54)</f>
        <v/>
      </c>
    </row>
    <row r="255" ht="15.75" customHeight="1">
      <c r="A255" s="87" t="s">
        <v>229</v>
      </c>
      <c r="B255" s="93" t="str">
        <f>IFERROR(VLOOKUP(PROGRAMA_DETALLE!A55,PROGRAMAS!$A$4:$B$103,2,FALSE()),"")</f>
        <v/>
      </c>
      <c r="C255" s="84" t="str">
        <f>IF(PROGRAMA_DETALLE!A55="","","Tejedora")</f>
        <v/>
      </c>
      <c r="D255" s="94" t="str">
        <f>IF(PROGRAMA_DETALLE!N55="","",PROGRAMA_DETALLE!N55)</f>
        <v/>
      </c>
      <c r="E255" s="84" t="str">
        <f>IF(PROGRAMA_DETALLE!A55="","","Tejido "&amp;PROGRAMA_DETALLE!A55&amp;" "&amp;PROGRAMA_DETALLE!B55)</f>
        <v/>
      </c>
      <c r="F255" s="95" t="str">
        <f>IF(PROGRAMA_DETALLE!M55=0,"",PROGRAMA_DETALLE!M55)</f>
        <v/>
      </c>
      <c r="G255" s="95">
        <f>IF(PROGRAMA_DETALLE!P55="PAGADO",PROGRAMA_DETALLE!M55,0)</f>
        <v>0</v>
      </c>
      <c r="H255" s="95">
        <f>IF(OR(PROGRAMA_DETALLE!P55="PENDIENTE",PROGRAMA_DETALLE!P55="PARCIAL"),PROGRAMA_DETALLE!M55,0)</f>
        <v>0</v>
      </c>
      <c r="I255" s="94" t="str">
        <f>IF(PROGRAMA_DETALLE!P55="","",PROGRAMA_DETALLE!P55)</f>
        <v/>
      </c>
    </row>
    <row r="256" ht="15.75" customHeight="1">
      <c r="A256" s="87" t="s">
        <v>229</v>
      </c>
      <c r="B256" s="93" t="str">
        <f>IFERROR(VLOOKUP(PROGRAMA_DETALLE!A56,PROGRAMAS!$A$4:$B$103,2,FALSE()),"")</f>
        <v/>
      </c>
      <c r="C256" s="84" t="str">
        <f>IF(PROGRAMA_DETALLE!A56="","","Tejedora")</f>
        <v/>
      </c>
      <c r="D256" s="94" t="str">
        <f>IF(PROGRAMA_DETALLE!N56="","",PROGRAMA_DETALLE!N56)</f>
        <v/>
      </c>
      <c r="E256" s="84" t="str">
        <f>IF(PROGRAMA_DETALLE!A56="","","Tejido "&amp;PROGRAMA_DETALLE!A56&amp;" "&amp;PROGRAMA_DETALLE!B56)</f>
        <v/>
      </c>
      <c r="F256" s="95" t="str">
        <f>IF(PROGRAMA_DETALLE!M56=0,"",PROGRAMA_DETALLE!M56)</f>
        <v/>
      </c>
      <c r="G256" s="95">
        <f>IF(PROGRAMA_DETALLE!P56="PAGADO",PROGRAMA_DETALLE!M56,0)</f>
        <v>0</v>
      </c>
      <c r="H256" s="95">
        <f>IF(OR(PROGRAMA_DETALLE!P56="PENDIENTE",PROGRAMA_DETALLE!P56="PARCIAL"),PROGRAMA_DETALLE!M56,0)</f>
        <v>0</v>
      </c>
      <c r="I256" s="94" t="str">
        <f>IF(PROGRAMA_DETALLE!P56="","",PROGRAMA_DETALLE!P56)</f>
        <v/>
      </c>
    </row>
    <row r="257" ht="15.75" customHeight="1">
      <c r="A257" s="87" t="s">
        <v>229</v>
      </c>
      <c r="B257" s="93" t="str">
        <f>IFERROR(VLOOKUP(PROGRAMA_DETALLE!A57,PROGRAMAS!$A$4:$B$103,2,FALSE()),"")</f>
        <v/>
      </c>
      <c r="C257" s="84" t="str">
        <f>IF(PROGRAMA_DETALLE!A57="","","Tejedora")</f>
        <v/>
      </c>
      <c r="D257" s="94" t="str">
        <f>IF(PROGRAMA_DETALLE!N57="","",PROGRAMA_DETALLE!N57)</f>
        <v/>
      </c>
      <c r="E257" s="84" t="str">
        <f>IF(PROGRAMA_DETALLE!A57="","","Tejido "&amp;PROGRAMA_DETALLE!A57&amp;" "&amp;PROGRAMA_DETALLE!B57)</f>
        <v/>
      </c>
      <c r="F257" s="95" t="str">
        <f>IF(PROGRAMA_DETALLE!M57=0,"",PROGRAMA_DETALLE!M57)</f>
        <v/>
      </c>
      <c r="G257" s="95">
        <f>IF(PROGRAMA_DETALLE!P57="PAGADO",PROGRAMA_DETALLE!M57,0)</f>
        <v>0</v>
      </c>
      <c r="H257" s="95">
        <f>IF(OR(PROGRAMA_DETALLE!P57="PENDIENTE",PROGRAMA_DETALLE!P57="PARCIAL"),PROGRAMA_DETALLE!M57,0)</f>
        <v>0</v>
      </c>
      <c r="I257" s="94" t="str">
        <f>IF(PROGRAMA_DETALLE!P57="","",PROGRAMA_DETALLE!P57)</f>
        <v/>
      </c>
    </row>
    <row r="258" ht="15.75" customHeight="1">
      <c r="A258" s="87" t="s">
        <v>229</v>
      </c>
      <c r="B258" s="93" t="str">
        <f>IFERROR(VLOOKUP(PROGRAMA_DETALLE!A58,PROGRAMAS!$A$4:$B$103,2,FALSE()),"")</f>
        <v/>
      </c>
      <c r="C258" s="84" t="str">
        <f>IF(PROGRAMA_DETALLE!A58="","","Tejedora")</f>
        <v/>
      </c>
      <c r="D258" s="94" t="str">
        <f>IF(PROGRAMA_DETALLE!N58="","",PROGRAMA_DETALLE!N58)</f>
        <v/>
      </c>
      <c r="E258" s="84" t="str">
        <f>IF(PROGRAMA_DETALLE!A58="","","Tejido "&amp;PROGRAMA_DETALLE!A58&amp;" "&amp;PROGRAMA_DETALLE!B58)</f>
        <v/>
      </c>
      <c r="F258" s="95" t="str">
        <f>IF(PROGRAMA_DETALLE!M58=0,"",PROGRAMA_DETALLE!M58)</f>
        <v/>
      </c>
      <c r="G258" s="95">
        <f>IF(PROGRAMA_DETALLE!P58="PAGADO",PROGRAMA_DETALLE!M58,0)</f>
        <v>0</v>
      </c>
      <c r="H258" s="95">
        <f>IF(OR(PROGRAMA_DETALLE!P58="PENDIENTE",PROGRAMA_DETALLE!P58="PARCIAL"),PROGRAMA_DETALLE!M58,0)</f>
        <v>0</v>
      </c>
      <c r="I258" s="94" t="str">
        <f>IF(PROGRAMA_DETALLE!P58="","",PROGRAMA_DETALLE!P58)</f>
        <v/>
      </c>
    </row>
    <row r="259" ht="15.75" customHeight="1">
      <c r="A259" s="87" t="s">
        <v>229</v>
      </c>
      <c r="B259" s="93" t="str">
        <f>IFERROR(VLOOKUP(PROGRAMA_DETALLE!A59,PROGRAMAS!$A$4:$B$103,2,FALSE()),"")</f>
        <v/>
      </c>
      <c r="C259" s="84" t="str">
        <f>IF(PROGRAMA_DETALLE!A59="","","Tejedora")</f>
        <v/>
      </c>
      <c r="D259" s="94" t="str">
        <f>IF(PROGRAMA_DETALLE!N59="","",PROGRAMA_DETALLE!N59)</f>
        <v/>
      </c>
      <c r="E259" s="84" t="str">
        <f>IF(PROGRAMA_DETALLE!A59="","","Tejido "&amp;PROGRAMA_DETALLE!A59&amp;" "&amp;PROGRAMA_DETALLE!B59)</f>
        <v/>
      </c>
      <c r="F259" s="95" t="str">
        <f>IF(PROGRAMA_DETALLE!M59=0,"",PROGRAMA_DETALLE!M59)</f>
        <v/>
      </c>
      <c r="G259" s="95">
        <f>IF(PROGRAMA_DETALLE!P59="PAGADO",PROGRAMA_DETALLE!M59,0)</f>
        <v>0</v>
      </c>
      <c r="H259" s="95">
        <f>IF(OR(PROGRAMA_DETALLE!P59="PENDIENTE",PROGRAMA_DETALLE!P59="PARCIAL"),PROGRAMA_DETALLE!M59,0)</f>
        <v>0</v>
      </c>
      <c r="I259" s="94" t="str">
        <f>IF(PROGRAMA_DETALLE!P59="","",PROGRAMA_DETALLE!P59)</f>
        <v/>
      </c>
    </row>
    <row r="260" ht="15.75" customHeight="1">
      <c r="A260" s="87" t="s">
        <v>229</v>
      </c>
      <c r="B260" s="93" t="str">
        <f>IFERROR(VLOOKUP(PROGRAMA_DETALLE!A60,PROGRAMAS!$A$4:$B$103,2,FALSE()),"")</f>
        <v/>
      </c>
      <c r="C260" s="84" t="str">
        <f>IF(PROGRAMA_DETALLE!A60="","","Tejedora")</f>
        <v/>
      </c>
      <c r="D260" s="94" t="str">
        <f>IF(PROGRAMA_DETALLE!N60="","",PROGRAMA_DETALLE!N60)</f>
        <v/>
      </c>
      <c r="E260" s="84" t="str">
        <f>IF(PROGRAMA_DETALLE!A60="","","Tejido "&amp;PROGRAMA_DETALLE!A60&amp;" "&amp;PROGRAMA_DETALLE!B60)</f>
        <v/>
      </c>
      <c r="F260" s="95" t="str">
        <f>IF(PROGRAMA_DETALLE!M60=0,"",PROGRAMA_DETALLE!M60)</f>
        <v/>
      </c>
      <c r="G260" s="95">
        <f>IF(PROGRAMA_DETALLE!P60="PAGADO",PROGRAMA_DETALLE!M60,0)</f>
        <v>0</v>
      </c>
      <c r="H260" s="95">
        <f>IF(OR(PROGRAMA_DETALLE!P60="PENDIENTE",PROGRAMA_DETALLE!P60="PARCIAL"),PROGRAMA_DETALLE!M60,0)</f>
        <v>0</v>
      </c>
      <c r="I260" s="94" t="str">
        <f>IF(PROGRAMA_DETALLE!P60="","",PROGRAMA_DETALLE!P60)</f>
        <v/>
      </c>
    </row>
    <row r="261" ht="15.75" customHeight="1">
      <c r="A261" s="87" t="s">
        <v>229</v>
      </c>
      <c r="B261" s="93" t="str">
        <f>IFERROR(VLOOKUP(PROGRAMA_DETALLE!A61,PROGRAMAS!$A$4:$B$103,2,FALSE()),"")</f>
        <v/>
      </c>
      <c r="C261" s="84" t="str">
        <f>IF(PROGRAMA_DETALLE!A61="","","Tejedora")</f>
        <v/>
      </c>
      <c r="D261" s="94" t="str">
        <f>IF(PROGRAMA_DETALLE!N61="","",PROGRAMA_DETALLE!N61)</f>
        <v/>
      </c>
      <c r="E261" s="84" t="str">
        <f>IF(PROGRAMA_DETALLE!A61="","","Tejido "&amp;PROGRAMA_DETALLE!A61&amp;" "&amp;PROGRAMA_DETALLE!B61)</f>
        <v/>
      </c>
      <c r="F261" s="95" t="str">
        <f>IF(PROGRAMA_DETALLE!M61=0,"",PROGRAMA_DETALLE!M61)</f>
        <v/>
      </c>
      <c r="G261" s="95">
        <f>IF(PROGRAMA_DETALLE!P61="PAGADO",PROGRAMA_DETALLE!M61,0)</f>
        <v>0</v>
      </c>
      <c r="H261" s="95">
        <f>IF(OR(PROGRAMA_DETALLE!P61="PENDIENTE",PROGRAMA_DETALLE!P61="PARCIAL"),PROGRAMA_DETALLE!M61,0)</f>
        <v>0</v>
      </c>
      <c r="I261" s="94" t="str">
        <f>IF(PROGRAMA_DETALLE!P61="","",PROGRAMA_DETALLE!P61)</f>
        <v/>
      </c>
    </row>
    <row r="262" ht="15.75" customHeight="1">
      <c r="A262" s="87" t="s">
        <v>229</v>
      </c>
      <c r="B262" s="93" t="str">
        <f>IFERROR(VLOOKUP(PROGRAMA_DETALLE!A62,PROGRAMAS!$A$4:$B$103,2,FALSE()),"")</f>
        <v/>
      </c>
      <c r="C262" s="84" t="str">
        <f>IF(PROGRAMA_DETALLE!A62="","","Tejedora")</f>
        <v/>
      </c>
      <c r="D262" s="94" t="str">
        <f>IF(PROGRAMA_DETALLE!N62="","",PROGRAMA_DETALLE!N62)</f>
        <v/>
      </c>
      <c r="E262" s="84" t="str">
        <f>IF(PROGRAMA_DETALLE!A62="","","Tejido "&amp;PROGRAMA_DETALLE!A62&amp;" "&amp;PROGRAMA_DETALLE!B62)</f>
        <v/>
      </c>
      <c r="F262" s="95" t="str">
        <f>IF(PROGRAMA_DETALLE!M62=0,"",PROGRAMA_DETALLE!M62)</f>
        <v/>
      </c>
      <c r="G262" s="95">
        <f>IF(PROGRAMA_DETALLE!P62="PAGADO",PROGRAMA_DETALLE!M62,0)</f>
        <v>0</v>
      </c>
      <c r="H262" s="95">
        <f>IF(OR(PROGRAMA_DETALLE!P62="PENDIENTE",PROGRAMA_DETALLE!P62="PARCIAL"),PROGRAMA_DETALLE!M62,0)</f>
        <v>0</v>
      </c>
      <c r="I262" s="94" t="str">
        <f>IF(PROGRAMA_DETALLE!P62="","",PROGRAMA_DETALLE!P62)</f>
        <v/>
      </c>
    </row>
    <row r="263" ht="15.75" customHeight="1">
      <c r="A263" s="87" t="s">
        <v>229</v>
      </c>
      <c r="B263" s="93" t="str">
        <f>IFERROR(VLOOKUP(PROGRAMA_DETALLE!A63,PROGRAMAS!$A$4:$B$103,2,FALSE()),"")</f>
        <v/>
      </c>
      <c r="C263" s="84" t="str">
        <f>IF(PROGRAMA_DETALLE!A63="","","Tejedora")</f>
        <v/>
      </c>
      <c r="D263" s="94" t="str">
        <f>IF(PROGRAMA_DETALLE!N63="","",PROGRAMA_DETALLE!N63)</f>
        <v/>
      </c>
      <c r="E263" s="84" t="str">
        <f>IF(PROGRAMA_DETALLE!A63="","","Tejido "&amp;PROGRAMA_DETALLE!A63&amp;" "&amp;PROGRAMA_DETALLE!B63)</f>
        <v/>
      </c>
      <c r="F263" s="95" t="str">
        <f>IF(PROGRAMA_DETALLE!M63=0,"",PROGRAMA_DETALLE!M63)</f>
        <v/>
      </c>
      <c r="G263" s="95">
        <f>IF(PROGRAMA_DETALLE!P63="PAGADO",PROGRAMA_DETALLE!M63,0)</f>
        <v>0</v>
      </c>
      <c r="H263" s="95">
        <f>IF(OR(PROGRAMA_DETALLE!P63="PENDIENTE",PROGRAMA_DETALLE!P63="PARCIAL"),PROGRAMA_DETALLE!M63,0)</f>
        <v>0</v>
      </c>
      <c r="I263" s="94" t="str">
        <f>IF(PROGRAMA_DETALLE!P63="","",PROGRAMA_DETALLE!P63)</f>
        <v/>
      </c>
    </row>
    <row r="264" ht="15.75" customHeight="1">
      <c r="A264" s="87" t="s">
        <v>229</v>
      </c>
      <c r="B264" s="93" t="str">
        <f>IFERROR(VLOOKUP(PROGRAMA_DETALLE!A64,PROGRAMAS!$A$4:$B$103,2,FALSE()),"")</f>
        <v/>
      </c>
      <c r="C264" s="84" t="str">
        <f>IF(PROGRAMA_DETALLE!A64="","","Tejedora")</f>
        <v/>
      </c>
      <c r="D264" s="94" t="str">
        <f>IF(PROGRAMA_DETALLE!N64="","",PROGRAMA_DETALLE!N64)</f>
        <v/>
      </c>
      <c r="E264" s="84" t="str">
        <f>IF(PROGRAMA_DETALLE!A64="","","Tejido "&amp;PROGRAMA_DETALLE!A64&amp;" "&amp;PROGRAMA_DETALLE!B64)</f>
        <v/>
      </c>
      <c r="F264" s="95" t="str">
        <f>IF(PROGRAMA_DETALLE!M64=0,"",PROGRAMA_DETALLE!M64)</f>
        <v/>
      </c>
      <c r="G264" s="95">
        <f>IF(PROGRAMA_DETALLE!P64="PAGADO",PROGRAMA_DETALLE!M64,0)</f>
        <v>0</v>
      </c>
      <c r="H264" s="95">
        <f>IF(OR(PROGRAMA_DETALLE!P64="PENDIENTE",PROGRAMA_DETALLE!P64="PARCIAL"),PROGRAMA_DETALLE!M64,0)</f>
        <v>0</v>
      </c>
      <c r="I264" s="94" t="str">
        <f>IF(PROGRAMA_DETALLE!P64="","",PROGRAMA_DETALLE!P64)</f>
        <v/>
      </c>
    </row>
    <row r="265" ht="15.75" customHeight="1">
      <c r="A265" s="87" t="s">
        <v>229</v>
      </c>
      <c r="B265" s="93" t="str">
        <f>IFERROR(VLOOKUP(PROGRAMA_DETALLE!A65,PROGRAMAS!$A$4:$B$103,2,FALSE()),"")</f>
        <v/>
      </c>
      <c r="C265" s="84" t="str">
        <f>IF(PROGRAMA_DETALLE!A65="","","Tejedora")</f>
        <v/>
      </c>
      <c r="D265" s="94" t="str">
        <f>IF(PROGRAMA_DETALLE!N65="","",PROGRAMA_DETALLE!N65)</f>
        <v/>
      </c>
      <c r="E265" s="84" t="str">
        <f>IF(PROGRAMA_DETALLE!A65="","","Tejido "&amp;PROGRAMA_DETALLE!A65&amp;" "&amp;PROGRAMA_DETALLE!B65)</f>
        <v/>
      </c>
      <c r="F265" s="95" t="str">
        <f>IF(PROGRAMA_DETALLE!M65=0,"",PROGRAMA_DETALLE!M65)</f>
        <v/>
      </c>
      <c r="G265" s="95">
        <f>IF(PROGRAMA_DETALLE!P65="PAGADO",PROGRAMA_DETALLE!M65,0)</f>
        <v>0</v>
      </c>
      <c r="H265" s="95">
        <f>IF(OR(PROGRAMA_DETALLE!P65="PENDIENTE",PROGRAMA_DETALLE!P65="PARCIAL"),PROGRAMA_DETALLE!M65,0)</f>
        <v>0</v>
      </c>
      <c r="I265" s="94" t="str">
        <f>IF(PROGRAMA_DETALLE!P65="","",PROGRAMA_DETALLE!P65)</f>
        <v/>
      </c>
    </row>
    <row r="266" ht="15.75" customHeight="1">
      <c r="A266" s="87" t="s">
        <v>229</v>
      </c>
      <c r="B266" s="93" t="str">
        <f>IFERROR(VLOOKUP(PROGRAMA_DETALLE!A66,PROGRAMAS!$A$4:$B$103,2,FALSE()),"")</f>
        <v/>
      </c>
      <c r="C266" s="84" t="str">
        <f>IF(PROGRAMA_DETALLE!A66="","","Tejedora")</f>
        <v/>
      </c>
      <c r="D266" s="94" t="str">
        <f>IF(PROGRAMA_DETALLE!N66="","",PROGRAMA_DETALLE!N66)</f>
        <v/>
      </c>
      <c r="E266" s="84" t="str">
        <f>IF(PROGRAMA_DETALLE!A66="","","Tejido "&amp;PROGRAMA_DETALLE!A66&amp;" "&amp;PROGRAMA_DETALLE!B66)</f>
        <v/>
      </c>
      <c r="F266" s="95" t="str">
        <f>IF(PROGRAMA_DETALLE!M66=0,"",PROGRAMA_DETALLE!M66)</f>
        <v/>
      </c>
      <c r="G266" s="95">
        <f>IF(PROGRAMA_DETALLE!P66="PAGADO",PROGRAMA_DETALLE!M66,0)</f>
        <v>0</v>
      </c>
      <c r="H266" s="95">
        <f>IF(OR(PROGRAMA_DETALLE!P66="PENDIENTE",PROGRAMA_DETALLE!P66="PARCIAL"),PROGRAMA_DETALLE!M66,0)</f>
        <v>0</v>
      </c>
      <c r="I266" s="94" t="str">
        <f>IF(PROGRAMA_DETALLE!P66="","",PROGRAMA_DETALLE!P66)</f>
        <v/>
      </c>
    </row>
    <row r="267" ht="15.75" customHeight="1">
      <c r="A267" s="87" t="s">
        <v>229</v>
      </c>
      <c r="B267" s="93" t="str">
        <f>IFERROR(VLOOKUP(PROGRAMA_DETALLE!A67,PROGRAMAS!$A$4:$B$103,2,FALSE()),"")</f>
        <v/>
      </c>
      <c r="C267" s="84" t="str">
        <f>IF(PROGRAMA_DETALLE!A67="","","Tejedora")</f>
        <v/>
      </c>
      <c r="D267" s="94" t="str">
        <f>IF(PROGRAMA_DETALLE!N67="","",PROGRAMA_DETALLE!N67)</f>
        <v/>
      </c>
      <c r="E267" s="84" t="str">
        <f>IF(PROGRAMA_DETALLE!A67="","","Tejido "&amp;PROGRAMA_DETALLE!A67&amp;" "&amp;PROGRAMA_DETALLE!B67)</f>
        <v/>
      </c>
      <c r="F267" s="95" t="str">
        <f>IF(PROGRAMA_DETALLE!M67=0,"",PROGRAMA_DETALLE!M67)</f>
        <v/>
      </c>
      <c r="G267" s="95">
        <f>IF(PROGRAMA_DETALLE!P67="PAGADO",PROGRAMA_DETALLE!M67,0)</f>
        <v>0</v>
      </c>
      <c r="H267" s="95">
        <f>IF(OR(PROGRAMA_DETALLE!P67="PENDIENTE",PROGRAMA_DETALLE!P67="PARCIAL"),PROGRAMA_DETALLE!M67,0)</f>
        <v>0</v>
      </c>
      <c r="I267" s="94" t="str">
        <f>IF(PROGRAMA_DETALLE!P67="","",PROGRAMA_DETALLE!P67)</f>
        <v/>
      </c>
    </row>
    <row r="268" ht="15.75" customHeight="1">
      <c r="A268" s="87" t="s">
        <v>229</v>
      </c>
      <c r="B268" s="93" t="str">
        <f>IFERROR(VLOOKUP(PROGRAMA_DETALLE!A68,PROGRAMAS!$A$4:$B$103,2,FALSE()),"")</f>
        <v/>
      </c>
      <c r="C268" s="84" t="str">
        <f>IF(PROGRAMA_DETALLE!A68="","","Tejedora")</f>
        <v/>
      </c>
      <c r="D268" s="94" t="str">
        <f>IF(PROGRAMA_DETALLE!N68="","",PROGRAMA_DETALLE!N68)</f>
        <v/>
      </c>
      <c r="E268" s="84" t="str">
        <f>IF(PROGRAMA_DETALLE!A68="","","Tejido "&amp;PROGRAMA_DETALLE!A68&amp;" "&amp;PROGRAMA_DETALLE!B68)</f>
        <v/>
      </c>
      <c r="F268" s="95" t="str">
        <f>IF(PROGRAMA_DETALLE!M68=0,"",PROGRAMA_DETALLE!M68)</f>
        <v/>
      </c>
      <c r="G268" s="95">
        <f>IF(PROGRAMA_DETALLE!P68="PAGADO",PROGRAMA_DETALLE!M68,0)</f>
        <v>0</v>
      </c>
      <c r="H268" s="95">
        <f>IF(OR(PROGRAMA_DETALLE!P68="PENDIENTE",PROGRAMA_DETALLE!P68="PARCIAL"),PROGRAMA_DETALLE!M68,0)</f>
        <v>0</v>
      </c>
      <c r="I268" s="94" t="str">
        <f>IF(PROGRAMA_DETALLE!P68="","",PROGRAMA_DETALLE!P68)</f>
        <v/>
      </c>
    </row>
    <row r="269" ht="15.75" customHeight="1">
      <c r="A269" s="87" t="s">
        <v>229</v>
      </c>
      <c r="B269" s="93" t="str">
        <f>IFERROR(VLOOKUP(PROGRAMA_DETALLE!A69,PROGRAMAS!$A$4:$B$103,2,FALSE()),"")</f>
        <v/>
      </c>
      <c r="C269" s="84" t="str">
        <f>IF(PROGRAMA_DETALLE!A69="","","Tejedora")</f>
        <v/>
      </c>
      <c r="D269" s="94" t="str">
        <f>IF(PROGRAMA_DETALLE!N69="","",PROGRAMA_DETALLE!N69)</f>
        <v/>
      </c>
      <c r="E269" s="84" t="str">
        <f>IF(PROGRAMA_DETALLE!A69="","","Tejido "&amp;PROGRAMA_DETALLE!A69&amp;" "&amp;PROGRAMA_DETALLE!B69)</f>
        <v/>
      </c>
      <c r="F269" s="95" t="str">
        <f>IF(PROGRAMA_DETALLE!M69=0,"",PROGRAMA_DETALLE!M69)</f>
        <v/>
      </c>
      <c r="G269" s="95">
        <f>IF(PROGRAMA_DETALLE!P69="PAGADO",PROGRAMA_DETALLE!M69,0)</f>
        <v>0</v>
      </c>
      <c r="H269" s="95">
        <f>IF(OR(PROGRAMA_DETALLE!P69="PENDIENTE",PROGRAMA_DETALLE!P69="PARCIAL"),PROGRAMA_DETALLE!M69,0)</f>
        <v>0</v>
      </c>
      <c r="I269" s="94" t="str">
        <f>IF(PROGRAMA_DETALLE!P69="","",PROGRAMA_DETALLE!P69)</f>
        <v/>
      </c>
    </row>
    <row r="270" ht="15.75" customHeight="1">
      <c r="A270" s="87" t="s">
        <v>229</v>
      </c>
      <c r="B270" s="93" t="str">
        <f>IFERROR(VLOOKUP(PROGRAMA_DETALLE!A70,PROGRAMAS!$A$4:$B$103,2,FALSE()),"")</f>
        <v/>
      </c>
      <c r="C270" s="84" t="str">
        <f>IF(PROGRAMA_DETALLE!A70="","","Tejedora")</f>
        <v/>
      </c>
      <c r="D270" s="94" t="str">
        <f>IF(PROGRAMA_DETALLE!N70="","",PROGRAMA_DETALLE!N70)</f>
        <v/>
      </c>
      <c r="E270" s="84" t="str">
        <f>IF(PROGRAMA_DETALLE!A70="","","Tejido "&amp;PROGRAMA_DETALLE!A70&amp;" "&amp;PROGRAMA_DETALLE!B70)</f>
        <v/>
      </c>
      <c r="F270" s="95" t="str">
        <f>IF(PROGRAMA_DETALLE!M70=0,"",PROGRAMA_DETALLE!M70)</f>
        <v/>
      </c>
      <c r="G270" s="95">
        <f>IF(PROGRAMA_DETALLE!P70="PAGADO",PROGRAMA_DETALLE!M70,0)</f>
        <v>0</v>
      </c>
      <c r="H270" s="95">
        <f>IF(OR(PROGRAMA_DETALLE!P70="PENDIENTE",PROGRAMA_DETALLE!P70="PARCIAL"),PROGRAMA_DETALLE!M70,0)</f>
        <v>0</v>
      </c>
      <c r="I270" s="94" t="str">
        <f>IF(PROGRAMA_DETALLE!P70="","",PROGRAMA_DETALLE!P70)</f>
        <v/>
      </c>
    </row>
    <row r="271" ht="15.75" customHeight="1">
      <c r="A271" s="87" t="s">
        <v>229</v>
      </c>
      <c r="B271" s="93" t="str">
        <f>IFERROR(VLOOKUP(PROGRAMA_DETALLE!A71,PROGRAMAS!$A$4:$B$103,2,FALSE()),"")</f>
        <v/>
      </c>
      <c r="C271" s="84" t="str">
        <f>IF(PROGRAMA_DETALLE!A71="","","Tejedora")</f>
        <v/>
      </c>
      <c r="D271" s="94" t="str">
        <f>IF(PROGRAMA_DETALLE!N71="","",PROGRAMA_DETALLE!N71)</f>
        <v/>
      </c>
      <c r="E271" s="84" t="str">
        <f>IF(PROGRAMA_DETALLE!A71="","","Tejido "&amp;PROGRAMA_DETALLE!A71&amp;" "&amp;PROGRAMA_DETALLE!B71)</f>
        <v/>
      </c>
      <c r="F271" s="95" t="str">
        <f>IF(PROGRAMA_DETALLE!M71=0,"",PROGRAMA_DETALLE!M71)</f>
        <v/>
      </c>
      <c r="G271" s="95">
        <f>IF(PROGRAMA_DETALLE!P71="PAGADO",PROGRAMA_DETALLE!M71,0)</f>
        <v>0</v>
      </c>
      <c r="H271" s="95">
        <f>IF(OR(PROGRAMA_DETALLE!P71="PENDIENTE",PROGRAMA_DETALLE!P71="PARCIAL"),PROGRAMA_DETALLE!M71,0)</f>
        <v>0</v>
      </c>
      <c r="I271" s="94" t="str">
        <f>IF(PROGRAMA_DETALLE!P71="","",PROGRAMA_DETALLE!P71)</f>
        <v/>
      </c>
    </row>
    <row r="272" ht="15.75" customHeight="1">
      <c r="A272" s="87" t="s">
        <v>229</v>
      </c>
      <c r="B272" s="93" t="str">
        <f>IFERROR(VLOOKUP(PROGRAMA_DETALLE!A72,PROGRAMAS!$A$4:$B$103,2,FALSE()),"")</f>
        <v/>
      </c>
      <c r="C272" s="84" t="str">
        <f>IF(PROGRAMA_DETALLE!A72="","","Tejedora")</f>
        <v/>
      </c>
      <c r="D272" s="94" t="str">
        <f>IF(PROGRAMA_DETALLE!N72="","",PROGRAMA_DETALLE!N72)</f>
        <v/>
      </c>
      <c r="E272" s="84" t="str">
        <f>IF(PROGRAMA_DETALLE!A72="","","Tejido "&amp;PROGRAMA_DETALLE!A72&amp;" "&amp;PROGRAMA_DETALLE!B72)</f>
        <v/>
      </c>
      <c r="F272" s="95" t="str">
        <f>IF(PROGRAMA_DETALLE!M72=0,"",PROGRAMA_DETALLE!M72)</f>
        <v/>
      </c>
      <c r="G272" s="95">
        <f>IF(PROGRAMA_DETALLE!P72="PAGADO",PROGRAMA_DETALLE!M72,0)</f>
        <v>0</v>
      </c>
      <c r="H272" s="95">
        <f>IF(OR(PROGRAMA_DETALLE!P72="PENDIENTE",PROGRAMA_DETALLE!P72="PARCIAL"),PROGRAMA_DETALLE!M72,0)</f>
        <v>0</v>
      </c>
      <c r="I272" s="94" t="str">
        <f>IF(PROGRAMA_DETALLE!P72="","",PROGRAMA_DETALLE!P72)</f>
        <v/>
      </c>
    </row>
    <row r="273" ht="15.75" customHeight="1">
      <c r="A273" s="87" t="s">
        <v>229</v>
      </c>
      <c r="B273" s="93" t="str">
        <f>IFERROR(VLOOKUP(PROGRAMA_DETALLE!A73,PROGRAMAS!$A$4:$B$103,2,FALSE()),"")</f>
        <v/>
      </c>
      <c r="C273" s="84" t="str">
        <f>IF(PROGRAMA_DETALLE!A73="","","Tejedora")</f>
        <v/>
      </c>
      <c r="D273" s="94" t="str">
        <f>IF(PROGRAMA_DETALLE!N73="","",PROGRAMA_DETALLE!N73)</f>
        <v/>
      </c>
      <c r="E273" s="84" t="str">
        <f>IF(PROGRAMA_DETALLE!A73="","","Tejido "&amp;PROGRAMA_DETALLE!A73&amp;" "&amp;PROGRAMA_DETALLE!B73)</f>
        <v/>
      </c>
      <c r="F273" s="95" t="str">
        <f>IF(PROGRAMA_DETALLE!M73=0,"",PROGRAMA_DETALLE!M73)</f>
        <v/>
      </c>
      <c r="G273" s="95">
        <f>IF(PROGRAMA_DETALLE!P73="PAGADO",PROGRAMA_DETALLE!M73,0)</f>
        <v>0</v>
      </c>
      <c r="H273" s="95">
        <f>IF(OR(PROGRAMA_DETALLE!P73="PENDIENTE",PROGRAMA_DETALLE!P73="PARCIAL"),PROGRAMA_DETALLE!M73,0)</f>
        <v>0</v>
      </c>
      <c r="I273" s="94" t="str">
        <f>IF(PROGRAMA_DETALLE!P73="","",PROGRAMA_DETALLE!P73)</f>
        <v/>
      </c>
    </row>
    <row r="274" ht="15.75" customHeight="1">
      <c r="A274" s="87" t="s">
        <v>229</v>
      </c>
      <c r="B274" s="93" t="str">
        <f>IFERROR(VLOOKUP(PROGRAMA_DETALLE!A74,PROGRAMAS!$A$4:$B$103,2,FALSE()),"")</f>
        <v/>
      </c>
      <c r="C274" s="84" t="str">
        <f>IF(PROGRAMA_DETALLE!A74="","","Tejedora")</f>
        <v/>
      </c>
      <c r="D274" s="94" t="str">
        <f>IF(PROGRAMA_DETALLE!N74="","",PROGRAMA_DETALLE!N74)</f>
        <v/>
      </c>
      <c r="E274" s="84" t="str">
        <f>IF(PROGRAMA_DETALLE!A74="","","Tejido "&amp;PROGRAMA_DETALLE!A74&amp;" "&amp;PROGRAMA_DETALLE!B74)</f>
        <v/>
      </c>
      <c r="F274" s="95" t="str">
        <f>IF(PROGRAMA_DETALLE!M74=0,"",PROGRAMA_DETALLE!M74)</f>
        <v/>
      </c>
      <c r="G274" s="95">
        <f>IF(PROGRAMA_DETALLE!P74="PAGADO",PROGRAMA_DETALLE!M74,0)</f>
        <v>0</v>
      </c>
      <c r="H274" s="95">
        <f>IF(OR(PROGRAMA_DETALLE!P74="PENDIENTE",PROGRAMA_DETALLE!P74="PARCIAL"),PROGRAMA_DETALLE!M74,0)</f>
        <v>0</v>
      </c>
      <c r="I274" s="94" t="str">
        <f>IF(PROGRAMA_DETALLE!P74="","",PROGRAMA_DETALLE!P74)</f>
        <v/>
      </c>
    </row>
    <row r="275" ht="15.75" customHeight="1">
      <c r="A275" s="87" t="s">
        <v>229</v>
      </c>
      <c r="B275" s="93" t="str">
        <f>IFERROR(VLOOKUP(PROGRAMA_DETALLE!A75,PROGRAMAS!$A$4:$B$103,2,FALSE()),"")</f>
        <v/>
      </c>
      <c r="C275" s="84" t="str">
        <f>IF(PROGRAMA_DETALLE!A75="","","Tejedora")</f>
        <v/>
      </c>
      <c r="D275" s="94" t="str">
        <f>IF(PROGRAMA_DETALLE!N75="","",PROGRAMA_DETALLE!N75)</f>
        <v/>
      </c>
      <c r="E275" s="84" t="str">
        <f>IF(PROGRAMA_DETALLE!A75="","","Tejido "&amp;PROGRAMA_DETALLE!A75&amp;" "&amp;PROGRAMA_DETALLE!B75)</f>
        <v/>
      </c>
      <c r="F275" s="95" t="str">
        <f>IF(PROGRAMA_DETALLE!M75=0,"",PROGRAMA_DETALLE!M75)</f>
        <v/>
      </c>
      <c r="G275" s="95">
        <f>IF(PROGRAMA_DETALLE!P75="PAGADO",PROGRAMA_DETALLE!M75,0)</f>
        <v>0</v>
      </c>
      <c r="H275" s="95">
        <f>IF(OR(PROGRAMA_DETALLE!P75="PENDIENTE",PROGRAMA_DETALLE!P75="PARCIAL"),PROGRAMA_DETALLE!M75,0)</f>
        <v>0</v>
      </c>
      <c r="I275" s="94" t="str">
        <f>IF(PROGRAMA_DETALLE!P75="","",PROGRAMA_DETALLE!P75)</f>
        <v/>
      </c>
    </row>
    <row r="276" ht="15.75" customHeight="1">
      <c r="A276" s="87" t="s">
        <v>229</v>
      </c>
      <c r="B276" s="93" t="str">
        <f>IFERROR(VLOOKUP(PROGRAMA_DETALLE!A76,PROGRAMAS!$A$4:$B$103,2,FALSE()),"")</f>
        <v/>
      </c>
      <c r="C276" s="84" t="str">
        <f>IF(PROGRAMA_DETALLE!A76="","","Tejedora")</f>
        <v/>
      </c>
      <c r="D276" s="94" t="str">
        <f>IF(PROGRAMA_DETALLE!N76="","",PROGRAMA_DETALLE!N76)</f>
        <v/>
      </c>
      <c r="E276" s="84" t="str">
        <f>IF(PROGRAMA_DETALLE!A76="","","Tejido "&amp;PROGRAMA_DETALLE!A76&amp;" "&amp;PROGRAMA_DETALLE!B76)</f>
        <v/>
      </c>
      <c r="F276" s="95" t="str">
        <f>IF(PROGRAMA_DETALLE!M76=0,"",PROGRAMA_DETALLE!M76)</f>
        <v/>
      </c>
      <c r="G276" s="95">
        <f>IF(PROGRAMA_DETALLE!P76="PAGADO",PROGRAMA_DETALLE!M76,0)</f>
        <v>0</v>
      </c>
      <c r="H276" s="95">
        <f>IF(OR(PROGRAMA_DETALLE!P76="PENDIENTE",PROGRAMA_DETALLE!P76="PARCIAL"),PROGRAMA_DETALLE!M76,0)</f>
        <v>0</v>
      </c>
      <c r="I276" s="94" t="str">
        <f>IF(PROGRAMA_DETALLE!P76="","",PROGRAMA_DETALLE!P76)</f>
        <v/>
      </c>
    </row>
    <row r="277" ht="15.75" customHeight="1">
      <c r="A277" s="87" t="s">
        <v>229</v>
      </c>
      <c r="B277" s="93" t="str">
        <f>IFERROR(VLOOKUP(PROGRAMA_DETALLE!A77,PROGRAMAS!$A$4:$B$103,2,FALSE()),"")</f>
        <v/>
      </c>
      <c r="C277" s="84" t="str">
        <f>IF(PROGRAMA_DETALLE!A77="","","Tejedora")</f>
        <v/>
      </c>
      <c r="D277" s="94" t="str">
        <f>IF(PROGRAMA_DETALLE!N77="","",PROGRAMA_DETALLE!N77)</f>
        <v/>
      </c>
      <c r="E277" s="84" t="str">
        <f>IF(PROGRAMA_DETALLE!A77="","","Tejido "&amp;PROGRAMA_DETALLE!A77&amp;" "&amp;PROGRAMA_DETALLE!B77)</f>
        <v/>
      </c>
      <c r="F277" s="95" t="str">
        <f>IF(PROGRAMA_DETALLE!M77=0,"",PROGRAMA_DETALLE!M77)</f>
        <v/>
      </c>
      <c r="G277" s="95">
        <f>IF(PROGRAMA_DETALLE!P77="PAGADO",PROGRAMA_DETALLE!M77,0)</f>
        <v>0</v>
      </c>
      <c r="H277" s="95">
        <f>IF(OR(PROGRAMA_DETALLE!P77="PENDIENTE",PROGRAMA_DETALLE!P77="PARCIAL"),PROGRAMA_DETALLE!M77,0)</f>
        <v>0</v>
      </c>
      <c r="I277" s="94" t="str">
        <f>IF(PROGRAMA_DETALLE!P77="","",PROGRAMA_DETALLE!P77)</f>
        <v/>
      </c>
    </row>
    <row r="278" ht="15.75" customHeight="1">
      <c r="A278" s="87" t="s">
        <v>229</v>
      </c>
      <c r="B278" s="93" t="str">
        <f>IFERROR(VLOOKUP(PROGRAMA_DETALLE!A78,PROGRAMAS!$A$4:$B$103,2,FALSE()),"")</f>
        <v/>
      </c>
      <c r="C278" s="84" t="str">
        <f>IF(PROGRAMA_DETALLE!A78="","","Tejedora")</f>
        <v/>
      </c>
      <c r="D278" s="94" t="str">
        <f>IF(PROGRAMA_DETALLE!N78="","",PROGRAMA_DETALLE!N78)</f>
        <v/>
      </c>
      <c r="E278" s="84" t="str">
        <f>IF(PROGRAMA_DETALLE!A78="","","Tejido "&amp;PROGRAMA_DETALLE!A78&amp;" "&amp;PROGRAMA_DETALLE!B78)</f>
        <v/>
      </c>
      <c r="F278" s="95" t="str">
        <f>IF(PROGRAMA_DETALLE!M78=0,"",PROGRAMA_DETALLE!M78)</f>
        <v/>
      </c>
      <c r="G278" s="95">
        <f>IF(PROGRAMA_DETALLE!P78="PAGADO",PROGRAMA_DETALLE!M78,0)</f>
        <v>0</v>
      </c>
      <c r="H278" s="95">
        <f>IF(OR(PROGRAMA_DETALLE!P78="PENDIENTE",PROGRAMA_DETALLE!P78="PARCIAL"),PROGRAMA_DETALLE!M78,0)</f>
        <v>0</v>
      </c>
      <c r="I278" s="94" t="str">
        <f>IF(PROGRAMA_DETALLE!P78="","",PROGRAMA_DETALLE!P78)</f>
        <v/>
      </c>
    </row>
    <row r="279" ht="15.75" customHeight="1">
      <c r="A279" s="87" t="s">
        <v>229</v>
      </c>
      <c r="B279" s="93" t="str">
        <f>IFERROR(VLOOKUP(PROGRAMA_DETALLE!A79,PROGRAMAS!$A$4:$B$103,2,FALSE()),"")</f>
        <v/>
      </c>
      <c r="C279" s="84" t="str">
        <f>IF(PROGRAMA_DETALLE!A79="","","Tejedora")</f>
        <v/>
      </c>
      <c r="D279" s="94" t="str">
        <f>IF(PROGRAMA_DETALLE!N79="","",PROGRAMA_DETALLE!N79)</f>
        <v/>
      </c>
      <c r="E279" s="84" t="str">
        <f>IF(PROGRAMA_DETALLE!A79="","","Tejido "&amp;PROGRAMA_DETALLE!A79&amp;" "&amp;PROGRAMA_DETALLE!B79)</f>
        <v/>
      </c>
      <c r="F279" s="95" t="str">
        <f>IF(PROGRAMA_DETALLE!M79=0,"",PROGRAMA_DETALLE!M79)</f>
        <v/>
      </c>
      <c r="G279" s="95">
        <f>IF(PROGRAMA_DETALLE!P79="PAGADO",PROGRAMA_DETALLE!M79,0)</f>
        <v>0</v>
      </c>
      <c r="H279" s="95">
        <f>IF(OR(PROGRAMA_DETALLE!P79="PENDIENTE",PROGRAMA_DETALLE!P79="PARCIAL"),PROGRAMA_DETALLE!M79,0)</f>
        <v>0</v>
      </c>
      <c r="I279" s="94" t="str">
        <f>IF(PROGRAMA_DETALLE!P79="","",PROGRAMA_DETALLE!P79)</f>
        <v/>
      </c>
    </row>
    <row r="280" ht="15.75" customHeight="1">
      <c r="A280" s="87" t="s">
        <v>229</v>
      </c>
      <c r="B280" s="93" t="str">
        <f>IFERROR(VLOOKUP(PROGRAMA_DETALLE!A80,PROGRAMAS!$A$4:$B$103,2,FALSE()),"")</f>
        <v/>
      </c>
      <c r="C280" s="84" t="str">
        <f>IF(PROGRAMA_DETALLE!A80="","","Tejedora")</f>
        <v/>
      </c>
      <c r="D280" s="94" t="str">
        <f>IF(PROGRAMA_DETALLE!N80="","",PROGRAMA_DETALLE!N80)</f>
        <v/>
      </c>
      <c r="E280" s="84" t="str">
        <f>IF(PROGRAMA_DETALLE!A80="","","Tejido "&amp;PROGRAMA_DETALLE!A80&amp;" "&amp;PROGRAMA_DETALLE!B80)</f>
        <v/>
      </c>
      <c r="F280" s="95" t="str">
        <f>IF(PROGRAMA_DETALLE!M80=0,"",PROGRAMA_DETALLE!M80)</f>
        <v/>
      </c>
      <c r="G280" s="95">
        <f>IF(PROGRAMA_DETALLE!P80="PAGADO",PROGRAMA_DETALLE!M80,0)</f>
        <v>0</v>
      </c>
      <c r="H280" s="95">
        <f>IF(OR(PROGRAMA_DETALLE!P80="PENDIENTE",PROGRAMA_DETALLE!P80="PARCIAL"),PROGRAMA_DETALLE!M80,0)</f>
        <v>0</v>
      </c>
      <c r="I280" s="94" t="str">
        <f>IF(PROGRAMA_DETALLE!P80="","",PROGRAMA_DETALLE!P80)</f>
        <v/>
      </c>
    </row>
    <row r="281" ht="15.75" customHeight="1">
      <c r="A281" s="87" t="s">
        <v>229</v>
      </c>
      <c r="B281" s="93" t="str">
        <f>IFERROR(VLOOKUP(PROGRAMA_DETALLE!A81,PROGRAMAS!$A$4:$B$103,2,FALSE()),"")</f>
        <v/>
      </c>
      <c r="C281" s="84" t="str">
        <f>IF(PROGRAMA_DETALLE!A81="","","Tejedora")</f>
        <v/>
      </c>
      <c r="D281" s="94" t="str">
        <f>IF(PROGRAMA_DETALLE!N81="","",PROGRAMA_DETALLE!N81)</f>
        <v/>
      </c>
      <c r="E281" s="84" t="str">
        <f>IF(PROGRAMA_DETALLE!A81="","","Tejido "&amp;PROGRAMA_DETALLE!A81&amp;" "&amp;PROGRAMA_DETALLE!B81)</f>
        <v/>
      </c>
      <c r="F281" s="95" t="str">
        <f>IF(PROGRAMA_DETALLE!M81=0,"",PROGRAMA_DETALLE!M81)</f>
        <v/>
      </c>
      <c r="G281" s="95">
        <f>IF(PROGRAMA_DETALLE!P81="PAGADO",PROGRAMA_DETALLE!M81,0)</f>
        <v>0</v>
      </c>
      <c r="H281" s="95">
        <f>IF(OR(PROGRAMA_DETALLE!P81="PENDIENTE",PROGRAMA_DETALLE!P81="PARCIAL"),PROGRAMA_DETALLE!M81,0)</f>
        <v>0</v>
      </c>
      <c r="I281" s="94" t="str">
        <f>IF(PROGRAMA_DETALLE!P81="","",PROGRAMA_DETALLE!P81)</f>
        <v/>
      </c>
    </row>
    <row r="282" ht="15.75" customHeight="1">
      <c r="A282" s="87" t="s">
        <v>229</v>
      </c>
      <c r="B282" s="93" t="str">
        <f>IFERROR(VLOOKUP(PROGRAMA_DETALLE!A82,PROGRAMAS!$A$4:$B$103,2,FALSE()),"")</f>
        <v/>
      </c>
      <c r="C282" s="84" t="str">
        <f>IF(PROGRAMA_DETALLE!A82="","","Tejedora")</f>
        <v/>
      </c>
      <c r="D282" s="94" t="str">
        <f>IF(PROGRAMA_DETALLE!N82="","",PROGRAMA_DETALLE!N82)</f>
        <v/>
      </c>
      <c r="E282" s="84" t="str">
        <f>IF(PROGRAMA_DETALLE!A82="","","Tejido "&amp;PROGRAMA_DETALLE!A82&amp;" "&amp;PROGRAMA_DETALLE!B82)</f>
        <v/>
      </c>
      <c r="F282" s="95" t="str">
        <f>IF(PROGRAMA_DETALLE!M82=0,"",PROGRAMA_DETALLE!M82)</f>
        <v/>
      </c>
      <c r="G282" s="95">
        <f>IF(PROGRAMA_DETALLE!P82="PAGADO",PROGRAMA_DETALLE!M82,0)</f>
        <v>0</v>
      </c>
      <c r="H282" s="95">
        <f>IF(OR(PROGRAMA_DETALLE!P82="PENDIENTE",PROGRAMA_DETALLE!P82="PARCIAL"),PROGRAMA_DETALLE!M82,0)</f>
        <v>0</v>
      </c>
      <c r="I282" s="94" t="str">
        <f>IF(PROGRAMA_DETALLE!P82="","",PROGRAMA_DETALLE!P82)</f>
        <v/>
      </c>
    </row>
    <row r="283" ht="15.75" customHeight="1">
      <c r="A283" s="87" t="s">
        <v>229</v>
      </c>
      <c r="B283" s="93" t="str">
        <f>IFERROR(VLOOKUP(PROGRAMA_DETALLE!A83,PROGRAMAS!$A$4:$B$103,2,FALSE()),"")</f>
        <v/>
      </c>
      <c r="C283" s="84" t="str">
        <f>IF(PROGRAMA_DETALLE!A83="","","Tejedora")</f>
        <v/>
      </c>
      <c r="D283" s="94" t="str">
        <f>IF(PROGRAMA_DETALLE!N83="","",PROGRAMA_DETALLE!N83)</f>
        <v/>
      </c>
      <c r="E283" s="84" t="str">
        <f>IF(PROGRAMA_DETALLE!A83="","","Tejido "&amp;PROGRAMA_DETALLE!A83&amp;" "&amp;PROGRAMA_DETALLE!B83)</f>
        <v/>
      </c>
      <c r="F283" s="95" t="str">
        <f>IF(PROGRAMA_DETALLE!M83=0,"",PROGRAMA_DETALLE!M83)</f>
        <v/>
      </c>
      <c r="G283" s="95">
        <f>IF(PROGRAMA_DETALLE!P83="PAGADO",PROGRAMA_DETALLE!M83,0)</f>
        <v>0</v>
      </c>
      <c r="H283" s="95">
        <f>IF(OR(PROGRAMA_DETALLE!P83="PENDIENTE",PROGRAMA_DETALLE!P83="PARCIAL"),PROGRAMA_DETALLE!M83,0)</f>
        <v>0</v>
      </c>
      <c r="I283" s="94" t="str">
        <f>IF(PROGRAMA_DETALLE!P83="","",PROGRAMA_DETALLE!P83)</f>
        <v/>
      </c>
    </row>
    <row r="284" ht="15.75" customHeight="1">
      <c r="A284" s="87" t="s">
        <v>229</v>
      </c>
      <c r="B284" s="93" t="str">
        <f>IFERROR(VLOOKUP(PROGRAMA_DETALLE!A84,PROGRAMAS!$A$4:$B$103,2,FALSE()),"")</f>
        <v/>
      </c>
      <c r="C284" s="84" t="str">
        <f>IF(PROGRAMA_DETALLE!A84="","","Tejedora")</f>
        <v/>
      </c>
      <c r="D284" s="94" t="str">
        <f>IF(PROGRAMA_DETALLE!N84="","",PROGRAMA_DETALLE!N84)</f>
        <v/>
      </c>
      <c r="E284" s="84" t="str">
        <f>IF(PROGRAMA_DETALLE!A84="","","Tejido "&amp;PROGRAMA_DETALLE!A84&amp;" "&amp;PROGRAMA_DETALLE!B84)</f>
        <v/>
      </c>
      <c r="F284" s="95" t="str">
        <f>IF(PROGRAMA_DETALLE!M84=0,"",PROGRAMA_DETALLE!M84)</f>
        <v/>
      </c>
      <c r="G284" s="95">
        <f>IF(PROGRAMA_DETALLE!P84="PAGADO",PROGRAMA_DETALLE!M84,0)</f>
        <v>0</v>
      </c>
      <c r="H284" s="95">
        <f>IF(OR(PROGRAMA_DETALLE!P84="PENDIENTE",PROGRAMA_DETALLE!P84="PARCIAL"),PROGRAMA_DETALLE!M84,0)</f>
        <v>0</v>
      </c>
      <c r="I284" s="94" t="str">
        <f>IF(PROGRAMA_DETALLE!P84="","",PROGRAMA_DETALLE!P84)</f>
        <v/>
      </c>
    </row>
    <row r="285" ht="15.75" customHeight="1">
      <c r="A285" s="87" t="s">
        <v>229</v>
      </c>
      <c r="B285" s="93" t="str">
        <f>IFERROR(VLOOKUP(PROGRAMA_DETALLE!A85,PROGRAMAS!$A$4:$B$103,2,FALSE()),"")</f>
        <v/>
      </c>
      <c r="C285" s="84" t="str">
        <f>IF(PROGRAMA_DETALLE!A85="","","Tejedora")</f>
        <v/>
      </c>
      <c r="D285" s="94" t="str">
        <f>IF(PROGRAMA_DETALLE!N85="","",PROGRAMA_DETALLE!N85)</f>
        <v/>
      </c>
      <c r="E285" s="84" t="str">
        <f>IF(PROGRAMA_DETALLE!A85="","","Tejido "&amp;PROGRAMA_DETALLE!A85&amp;" "&amp;PROGRAMA_DETALLE!B85)</f>
        <v/>
      </c>
      <c r="F285" s="95" t="str">
        <f>IF(PROGRAMA_DETALLE!M85=0,"",PROGRAMA_DETALLE!M85)</f>
        <v/>
      </c>
      <c r="G285" s="95">
        <f>IF(PROGRAMA_DETALLE!P85="PAGADO",PROGRAMA_DETALLE!M85,0)</f>
        <v>0</v>
      </c>
      <c r="H285" s="95">
        <f>IF(OR(PROGRAMA_DETALLE!P85="PENDIENTE",PROGRAMA_DETALLE!P85="PARCIAL"),PROGRAMA_DETALLE!M85,0)</f>
        <v>0</v>
      </c>
      <c r="I285" s="94" t="str">
        <f>IF(PROGRAMA_DETALLE!P85="","",PROGRAMA_DETALLE!P85)</f>
        <v/>
      </c>
    </row>
    <row r="286" ht="15.75" customHeight="1">
      <c r="A286" s="87" t="s">
        <v>229</v>
      </c>
      <c r="B286" s="93" t="str">
        <f>IFERROR(VLOOKUP(PROGRAMA_DETALLE!A86,PROGRAMAS!$A$4:$B$103,2,FALSE()),"")</f>
        <v/>
      </c>
      <c r="C286" s="84" t="str">
        <f>IF(PROGRAMA_DETALLE!A86="","","Tejedora")</f>
        <v/>
      </c>
      <c r="D286" s="94" t="str">
        <f>IF(PROGRAMA_DETALLE!N86="","",PROGRAMA_DETALLE!N86)</f>
        <v/>
      </c>
      <c r="E286" s="84" t="str">
        <f>IF(PROGRAMA_DETALLE!A86="","","Tejido "&amp;PROGRAMA_DETALLE!A86&amp;" "&amp;PROGRAMA_DETALLE!B86)</f>
        <v/>
      </c>
      <c r="F286" s="95" t="str">
        <f>IF(PROGRAMA_DETALLE!M86=0,"",PROGRAMA_DETALLE!M86)</f>
        <v/>
      </c>
      <c r="G286" s="95">
        <f>IF(PROGRAMA_DETALLE!P86="PAGADO",PROGRAMA_DETALLE!M86,0)</f>
        <v>0</v>
      </c>
      <c r="H286" s="95">
        <f>IF(OR(PROGRAMA_DETALLE!P86="PENDIENTE",PROGRAMA_DETALLE!P86="PARCIAL"),PROGRAMA_DETALLE!M86,0)</f>
        <v>0</v>
      </c>
      <c r="I286" s="94" t="str">
        <f>IF(PROGRAMA_DETALLE!P86="","",PROGRAMA_DETALLE!P86)</f>
        <v/>
      </c>
    </row>
    <row r="287" ht="15.75" customHeight="1">
      <c r="A287" s="87" t="s">
        <v>229</v>
      </c>
      <c r="B287" s="93" t="str">
        <f>IFERROR(VLOOKUP(PROGRAMA_DETALLE!A87,PROGRAMAS!$A$4:$B$103,2,FALSE()),"")</f>
        <v/>
      </c>
      <c r="C287" s="84" t="str">
        <f>IF(PROGRAMA_DETALLE!A87="","","Tejedora")</f>
        <v/>
      </c>
      <c r="D287" s="94" t="str">
        <f>IF(PROGRAMA_DETALLE!N87="","",PROGRAMA_DETALLE!N87)</f>
        <v/>
      </c>
      <c r="E287" s="84" t="str">
        <f>IF(PROGRAMA_DETALLE!A87="","","Tejido "&amp;PROGRAMA_DETALLE!A87&amp;" "&amp;PROGRAMA_DETALLE!B87)</f>
        <v/>
      </c>
      <c r="F287" s="95" t="str">
        <f>IF(PROGRAMA_DETALLE!M87=0,"",PROGRAMA_DETALLE!M87)</f>
        <v/>
      </c>
      <c r="G287" s="95">
        <f>IF(PROGRAMA_DETALLE!P87="PAGADO",PROGRAMA_DETALLE!M87,0)</f>
        <v>0</v>
      </c>
      <c r="H287" s="95">
        <f>IF(OR(PROGRAMA_DETALLE!P87="PENDIENTE",PROGRAMA_DETALLE!P87="PARCIAL"),PROGRAMA_DETALLE!M87,0)</f>
        <v>0</v>
      </c>
      <c r="I287" s="94" t="str">
        <f>IF(PROGRAMA_DETALLE!P87="","",PROGRAMA_DETALLE!P87)</f>
        <v/>
      </c>
    </row>
    <row r="288" ht="15.75" customHeight="1">
      <c r="A288" s="87" t="s">
        <v>229</v>
      </c>
      <c r="B288" s="93" t="str">
        <f>IFERROR(VLOOKUP(PROGRAMA_DETALLE!A88,PROGRAMAS!$A$4:$B$103,2,FALSE()),"")</f>
        <v/>
      </c>
      <c r="C288" s="84" t="str">
        <f>IF(PROGRAMA_DETALLE!A88="","","Tejedora")</f>
        <v/>
      </c>
      <c r="D288" s="94" t="str">
        <f>IF(PROGRAMA_DETALLE!N88="","",PROGRAMA_DETALLE!N88)</f>
        <v/>
      </c>
      <c r="E288" s="84" t="str">
        <f>IF(PROGRAMA_DETALLE!A88="","","Tejido "&amp;PROGRAMA_DETALLE!A88&amp;" "&amp;PROGRAMA_DETALLE!B88)</f>
        <v/>
      </c>
      <c r="F288" s="95" t="str">
        <f>IF(PROGRAMA_DETALLE!M88=0,"",PROGRAMA_DETALLE!M88)</f>
        <v/>
      </c>
      <c r="G288" s="95">
        <f>IF(PROGRAMA_DETALLE!P88="PAGADO",PROGRAMA_DETALLE!M88,0)</f>
        <v>0</v>
      </c>
      <c r="H288" s="95">
        <f>IF(OR(PROGRAMA_DETALLE!P88="PENDIENTE",PROGRAMA_DETALLE!P88="PARCIAL"),PROGRAMA_DETALLE!M88,0)</f>
        <v>0</v>
      </c>
      <c r="I288" s="94" t="str">
        <f>IF(PROGRAMA_DETALLE!P88="","",PROGRAMA_DETALLE!P88)</f>
        <v/>
      </c>
    </row>
    <row r="289" ht="15.75" customHeight="1">
      <c r="A289" s="87" t="s">
        <v>229</v>
      </c>
      <c r="B289" s="93" t="str">
        <f>IFERROR(VLOOKUP(PROGRAMA_DETALLE!A89,PROGRAMAS!$A$4:$B$103,2,FALSE()),"")</f>
        <v/>
      </c>
      <c r="C289" s="84" t="str">
        <f>IF(PROGRAMA_DETALLE!A89="","","Tejedora")</f>
        <v/>
      </c>
      <c r="D289" s="94" t="str">
        <f>IF(PROGRAMA_DETALLE!N89="","",PROGRAMA_DETALLE!N89)</f>
        <v/>
      </c>
      <c r="E289" s="84" t="str">
        <f>IF(PROGRAMA_DETALLE!A89="","","Tejido "&amp;PROGRAMA_DETALLE!A89&amp;" "&amp;PROGRAMA_DETALLE!B89)</f>
        <v/>
      </c>
      <c r="F289" s="95" t="str">
        <f>IF(PROGRAMA_DETALLE!M89=0,"",PROGRAMA_DETALLE!M89)</f>
        <v/>
      </c>
      <c r="G289" s="95">
        <f>IF(PROGRAMA_DETALLE!P89="PAGADO",PROGRAMA_DETALLE!M89,0)</f>
        <v>0</v>
      </c>
      <c r="H289" s="95">
        <f>IF(OR(PROGRAMA_DETALLE!P89="PENDIENTE",PROGRAMA_DETALLE!P89="PARCIAL"),PROGRAMA_DETALLE!M89,0)</f>
        <v>0</v>
      </c>
      <c r="I289" s="94" t="str">
        <f>IF(PROGRAMA_DETALLE!P89="","",PROGRAMA_DETALLE!P89)</f>
        <v/>
      </c>
    </row>
    <row r="290" ht="15.75" customHeight="1">
      <c r="A290" s="87" t="s">
        <v>229</v>
      </c>
      <c r="B290" s="93" t="str">
        <f>IFERROR(VLOOKUP(PROGRAMA_DETALLE!A90,PROGRAMAS!$A$4:$B$103,2,FALSE()),"")</f>
        <v/>
      </c>
      <c r="C290" s="84" t="str">
        <f>IF(PROGRAMA_DETALLE!A90="","","Tejedora")</f>
        <v/>
      </c>
      <c r="D290" s="94" t="str">
        <f>IF(PROGRAMA_DETALLE!N90="","",PROGRAMA_DETALLE!N90)</f>
        <v/>
      </c>
      <c r="E290" s="84" t="str">
        <f>IF(PROGRAMA_DETALLE!A90="","","Tejido "&amp;PROGRAMA_DETALLE!A90&amp;" "&amp;PROGRAMA_DETALLE!B90)</f>
        <v/>
      </c>
      <c r="F290" s="95" t="str">
        <f>IF(PROGRAMA_DETALLE!M90=0,"",PROGRAMA_DETALLE!M90)</f>
        <v/>
      </c>
      <c r="G290" s="95">
        <f>IF(PROGRAMA_DETALLE!P90="PAGADO",PROGRAMA_DETALLE!M90,0)</f>
        <v>0</v>
      </c>
      <c r="H290" s="95">
        <f>IF(OR(PROGRAMA_DETALLE!P90="PENDIENTE",PROGRAMA_DETALLE!P90="PARCIAL"),PROGRAMA_DETALLE!M90,0)</f>
        <v>0</v>
      </c>
      <c r="I290" s="94" t="str">
        <f>IF(PROGRAMA_DETALLE!P90="","",PROGRAMA_DETALLE!P90)</f>
        <v/>
      </c>
    </row>
    <row r="291" ht="15.75" customHeight="1">
      <c r="A291" s="87" t="s">
        <v>229</v>
      </c>
      <c r="B291" s="93" t="str">
        <f>IFERROR(VLOOKUP(PROGRAMA_DETALLE!A91,PROGRAMAS!$A$4:$B$103,2,FALSE()),"")</f>
        <v/>
      </c>
      <c r="C291" s="84" t="str">
        <f>IF(PROGRAMA_DETALLE!A91="","","Tejedora")</f>
        <v/>
      </c>
      <c r="D291" s="94" t="str">
        <f>IF(PROGRAMA_DETALLE!N91="","",PROGRAMA_DETALLE!N91)</f>
        <v/>
      </c>
      <c r="E291" s="84" t="str">
        <f>IF(PROGRAMA_DETALLE!A91="","","Tejido "&amp;PROGRAMA_DETALLE!A91&amp;" "&amp;PROGRAMA_DETALLE!B91)</f>
        <v/>
      </c>
      <c r="F291" s="95" t="str">
        <f>IF(PROGRAMA_DETALLE!M91=0,"",PROGRAMA_DETALLE!M91)</f>
        <v/>
      </c>
      <c r="G291" s="95">
        <f>IF(PROGRAMA_DETALLE!P91="PAGADO",PROGRAMA_DETALLE!M91,0)</f>
        <v>0</v>
      </c>
      <c r="H291" s="95">
        <f>IF(OR(PROGRAMA_DETALLE!P91="PENDIENTE",PROGRAMA_DETALLE!P91="PARCIAL"),PROGRAMA_DETALLE!M91,0)</f>
        <v>0</v>
      </c>
      <c r="I291" s="94" t="str">
        <f>IF(PROGRAMA_DETALLE!P91="","",PROGRAMA_DETALLE!P91)</f>
        <v/>
      </c>
    </row>
    <row r="292" ht="15.75" customHeight="1">
      <c r="A292" s="87" t="s">
        <v>229</v>
      </c>
      <c r="B292" s="93" t="str">
        <f>IFERROR(VLOOKUP(PROGRAMA_DETALLE!A92,PROGRAMAS!$A$4:$B$103,2,FALSE()),"")</f>
        <v/>
      </c>
      <c r="C292" s="84" t="str">
        <f>IF(PROGRAMA_DETALLE!A92="","","Tejedora")</f>
        <v/>
      </c>
      <c r="D292" s="94" t="str">
        <f>IF(PROGRAMA_DETALLE!N92="","",PROGRAMA_DETALLE!N92)</f>
        <v/>
      </c>
      <c r="E292" s="84" t="str">
        <f>IF(PROGRAMA_DETALLE!A92="","","Tejido "&amp;PROGRAMA_DETALLE!A92&amp;" "&amp;PROGRAMA_DETALLE!B92)</f>
        <v/>
      </c>
      <c r="F292" s="95" t="str">
        <f>IF(PROGRAMA_DETALLE!M92=0,"",PROGRAMA_DETALLE!M92)</f>
        <v/>
      </c>
      <c r="G292" s="95">
        <f>IF(PROGRAMA_DETALLE!P92="PAGADO",PROGRAMA_DETALLE!M92,0)</f>
        <v>0</v>
      </c>
      <c r="H292" s="95">
        <f>IF(OR(PROGRAMA_DETALLE!P92="PENDIENTE",PROGRAMA_DETALLE!P92="PARCIAL"),PROGRAMA_DETALLE!M92,0)</f>
        <v>0</v>
      </c>
      <c r="I292" s="94" t="str">
        <f>IF(PROGRAMA_DETALLE!P92="","",PROGRAMA_DETALLE!P92)</f>
        <v/>
      </c>
    </row>
    <row r="293" ht="15.75" customHeight="1">
      <c r="A293" s="87" t="s">
        <v>229</v>
      </c>
      <c r="B293" s="93" t="str">
        <f>IFERROR(VLOOKUP(PROGRAMA_DETALLE!A93,PROGRAMAS!$A$4:$B$103,2,FALSE()),"")</f>
        <v/>
      </c>
      <c r="C293" s="84" t="str">
        <f>IF(PROGRAMA_DETALLE!A93="","","Tejedora")</f>
        <v/>
      </c>
      <c r="D293" s="94" t="str">
        <f>IF(PROGRAMA_DETALLE!N93="","",PROGRAMA_DETALLE!N93)</f>
        <v/>
      </c>
      <c r="E293" s="84" t="str">
        <f>IF(PROGRAMA_DETALLE!A93="","","Tejido "&amp;PROGRAMA_DETALLE!A93&amp;" "&amp;PROGRAMA_DETALLE!B93)</f>
        <v/>
      </c>
      <c r="F293" s="95" t="str">
        <f>IF(PROGRAMA_DETALLE!M93=0,"",PROGRAMA_DETALLE!M93)</f>
        <v/>
      </c>
      <c r="G293" s="95">
        <f>IF(PROGRAMA_DETALLE!P93="PAGADO",PROGRAMA_DETALLE!M93,0)</f>
        <v>0</v>
      </c>
      <c r="H293" s="95">
        <f>IF(OR(PROGRAMA_DETALLE!P93="PENDIENTE",PROGRAMA_DETALLE!P93="PARCIAL"),PROGRAMA_DETALLE!M93,0)</f>
        <v>0</v>
      </c>
      <c r="I293" s="94" t="str">
        <f>IF(PROGRAMA_DETALLE!P93="","",PROGRAMA_DETALLE!P93)</f>
        <v/>
      </c>
    </row>
    <row r="294" ht="15.75" customHeight="1">
      <c r="A294" s="87" t="s">
        <v>229</v>
      </c>
      <c r="B294" s="93" t="str">
        <f>IFERROR(VLOOKUP(PROGRAMA_DETALLE!A94,PROGRAMAS!$A$4:$B$103,2,FALSE()),"")</f>
        <v/>
      </c>
      <c r="C294" s="84" t="str">
        <f>IF(PROGRAMA_DETALLE!A94="","","Tejedora")</f>
        <v/>
      </c>
      <c r="D294" s="94" t="str">
        <f>IF(PROGRAMA_DETALLE!N94="","",PROGRAMA_DETALLE!N94)</f>
        <v/>
      </c>
      <c r="E294" s="84" t="str">
        <f>IF(PROGRAMA_DETALLE!A94="","","Tejido "&amp;PROGRAMA_DETALLE!A94&amp;" "&amp;PROGRAMA_DETALLE!B94)</f>
        <v/>
      </c>
      <c r="F294" s="95" t="str">
        <f>IF(PROGRAMA_DETALLE!M94=0,"",PROGRAMA_DETALLE!M94)</f>
        <v/>
      </c>
      <c r="G294" s="95">
        <f>IF(PROGRAMA_DETALLE!P94="PAGADO",PROGRAMA_DETALLE!M94,0)</f>
        <v>0</v>
      </c>
      <c r="H294" s="95">
        <f>IF(OR(PROGRAMA_DETALLE!P94="PENDIENTE",PROGRAMA_DETALLE!P94="PARCIAL"),PROGRAMA_DETALLE!M94,0)</f>
        <v>0</v>
      </c>
      <c r="I294" s="94" t="str">
        <f>IF(PROGRAMA_DETALLE!P94="","",PROGRAMA_DETALLE!P94)</f>
        <v/>
      </c>
    </row>
    <row r="295" ht="15.75" customHeight="1">
      <c r="A295" s="87" t="s">
        <v>229</v>
      </c>
      <c r="B295" s="93" t="str">
        <f>IFERROR(VLOOKUP(PROGRAMA_DETALLE!A95,PROGRAMAS!$A$4:$B$103,2,FALSE()),"")</f>
        <v/>
      </c>
      <c r="C295" s="84" t="str">
        <f>IF(PROGRAMA_DETALLE!A95="","","Tejedora")</f>
        <v/>
      </c>
      <c r="D295" s="94" t="str">
        <f>IF(PROGRAMA_DETALLE!N95="","",PROGRAMA_DETALLE!N95)</f>
        <v/>
      </c>
      <c r="E295" s="84" t="str">
        <f>IF(PROGRAMA_DETALLE!A95="","","Tejido "&amp;PROGRAMA_DETALLE!A95&amp;" "&amp;PROGRAMA_DETALLE!B95)</f>
        <v/>
      </c>
      <c r="F295" s="95" t="str">
        <f>IF(PROGRAMA_DETALLE!M95=0,"",PROGRAMA_DETALLE!M95)</f>
        <v/>
      </c>
      <c r="G295" s="95">
        <f>IF(PROGRAMA_DETALLE!P95="PAGADO",PROGRAMA_DETALLE!M95,0)</f>
        <v>0</v>
      </c>
      <c r="H295" s="95">
        <f>IF(OR(PROGRAMA_DETALLE!P95="PENDIENTE",PROGRAMA_DETALLE!P95="PARCIAL"),PROGRAMA_DETALLE!M95,0)</f>
        <v>0</v>
      </c>
      <c r="I295" s="94" t="str">
        <f>IF(PROGRAMA_DETALLE!P95="","",PROGRAMA_DETALLE!P95)</f>
        <v/>
      </c>
    </row>
    <row r="296" ht="15.75" customHeight="1">
      <c r="A296" s="87" t="s">
        <v>229</v>
      </c>
      <c r="B296" s="93" t="str">
        <f>IFERROR(VLOOKUP(PROGRAMA_DETALLE!A96,PROGRAMAS!$A$4:$B$103,2,FALSE()),"")</f>
        <v/>
      </c>
      <c r="C296" s="84" t="str">
        <f>IF(PROGRAMA_DETALLE!A96="","","Tejedora")</f>
        <v/>
      </c>
      <c r="D296" s="94" t="str">
        <f>IF(PROGRAMA_DETALLE!N96="","",PROGRAMA_DETALLE!N96)</f>
        <v/>
      </c>
      <c r="E296" s="84" t="str">
        <f>IF(PROGRAMA_DETALLE!A96="","","Tejido "&amp;PROGRAMA_DETALLE!A96&amp;" "&amp;PROGRAMA_DETALLE!B96)</f>
        <v/>
      </c>
      <c r="F296" s="95" t="str">
        <f>IF(PROGRAMA_DETALLE!M96=0,"",PROGRAMA_DETALLE!M96)</f>
        <v/>
      </c>
      <c r="G296" s="95">
        <f>IF(PROGRAMA_DETALLE!P96="PAGADO",PROGRAMA_DETALLE!M96,0)</f>
        <v>0</v>
      </c>
      <c r="H296" s="95">
        <f>IF(OR(PROGRAMA_DETALLE!P96="PENDIENTE",PROGRAMA_DETALLE!P96="PARCIAL"),PROGRAMA_DETALLE!M96,0)</f>
        <v>0</v>
      </c>
      <c r="I296" s="94" t="str">
        <f>IF(PROGRAMA_DETALLE!P96="","",PROGRAMA_DETALLE!P96)</f>
        <v/>
      </c>
    </row>
    <row r="297" ht="15.75" customHeight="1">
      <c r="A297" s="87" t="s">
        <v>229</v>
      </c>
      <c r="B297" s="93" t="str">
        <f>IFERROR(VLOOKUP(PROGRAMA_DETALLE!A97,PROGRAMAS!$A$4:$B$103,2,FALSE()),"")</f>
        <v/>
      </c>
      <c r="C297" s="84" t="str">
        <f>IF(PROGRAMA_DETALLE!A97="","","Tejedora")</f>
        <v/>
      </c>
      <c r="D297" s="94" t="str">
        <f>IF(PROGRAMA_DETALLE!N97="","",PROGRAMA_DETALLE!N97)</f>
        <v/>
      </c>
      <c r="E297" s="84" t="str">
        <f>IF(PROGRAMA_DETALLE!A97="","","Tejido "&amp;PROGRAMA_DETALLE!A97&amp;" "&amp;PROGRAMA_DETALLE!B97)</f>
        <v/>
      </c>
      <c r="F297" s="95" t="str">
        <f>IF(PROGRAMA_DETALLE!M97=0,"",PROGRAMA_DETALLE!M97)</f>
        <v/>
      </c>
      <c r="G297" s="95">
        <f>IF(PROGRAMA_DETALLE!P97="PAGADO",PROGRAMA_DETALLE!M97,0)</f>
        <v>0</v>
      </c>
      <c r="H297" s="95">
        <f>IF(OR(PROGRAMA_DETALLE!P97="PENDIENTE",PROGRAMA_DETALLE!P97="PARCIAL"),PROGRAMA_DETALLE!M97,0)</f>
        <v>0</v>
      </c>
      <c r="I297" s="94" t="str">
        <f>IF(PROGRAMA_DETALLE!P97="","",PROGRAMA_DETALLE!P97)</f>
        <v/>
      </c>
    </row>
    <row r="298" ht="15.75" customHeight="1">
      <c r="A298" s="87" t="s">
        <v>229</v>
      </c>
      <c r="B298" s="93" t="str">
        <f>IFERROR(VLOOKUP(PROGRAMA_DETALLE!A98,PROGRAMAS!$A$4:$B$103,2,FALSE()),"")</f>
        <v/>
      </c>
      <c r="C298" s="84" t="str">
        <f>IF(PROGRAMA_DETALLE!A98="","","Tejedora")</f>
        <v/>
      </c>
      <c r="D298" s="94" t="str">
        <f>IF(PROGRAMA_DETALLE!N98="","",PROGRAMA_DETALLE!N98)</f>
        <v/>
      </c>
      <c r="E298" s="84" t="str">
        <f>IF(PROGRAMA_DETALLE!A98="","","Tejido "&amp;PROGRAMA_DETALLE!A98&amp;" "&amp;PROGRAMA_DETALLE!B98)</f>
        <v/>
      </c>
      <c r="F298" s="95" t="str">
        <f>IF(PROGRAMA_DETALLE!M98=0,"",PROGRAMA_DETALLE!M98)</f>
        <v/>
      </c>
      <c r="G298" s="95">
        <f>IF(PROGRAMA_DETALLE!P98="PAGADO",PROGRAMA_DETALLE!M98,0)</f>
        <v>0</v>
      </c>
      <c r="H298" s="95">
        <f>IF(OR(PROGRAMA_DETALLE!P98="PENDIENTE",PROGRAMA_DETALLE!P98="PARCIAL"),PROGRAMA_DETALLE!M98,0)</f>
        <v>0</v>
      </c>
      <c r="I298" s="94" t="str">
        <f>IF(PROGRAMA_DETALLE!P98="","",PROGRAMA_DETALLE!P98)</f>
        <v/>
      </c>
    </row>
    <row r="299" ht="15.75" customHeight="1">
      <c r="A299" s="87" t="s">
        <v>229</v>
      </c>
      <c r="B299" s="93" t="str">
        <f>IFERROR(VLOOKUP(PROGRAMA_DETALLE!A99,PROGRAMAS!$A$4:$B$103,2,FALSE()),"")</f>
        <v/>
      </c>
      <c r="C299" s="84" t="str">
        <f>IF(PROGRAMA_DETALLE!A99="","","Tejedora")</f>
        <v/>
      </c>
      <c r="D299" s="94" t="str">
        <f>IF(PROGRAMA_DETALLE!N99="","",PROGRAMA_DETALLE!N99)</f>
        <v/>
      </c>
      <c r="E299" s="84" t="str">
        <f>IF(PROGRAMA_DETALLE!A99="","","Tejido "&amp;PROGRAMA_DETALLE!A99&amp;" "&amp;PROGRAMA_DETALLE!B99)</f>
        <v/>
      </c>
      <c r="F299" s="95" t="str">
        <f>IF(PROGRAMA_DETALLE!M99=0,"",PROGRAMA_DETALLE!M99)</f>
        <v/>
      </c>
      <c r="G299" s="95">
        <f>IF(PROGRAMA_DETALLE!P99="PAGADO",PROGRAMA_DETALLE!M99,0)</f>
        <v>0</v>
      </c>
      <c r="H299" s="95">
        <f>IF(OR(PROGRAMA_DETALLE!P99="PENDIENTE",PROGRAMA_DETALLE!P99="PARCIAL"),PROGRAMA_DETALLE!M99,0)</f>
        <v>0</v>
      </c>
      <c r="I299" s="94" t="str">
        <f>IF(PROGRAMA_DETALLE!P99="","",PROGRAMA_DETALLE!P99)</f>
        <v/>
      </c>
    </row>
    <row r="300" ht="15.75" customHeight="1">
      <c r="A300" s="87" t="s">
        <v>229</v>
      </c>
      <c r="B300" s="93" t="str">
        <f>IFERROR(VLOOKUP(PROGRAMA_DETALLE!A100,PROGRAMAS!$A$4:$B$103,2,FALSE()),"")</f>
        <v/>
      </c>
      <c r="C300" s="84" t="str">
        <f>IF(PROGRAMA_DETALLE!A100="","","Tejedora")</f>
        <v/>
      </c>
      <c r="D300" s="94" t="str">
        <f>IF(PROGRAMA_DETALLE!N100="","",PROGRAMA_DETALLE!N100)</f>
        <v/>
      </c>
      <c r="E300" s="84" t="str">
        <f>IF(PROGRAMA_DETALLE!A100="","","Tejido "&amp;PROGRAMA_DETALLE!A100&amp;" "&amp;PROGRAMA_DETALLE!B100)</f>
        <v/>
      </c>
      <c r="F300" s="95" t="str">
        <f>IF(PROGRAMA_DETALLE!M100=0,"",PROGRAMA_DETALLE!M100)</f>
        <v/>
      </c>
      <c r="G300" s="95">
        <f>IF(PROGRAMA_DETALLE!P100="PAGADO",PROGRAMA_DETALLE!M100,0)</f>
        <v>0</v>
      </c>
      <c r="H300" s="95">
        <f>IF(OR(PROGRAMA_DETALLE!P100="PENDIENTE",PROGRAMA_DETALLE!P100="PARCIAL"),PROGRAMA_DETALLE!M100,0)</f>
        <v>0</v>
      </c>
      <c r="I300" s="94" t="str">
        <f>IF(PROGRAMA_DETALLE!P100="","",PROGRAMA_DETALLE!P100)</f>
        <v/>
      </c>
    </row>
    <row r="301" ht="15.75" customHeight="1">
      <c r="A301" s="87" t="s">
        <v>229</v>
      </c>
      <c r="B301" s="93" t="str">
        <f>IFERROR(VLOOKUP(PROGRAMA_DETALLE!A101,PROGRAMAS!$A$4:$B$103,2,FALSE()),"")</f>
        <v/>
      </c>
      <c r="C301" s="84" t="str">
        <f>IF(PROGRAMA_DETALLE!A101="","","Tejedora")</f>
        <v/>
      </c>
      <c r="D301" s="94" t="str">
        <f>IF(PROGRAMA_DETALLE!N101="","",PROGRAMA_DETALLE!N101)</f>
        <v/>
      </c>
      <c r="E301" s="84" t="str">
        <f>IF(PROGRAMA_DETALLE!A101="","","Tejido "&amp;PROGRAMA_DETALLE!A101&amp;" "&amp;PROGRAMA_DETALLE!B101)</f>
        <v/>
      </c>
      <c r="F301" s="95" t="str">
        <f>IF(PROGRAMA_DETALLE!M101=0,"",PROGRAMA_DETALLE!M101)</f>
        <v/>
      </c>
      <c r="G301" s="95">
        <f>IF(PROGRAMA_DETALLE!P101="PAGADO",PROGRAMA_DETALLE!M101,0)</f>
        <v>0</v>
      </c>
      <c r="H301" s="95">
        <f>IF(OR(PROGRAMA_DETALLE!P101="PENDIENTE",PROGRAMA_DETALLE!P101="PARCIAL"),PROGRAMA_DETALLE!M101,0)</f>
        <v>0</v>
      </c>
      <c r="I301" s="94" t="str">
        <f>IF(PROGRAMA_DETALLE!P101="","",PROGRAMA_DETALLE!P101)</f>
        <v/>
      </c>
    </row>
    <row r="302" ht="15.75" customHeight="1">
      <c r="A302" s="87" t="s">
        <v>229</v>
      </c>
      <c r="B302" s="93" t="str">
        <f>IFERROR(VLOOKUP(PROGRAMA_DETALLE!A102,PROGRAMAS!$A$4:$B$103,2,FALSE()),"")</f>
        <v/>
      </c>
      <c r="C302" s="84" t="str">
        <f>IF(PROGRAMA_DETALLE!A102="","","Tejedora")</f>
        <v/>
      </c>
      <c r="D302" s="94" t="str">
        <f>IF(PROGRAMA_DETALLE!N102="","",PROGRAMA_DETALLE!N102)</f>
        <v/>
      </c>
      <c r="E302" s="84" t="str">
        <f>IF(PROGRAMA_DETALLE!A102="","","Tejido "&amp;PROGRAMA_DETALLE!A102&amp;" "&amp;PROGRAMA_DETALLE!B102)</f>
        <v/>
      </c>
      <c r="F302" s="95" t="str">
        <f>IF(PROGRAMA_DETALLE!M102=0,"",PROGRAMA_DETALLE!M102)</f>
        <v/>
      </c>
      <c r="G302" s="95">
        <f>IF(PROGRAMA_DETALLE!P102="PAGADO",PROGRAMA_DETALLE!M102,0)</f>
        <v>0</v>
      </c>
      <c r="H302" s="95">
        <f>IF(OR(PROGRAMA_DETALLE!P102="PENDIENTE",PROGRAMA_DETALLE!P102="PARCIAL"),PROGRAMA_DETALLE!M102,0)</f>
        <v>0</v>
      </c>
      <c r="I302" s="94" t="str">
        <f>IF(PROGRAMA_DETALLE!P102="","",PROGRAMA_DETALLE!P102)</f>
        <v/>
      </c>
    </row>
    <row r="303" ht="15.75" customHeight="1">
      <c r="A303" s="87" t="s">
        <v>229</v>
      </c>
      <c r="B303" s="93" t="str">
        <f>IFERROR(VLOOKUP(PROGRAMA_DETALLE!A103,PROGRAMAS!$A$4:$B$103,2,FALSE()),"")</f>
        <v/>
      </c>
      <c r="C303" s="84" t="str">
        <f>IF(PROGRAMA_DETALLE!A103="","","Tejedora")</f>
        <v/>
      </c>
      <c r="D303" s="94" t="str">
        <f>IF(PROGRAMA_DETALLE!N103="","",PROGRAMA_DETALLE!N103)</f>
        <v/>
      </c>
      <c r="E303" s="84" t="str">
        <f>IF(PROGRAMA_DETALLE!A103="","","Tejido "&amp;PROGRAMA_DETALLE!A103&amp;" "&amp;PROGRAMA_DETALLE!B103)</f>
        <v/>
      </c>
      <c r="F303" s="95" t="str">
        <f>IF(PROGRAMA_DETALLE!M103=0,"",PROGRAMA_DETALLE!M103)</f>
        <v/>
      </c>
      <c r="G303" s="95">
        <f>IF(PROGRAMA_DETALLE!P103="PAGADO",PROGRAMA_DETALLE!M103,0)</f>
        <v>0</v>
      </c>
      <c r="H303" s="95">
        <f>IF(OR(PROGRAMA_DETALLE!P103="PENDIENTE",PROGRAMA_DETALLE!P103="PARCIAL"),PROGRAMA_DETALLE!M103,0)</f>
        <v>0</v>
      </c>
      <c r="I303" s="94" t="str">
        <f>IF(PROGRAMA_DETALLE!P103="","",PROGRAMA_DETALLE!P103)</f>
        <v/>
      </c>
    </row>
    <row r="304" ht="15.75" customHeight="1">
      <c r="A304" s="87" t="s">
        <v>229</v>
      </c>
      <c r="B304" s="93" t="str">
        <f>IFERROR(VLOOKUP(PROGRAMA_DETALLE!A104,PROGRAMAS!$A$4:$B$103,2,FALSE()),"")</f>
        <v/>
      </c>
      <c r="C304" s="84" t="str">
        <f>IF(PROGRAMA_DETALLE!A104="","","Tejedora")</f>
        <v/>
      </c>
      <c r="D304" s="94" t="str">
        <f>IF(PROGRAMA_DETALLE!N104="","",PROGRAMA_DETALLE!N104)</f>
        <v/>
      </c>
      <c r="E304" s="84" t="str">
        <f>IF(PROGRAMA_DETALLE!A104="","","Tejido "&amp;PROGRAMA_DETALLE!A104&amp;" "&amp;PROGRAMA_DETALLE!B104)</f>
        <v/>
      </c>
      <c r="F304" s="95" t="str">
        <f>IF(PROGRAMA_DETALLE!M104=0,"",PROGRAMA_DETALLE!M104)</f>
        <v/>
      </c>
      <c r="G304" s="95">
        <f>IF(PROGRAMA_DETALLE!P104="PAGADO",PROGRAMA_DETALLE!M104,0)</f>
        <v>0</v>
      </c>
      <c r="H304" s="95">
        <f>IF(OR(PROGRAMA_DETALLE!P104="PENDIENTE",PROGRAMA_DETALLE!P104="PARCIAL"),PROGRAMA_DETALLE!M104,0)</f>
        <v>0</v>
      </c>
      <c r="I304" s="94" t="str">
        <f>IF(PROGRAMA_DETALLE!P104="","",PROGRAMA_DETALLE!P104)</f>
        <v/>
      </c>
    </row>
    <row r="305" ht="15.75" customHeight="1">
      <c r="A305" s="87" t="s">
        <v>229</v>
      </c>
      <c r="B305" s="93" t="str">
        <f>IFERROR(VLOOKUP(PROGRAMA_DETALLE!A105,PROGRAMAS!$A$4:$B$103,2,FALSE()),"")</f>
        <v/>
      </c>
      <c r="C305" s="84" t="str">
        <f>IF(PROGRAMA_DETALLE!A105="","","Tejedora")</f>
        <v/>
      </c>
      <c r="D305" s="94" t="str">
        <f>IF(PROGRAMA_DETALLE!N105="","",PROGRAMA_DETALLE!N105)</f>
        <v/>
      </c>
      <c r="E305" s="84" t="str">
        <f>IF(PROGRAMA_DETALLE!A105="","","Tejido "&amp;PROGRAMA_DETALLE!A105&amp;" "&amp;PROGRAMA_DETALLE!B105)</f>
        <v/>
      </c>
      <c r="F305" s="95" t="str">
        <f>IF(PROGRAMA_DETALLE!M105=0,"",PROGRAMA_DETALLE!M105)</f>
        <v/>
      </c>
      <c r="G305" s="95">
        <f>IF(PROGRAMA_DETALLE!P105="PAGADO",PROGRAMA_DETALLE!M105,0)</f>
        <v>0</v>
      </c>
      <c r="H305" s="95">
        <f>IF(OR(PROGRAMA_DETALLE!P105="PENDIENTE",PROGRAMA_DETALLE!P105="PARCIAL"),PROGRAMA_DETALLE!M105,0)</f>
        <v>0</v>
      </c>
      <c r="I305" s="94" t="str">
        <f>IF(PROGRAMA_DETALLE!P105="","",PROGRAMA_DETALLE!P105)</f>
        <v/>
      </c>
    </row>
    <row r="306" ht="15.75" customHeight="1">
      <c r="A306" s="87" t="s">
        <v>229</v>
      </c>
      <c r="B306" s="93" t="str">
        <f>IFERROR(VLOOKUP(PROGRAMA_DETALLE!A106,PROGRAMAS!$A$4:$B$103,2,FALSE()),"")</f>
        <v/>
      </c>
      <c r="C306" s="84" t="str">
        <f>IF(PROGRAMA_DETALLE!A106="","","Tejedora")</f>
        <v/>
      </c>
      <c r="D306" s="94" t="str">
        <f>IF(PROGRAMA_DETALLE!N106="","",PROGRAMA_DETALLE!N106)</f>
        <v/>
      </c>
      <c r="E306" s="84" t="str">
        <f>IF(PROGRAMA_DETALLE!A106="","","Tejido "&amp;PROGRAMA_DETALLE!A106&amp;" "&amp;PROGRAMA_DETALLE!B106)</f>
        <v/>
      </c>
      <c r="F306" s="95" t="str">
        <f>IF(PROGRAMA_DETALLE!M106=0,"",PROGRAMA_DETALLE!M106)</f>
        <v/>
      </c>
      <c r="G306" s="95">
        <f>IF(PROGRAMA_DETALLE!P106="PAGADO",PROGRAMA_DETALLE!M106,0)</f>
        <v>0</v>
      </c>
      <c r="H306" s="95">
        <f>IF(OR(PROGRAMA_DETALLE!P106="PENDIENTE",PROGRAMA_DETALLE!P106="PARCIAL"),PROGRAMA_DETALLE!M106,0)</f>
        <v>0</v>
      </c>
      <c r="I306" s="94" t="str">
        <f>IF(PROGRAMA_DETALLE!P106="","",PROGRAMA_DETALLE!P106)</f>
        <v/>
      </c>
    </row>
    <row r="307" ht="15.75" customHeight="1">
      <c r="A307" s="87" t="s">
        <v>229</v>
      </c>
      <c r="B307" s="93" t="str">
        <f>IFERROR(VLOOKUP(PROGRAMA_DETALLE!A107,PROGRAMAS!$A$4:$B$103,2,FALSE()),"")</f>
        <v/>
      </c>
      <c r="C307" s="84" t="str">
        <f>IF(PROGRAMA_DETALLE!A107="","","Tejedora")</f>
        <v/>
      </c>
      <c r="D307" s="94" t="str">
        <f>IF(PROGRAMA_DETALLE!N107="","",PROGRAMA_DETALLE!N107)</f>
        <v/>
      </c>
      <c r="E307" s="84" t="str">
        <f>IF(PROGRAMA_DETALLE!A107="","","Tejido "&amp;PROGRAMA_DETALLE!A107&amp;" "&amp;PROGRAMA_DETALLE!B107)</f>
        <v/>
      </c>
      <c r="F307" s="95" t="str">
        <f>IF(PROGRAMA_DETALLE!M107=0,"",PROGRAMA_DETALLE!M107)</f>
        <v/>
      </c>
      <c r="G307" s="95">
        <f>IF(PROGRAMA_DETALLE!P107="PAGADO",PROGRAMA_DETALLE!M107,0)</f>
        <v>0</v>
      </c>
      <c r="H307" s="95">
        <f>IF(OR(PROGRAMA_DETALLE!P107="PENDIENTE",PROGRAMA_DETALLE!P107="PARCIAL"),PROGRAMA_DETALLE!M107,0)</f>
        <v>0</v>
      </c>
      <c r="I307" s="94" t="str">
        <f>IF(PROGRAMA_DETALLE!P107="","",PROGRAMA_DETALLE!P107)</f>
        <v/>
      </c>
    </row>
    <row r="308" ht="15.75" customHeight="1">
      <c r="A308" s="87" t="s">
        <v>229</v>
      </c>
      <c r="B308" s="93" t="str">
        <f>IFERROR(VLOOKUP(PROGRAMA_DETALLE!A108,PROGRAMAS!$A$4:$B$103,2,FALSE()),"")</f>
        <v/>
      </c>
      <c r="C308" s="84" t="str">
        <f>IF(PROGRAMA_DETALLE!A108="","","Tejedora")</f>
        <v/>
      </c>
      <c r="D308" s="94" t="str">
        <f>IF(PROGRAMA_DETALLE!N108="","",PROGRAMA_DETALLE!N108)</f>
        <v/>
      </c>
      <c r="E308" s="84" t="str">
        <f>IF(PROGRAMA_DETALLE!A108="","","Tejido "&amp;PROGRAMA_DETALLE!A108&amp;" "&amp;PROGRAMA_DETALLE!B108)</f>
        <v/>
      </c>
      <c r="F308" s="95" t="str">
        <f>IF(PROGRAMA_DETALLE!M108=0,"",PROGRAMA_DETALLE!M108)</f>
        <v/>
      </c>
      <c r="G308" s="95">
        <f>IF(PROGRAMA_DETALLE!P108="PAGADO",PROGRAMA_DETALLE!M108,0)</f>
        <v>0</v>
      </c>
      <c r="H308" s="95">
        <f>IF(OR(PROGRAMA_DETALLE!P108="PENDIENTE",PROGRAMA_DETALLE!P108="PARCIAL"),PROGRAMA_DETALLE!M108,0)</f>
        <v>0</v>
      </c>
      <c r="I308" s="94" t="str">
        <f>IF(PROGRAMA_DETALLE!P108="","",PROGRAMA_DETALLE!P108)</f>
        <v/>
      </c>
    </row>
    <row r="309" ht="15.75" customHeight="1">
      <c r="A309" s="87" t="s">
        <v>229</v>
      </c>
      <c r="B309" s="93" t="str">
        <f>IFERROR(VLOOKUP(PROGRAMA_DETALLE!A109,PROGRAMAS!$A$4:$B$103,2,FALSE()),"")</f>
        <v/>
      </c>
      <c r="C309" s="84" t="str">
        <f>IF(PROGRAMA_DETALLE!A109="","","Tejedora")</f>
        <v/>
      </c>
      <c r="D309" s="94" t="str">
        <f>IF(PROGRAMA_DETALLE!N109="","",PROGRAMA_DETALLE!N109)</f>
        <v/>
      </c>
      <c r="E309" s="84" t="str">
        <f>IF(PROGRAMA_DETALLE!A109="","","Tejido "&amp;PROGRAMA_DETALLE!A109&amp;" "&amp;PROGRAMA_DETALLE!B109)</f>
        <v/>
      </c>
      <c r="F309" s="95" t="str">
        <f>IF(PROGRAMA_DETALLE!M109=0,"",PROGRAMA_DETALLE!M109)</f>
        <v/>
      </c>
      <c r="G309" s="95">
        <f>IF(PROGRAMA_DETALLE!P109="PAGADO",PROGRAMA_DETALLE!M109,0)</f>
        <v>0</v>
      </c>
      <c r="H309" s="95">
        <f>IF(OR(PROGRAMA_DETALLE!P109="PENDIENTE",PROGRAMA_DETALLE!P109="PARCIAL"),PROGRAMA_DETALLE!M109,0)</f>
        <v>0</v>
      </c>
      <c r="I309" s="94" t="str">
        <f>IF(PROGRAMA_DETALLE!P109="","",PROGRAMA_DETALLE!P109)</f>
        <v/>
      </c>
    </row>
    <row r="310" ht="15.75" customHeight="1">
      <c r="A310" s="87" t="s">
        <v>229</v>
      </c>
      <c r="B310" s="93" t="str">
        <f>IFERROR(VLOOKUP(PROGRAMA_DETALLE!A110,PROGRAMAS!$A$4:$B$103,2,FALSE()),"")</f>
        <v/>
      </c>
      <c r="C310" s="84" t="str">
        <f>IF(PROGRAMA_DETALLE!A110="","","Tejedora")</f>
        <v/>
      </c>
      <c r="D310" s="94" t="str">
        <f>IF(PROGRAMA_DETALLE!N110="","",PROGRAMA_DETALLE!N110)</f>
        <v/>
      </c>
      <c r="E310" s="84" t="str">
        <f>IF(PROGRAMA_DETALLE!A110="","","Tejido "&amp;PROGRAMA_DETALLE!A110&amp;" "&amp;PROGRAMA_DETALLE!B110)</f>
        <v/>
      </c>
      <c r="F310" s="95" t="str">
        <f>IF(PROGRAMA_DETALLE!M110=0,"",PROGRAMA_DETALLE!M110)</f>
        <v/>
      </c>
      <c r="G310" s="95">
        <f>IF(PROGRAMA_DETALLE!P110="PAGADO",PROGRAMA_DETALLE!M110,0)</f>
        <v>0</v>
      </c>
      <c r="H310" s="95">
        <f>IF(OR(PROGRAMA_DETALLE!P110="PENDIENTE",PROGRAMA_DETALLE!P110="PARCIAL"),PROGRAMA_DETALLE!M110,0)</f>
        <v>0</v>
      </c>
      <c r="I310" s="94" t="str">
        <f>IF(PROGRAMA_DETALLE!P110="","",PROGRAMA_DETALLE!P110)</f>
        <v/>
      </c>
    </row>
    <row r="311" ht="15.75" customHeight="1">
      <c r="A311" s="87" t="s">
        <v>229</v>
      </c>
      <c r="B311" s="93" t="str">
        <f>IFERROR(VLOOKUP(PROGRAMA_DETALLE!A111,PROGRAMAS!$A$4:$B$103,2,FALSE()),"")</f>
        <v/>
      </c>
      <c r="C311" s="84" t="str">
        <f>IF(PROGRAMA_DETALLE!A111="","","Tejedora")</f>
        <v/>
      </c>
      <c r="D311" s="94" t="str">
        <f>IF(PROGRAMA_DETALLE!N111="","",PROGRAMA_DETALLE!N111)</f>
        <v/>
      </c>
      <c r="E311" s="84" t="str">
        <f>IF(PROGRAMA_DETALLE!A111="","","Tejido "&amp;PROGRAMA_DETALLE!A111&amp;" "&amp;PROGRAMA_DETALLE!B111)</f>
        <v/>
      </c>
      <c r="F311" s="95" t="str">
        <f>IF(PROGRAMA_DETALLE!M111=0,"",PROGRAMA_DETALLE!M111)</f>
        <v/>
      </c>
      <c r="G311" s="95">
        <f>IF(PROGRAMA_DETALLE!P111="PAGADO",PROGRAMA_DETALLE!M111,0)</f>
        <v>0</v>
      </c>
      <c r="H311" s="95">
        <f>IF(OR(PROGRAMA_DETALLE!P111="PENDIENTE",PROGRAMA_DETALLE!P111="PARCIAL"),PROGRAMA_DETALLE!M111,0)</f>
        <v>0</v>
      </c>
      <c r="I311" s="94" t="str">
        <f>IF(PROGRAMA_DETALLE!P111="","",PROGRAMA_DETALLE!P111)</f>
        <v/>
      </c>
    </row>
    <row r="312" ht="15.75" customHeight="1">
      <c r="A312" s="87" t="s">
        <v>229</v>
      </c>
      <c r="B312" s="93" t="str">
        <f>IFERROR(VLOOKUP(PROGRAMA_DETALLE!A112,PROGRAMAS!$A$4:$B$103,2,FALSE()),"")</f>
        <v/>
      </c>
      <c r="C312" s="84" t="str">
        <f>IF(PROGRAMA_DETALLE!A112="","","Tejedora")</f>
        <v/>
      </c>
      <c r="D312" s="94" t="str">
        <f>IF(PROGRAMA_DETALLE!N112="","",PROGRAMA_DETALLE!N112)</f>
        <v/>
      </c>
      <c r="E312" s="84" t="str">
        <f>IF(PROGRAMA_DETALLE!A112="","","Tejido "&amp;PROGRAMA_DETALLE!A112&amp;" "&amp;PROGRAMA_DETALLE!B112)</f>
        <v/>
      </c>
      <c r="F312" s="95" t="str">
        <f>IF(PROGRAMA_DETALLE!M112=0,"",PROGRAMA_DETALLE!M112)</f>
        <v/>
      </c>
      <c r="G312" s="95">
        <f>IF(PROGRAMA_DETALLE!P112="PAGADO",PROGRAMA_DETALLE!M112,0)</f>
        <v>0</v>
      </c>
      <c r="H312" s="95">
        <f>IF(OR(PROGRAMA_DETALLE!P112="PENDIENTE",PROGRAMA_DETALLE!P112="PARCIAL"),PROGRAMA_DETALLE!M112,0)</f>
        <v>0</v>
      </c>
      <c r="I312" s="94" t="str">
        <f>IF(PROGRAMA_DETALLE!P112="","",PROGRAMA_DETALLE!P112)</f>
        <v/>
      </c>
    </row>
    <row r="313" ht="15.75" customHeight="1">
      <c r="A313" s="87" t="s">
        <v>229</v>
      </c>
      <c r="B313" s="93" t="str">
        <f>IFERROR(VLOOKUP(PROGRAMA_DETALLE!A113,PROGRAMAS!$A$4:$B$103,2,FALSE()),"")</f>
        <v/>
      </c>
      <c r="C313" s="84" t="str">
        <f>IF(PROGRAMA_DETALLE!A113="","","Tejedora")</f>
        <v/>
      </c>
      <c r="D313" s="94" t="str">
        <f>IF(PROGRAMA_DETALLE!N113="","",PROGRAMA_DETALLE!N113)</f>
        <v/>
      </c>
      <c r="E313" s="84" t="str">
        <f>IF(PROGRAMA_DETALLE!A113="","","Tejido "&amp;PROGRAMA_DETALLE!A113&amp;" "&amp;PROGRAMA_DETALLE!B113)</f>
        <v/>
      </c>
      <c r="F313" s="95" t="str">
        <f>IF(PROGRAMA_DETALLE!M113=0,"",PROGRAMA_DETALLE!M113)</f>
        <v/>
      </c>
      <c r="G313" s="95">
        <f>IF(PROGRAMA_DETALLE!P113="PAGADO",PROGRAMA_DETALLE!M113,0)</f>
        <v>0</v>
      </c>
      <c r="H313" s="95">
        <f>IF(OR(PROGRAMA_DETALLE!P113="PENDIENTE",PROGRAMA_DETALLE!P113="PARCIAL"),PROGRAMA_DETALLE!M113,0)</f>
        <v>0</v>
      </c>
      <c r="I313" s="94" t="str">
        <f>IF(PROGRAMA_DETALLE!P113="","",PROGRAMA_DETALLE!P113)</f>
        <v/>
      </c>
    </row>
    <row r="314" ht="15.75" customHeight="1">
      <c r="A314" s="87" t="s">
        <v>229</v>
      </c>
      <c r="B314" s="93" t="str">
        <f>IFERROR(VLOOKUP(PROGRAMA_DETALLE!A114,PROGRAMAS!$A$4:$B$103,2,FALSE()),"")</f>
        <v/>
      </c>
      <c r="C314" s="84" t="str">
        <f>IF(PROGRAMA_DETALLE!A114="","","Tejedora")</f>
        <v/>
      </c>
      <c r="D314" s="94" t="str">
        <f>IF(PROGRAMA_DETALLE!N114="","",PROGRAMA_DETALLE!N114)</f>
        <v/>
      </c>
      <c r="E314" s="84" t="str">
        <f>IF(PROGRAMA_DETALLE!A114="","","Tejido "&amp;PROGRAMA_DETALLE!A114&amp;" "&amp;PROGRAMA_DETALLE!B114)</f>
        <v/>
      </c>
      <c r="F314" s="95" t="str">
        <f>IF(PROGRAMA_DETALLE!M114=0,"",PROGRAMA_DETALLE!M114)</f>
        <v/>
      </c>
      <c r="G314" s="95">
        <f>IF(PROGRAMA_DETALLE!P114="PAGADO",PROGRAMA_DETALLE!M114,0)</f>
        <v>0</v>
      </c>
      <c r="H314" s="95">
        <f>IF(OR(PROGRAMA_DETALLE!P114="PENDIENTE",PROGRAMA_DETALLE!P114="PARCIAL"),PROGRAMA_DETALLE!M114,0)</f>
        <v>0</v>
      </c>
      <c r="I314" s="94" t="str">
        <f>IF(PROGRAMA_DETALLE!P114="","",PROGRAMA_DETALLE!P114)</f>
        <v/>
      </c>
    </row>
    <row r="315" ht="15.75" customHeight="1">
      <c r="A315" s="87" t="s">
        <v>229</v>
      </c>
      <c r="B315" s="93" t="str">
        <f>IFERROR(VLOOKUP(PROGRAMA_DETALLE!A115,PROGRAMAS!$A$4:$B$103,2,FALSE()),"")</f>
        <v/>
      </c>
      <c r="C315" s="84" t="str">
        <f>IF(PROGRAMA_DETALLE!A115="","","Tejedora")</f>
        <v/>
      </c>
      <c r="D315" s="94" t="str">
        <f>IF(PROGRAMA_DETALLE!N115="","",PROGRAMA_DETALLE!N115)</f>
        <v/>
      </c>
      <c r="E315" s="84" t="str">
        <f>IF(PROGRAMA_DETALLE!A115="","","Tejido "&amp;PROGRAMA_DETALLE!A115&amp;" "&amp;PROGRAMA_DETALLE!B115)</f>
        <v/>
      </c>
      <c r="F315" s="95" t="str">
        <f>IF(PROGRAMA_DETALLE!M115=0,"",PROGRAMA_DETALLE!M115)</f>
        <v/>
      </c>
      <c r="G315" s="95">
        <f>IF(PROGRAMA_DETALLE!P115="PAGADO",PROGRAMA_DETALLE!M115,0)</f>
        <v>0</v>
      </c>
      <c r="H315" s="95">
        <f>IF(OR(PROGRAMA_DETALLE!P115="PENDIENTE",PROGRAMA_DETALLE!P115="PARCIAL"),PROGRAMA_DETALLE!M115,0)</f>
        <v>0</v>
      </c>
      <c r="I315" s="94" t="str">
        <f>IF(PROGRAMA_DETALLE!P115="","",PROGRAMA_DETALLE!P115)</f>
        <v/>
      </c>
    </row>
    <row r="316" ht="15.75" customHeight="1">
      <c r="A316" s="87" t="s">
        <v>229</v>
      </c>
      <c r="B316" s="93" t="str">
        <f>IFERROR(VLOOKUP(PROGRAMA_DETALLE!A116,PROGRAMAS!$A$4:$B$103,2,FALSE()),"")</f>
        <v/>
      </c>
      <c r="C316" s="84" t="str">
        <f>IF(PROGRAMA_DETALLE!A116="","","Tejedora")</f>
        <v/>
      </c>
      <c r="D316" s="94" t="str">
        <f>IF(PROGRAMA_DETALLE!N116="","",PROGRAMA_DETALLE!N116)</f>
        <v/>
      </c>
      <c r="E316" s="84" t="str">
        <f>IF(PROGRAMA_DETALLE!A116="","","Tejido "&amp;PROGRAMA_DETALLE!A116&amp;" "&amp;PROGRAMA_DETALLE!B116)</f>
        <v/>
      </c>
      <c r="F316" s="95" t="str">
        <f>IF(PROGRAMA_DETALLE!M116=0,"",PROGRAMA_DETALLE!M116)</f>
        <v/>
      </c>
      <c r="G316" s="95">
        <f>IF(PROGRAMA_DETALLE!P116="PAGADO",PROGRAMA_DETALLE!M116,0)</f>
        <v>0</v>
      </c>
      <c r="H316" s="95">
        <f>IF(OR(PROGRAMA_DETALLE!P116="PENDIENTE",PROGRAMA_DETALLE!P116="PARCIAL"),PROGRAMA_DETALLE!M116,0)</f>
        <v>0</v>
      </c>
      <c r="I316" s="94" t="str">
        <f>IF(PROGRAMA_DETALLE!P116="","",PROGRAMA_DETALLE!P116)</f>
        <v/>
      </c>
    </row>
    <row r="317" ht="15.75" customHeight="1">
      <c r="A317" s="87" t="s">
        <v>229</v>
      </c>
      <c r="B317" s="93" t="str">
        <f>IFERROR(VLOOKUP(PROGRAMA_DETALLE!A117,PROGRAMAS!$A$4:$B$103,2,FALSE()),"")</f>
        <v/>
      </c>
      <c r="C317" s="84" t="str">
        <f>IF(PROGRAMA_DETALLE!A117="","","Tejedora")</f>
        <v/>
      </c>
      <c r="D317" s="94" t="str">
        <f>IF(PROGRAMA_DETALLE!N117="","",PROGRAMA_DETALLE!N117)</f>
        <v/>
      </c>
      <c r="E317" s="84" t="str">
        <f>IF(PROGRAMA_DETALLE!A117="","","Tejido "&amp;PROGRAMA_DETALLE!A117&amp;" "&amp;PROGRAMA_DETALLE!B117)</f>
        <v/>
      </c>
      <c r="F317" s="95" t="str">
        <f>IF(PROGRAMA_DETALLE!M117=0,"",PROGRAMA_DETALLE!M117)</f>
        <v/>
      </c>
      <c r="G317" s="95">
        <f>IF(PROGRAMA_DETALLE!P117="PAGADO",PROGRAMA_DETALLE!M117,0)</f>
        <v>0</v>
      </c>
      <c r="H317" s="95">
        <f>IF(OR(PROGRAMA_DETALLE!P117="PENDIENTE",PROGRAMA_DETALLE!P117="PARCIAL"),PROGRAMA_DETALLE!M117,0)</f>
        <v>0</v>
      </c>
      <c r="I317" s="94" t="str">
        <f>IF(PROGRAMA_DETALLE!P117="","",PROGRAMA_DETALLE!P117)</f>
        <v/>
      </c>
    </row>
    <row r="318" ht="15.75" customHeight="1">
      <c r="A318" s="87" t="s">
        <v>229</v>
      </c>
      <c r="B318" s="93" t="str">
        <f>IFERROR(VLOOKUP(PROGRAMA_DETALLE!A118,PROGRAMAS!$A$4:$B$103,2,FALSE()),"")</f>
        <v/>
      </c>
      <c r="C318" s="84" t="str">
        <f>IF(PROGRAMA_DETALLE!A118="","","Tejedora")</f>
        <v/>
      </c>
      <c r="D318" s="94" t="str">
        <f>IF(PROGRAMA_DETALLE!N118="","",PROGRAMA_DETALLE!N118)</f>
        <v/>
      </c>
      <c r="E318" s="84" t="str">
        <f>IF(PROGRAMA_DETALLE!A118="","","Tejido "&amp;PROGRAMA_DETALLE!A118&amp;" "&amp;PROGRAMA_DETALLE!B118)</f>
        <v/>
      </c>
      <c r="F318" s="95" t="str">
        <f>IF(PROGRAMA_DETALLE!M118=0,"",PROGRAMA_DETALLE!M118)</f>
        <v/>
      </c>
      <c r="G318" s="95">
        <f>IF(PROGRAMA_DETALLE!P118="PAGADO",PROGRAMA_DETALLE!M118,0)</f>
        <v>0</v>
      </c>
      <c r="H318" s="95">
        <f>IF(OR(PROGRAMA_DETALLE!P118="PENDIENTE",PROGRAMA_DETALLE!P118="PARCIAL"),PROGRAMA_DETALLE!M118,0)</f>
        <v>0</v>
      </c>
      <c r="I318" s="94" t="str">
        <f>IF(PROGRAMA_DETALLE!P118="","",PROGRAMA_DETALLE!P118)</f>
        <v/>
      </c>
    </row>
    <row r="319" ht="15.75" customHeight="1">
      <c r="A319" s="87" t="s">
        <v>229</v>
      </c>
      <c r="B319" s="93" t="str">
        <f>IFERROR(VLOOKUP(PROGRAMA_DETALLE!A119,PROGRAMAS!$A$4:$B$103,2,FALSE()),"")</f>
        <v/>
      </c>
      <c r="C319" s="84" t="str">
        <f>IF(PROGRAMA_DETALLE!A119="","","Tejedora")</f>
        <v/>
      </c>
      <c r="D319" s="94" t="str">
        <f>IF(PROGRAMA_DETALLE!N119="","",PROGRAMA_DETALLE!N119)</f>
        <v/>
      </c>
      <c r="E319" s="84" t="str">
        <f>IF(PROGRAMA_DETALLE!A119="","","Tejido "&amp;PROGRAMA_DETALLE!A119&amp;" "&amp;PROGRAMA_DETALLE!B119)</f>
        <v/>
      </c>
      <c r="F319" s="95" t="str">
        <f>IF(PROGRAMA_DETALLE!M119=0,"",PROGRAMA_DETALLE!M119)</f>
        <v/>
      </c>
      <c r="G319" s="95">
        <f>IF(PROGRAMA_DETALLE!P119="PAGADO",PROGRAMA_DETALLE!M119,0)</f>
        <v>0</v>
      </c>
      <c r="H319" s="95">
        <f>IF(OR(PROGRAMA_DETALLE!P119="PENDIENTE",PROGRAMA_DETALLE!P119="PARCIAL"),PROGRAMA_DETALLE!M119,0)</f>
        <v>0</v>
      </c>
      <c r="I319" s="94" t="str">
        <f>IF(PROGRAMA_DETALLE!P119="","",PROGRAMA_DETALLE!P119)</f>
        <v/>
      </c>
    </row>
    <row r="320" ht="15.75" customHeight="1">
      <c r="A320" s="87" t="s">
        <v>229</v>
      </c>
      <c r="B320" s="93" t="str">
        <f>IFERROR(VLOOKUP(PROGRAMA_DETALLE!A120,PROGRAMAS!$A$4:$B$103,2,FALSE()),"")</f>
        <v/>
      </c>
      <c r="C320" s="84" t="str">
        <f>IF(PROGRAMA_DETALLE!A120="","","Tejedora")</f>
        <v/>
      </c>
      <c r="D320" s="94" t="str">
        <f>IF(PROGRAMA_DETALLE!N120="","",PROGRAMA_DETALLE!N120)</f>
        <v/>
      </c>
      <c r="E320" s="84" t="str">
        <f>IF(PROGRAMA_DETALLE!A120="","","Tejido "&amp;PROGRAMA_DETALLE!A120&amp;" "&amp;PROGRAMA_DETALLE!B120)</f>
        <v/>
      </c>
      <c r="F320" s="95" t="str">
        <f>IF(PROGRAMA_DETALLE!M120=0,"",PROGRAMA_DETALLE!M120)</f>
        <v/>
      </c>
      <c r="G320" s="95">
        <f>IF(PROGRAMA_DETALLE!P120="PAGADO",PROGRAMA_DETALLE!M120,0)</f>
        <v>0</v>
      </c>
      <c r="H320" s="95">
        <f>IF(OR(PROGRAMA_DETALLE!P120="PENDIENTE",PROGRAMA_DETALLE!P120="PARCIAL"),PROGRAMA_DETALLE!M120,0)</f>
        <v>0</v>
      </c>
      <c r="I320" s="94" t="str">
        <f>IF(PROGRAMA_DETALLE!P120="","",PROGRAMA_DETALLE!P120)</f>
        <v/>
      </c>
    </row>
    <row r="321" ht="15.75" customHeight="1">
      <c r="A321" s="87" t="s">
        <v>229</v>
      </c>
      <c r="B321" s="93" t="str">
        <f>IFERROR(VLOOKUP(PROGRAMA_DETALLE!A121,PROGRAMAS!$A$4:$B$103,2,FALSE()),"")</f>
        <v/>
      </c>
      <c r="C321" s="84" t="str">
        <f>IF(PROGRAMA_DETALLE!A121="","","Tejedora")</f>
        <v/>
      </c>
      <c r="D321" s="94" t="str">
        <f>IF(PROGRAMA_DETALLE!N121="","",PROGRAMA_DETALLE!N121)</f>
        <v/>
      </c>
      <c r="E321" s="84" t="str">
        <f>IF(PROGRAMA_DETALLE!A121="","","Tejido "&amp;PROGRAMA_DETALLE!A121&amp;" "&amp;PROGRAMA_DETALLE!B121)</f>
        <v/>
      </c>
      <c r="F321" s="95" t="str">
        <f>IF(PROGRAMA_DETALLE!M121=0,"",PROGRAMA_DETALLE!M121)</f>
        <v/>
      </c>
      <c r="G321" s="95">
        <f>IF(PROGRAMA_DETALLE!P121="PAGADO",PROGRAMA_DETALLE!M121,0)</f>
        <v>0</v>
      </c>
      <c r="H321" s="95">
        <f>IF(OR(PROGRAMA_DETALLE!P121="PENDIENTE",PROGRAMA_DETALLE!P121="PARCIAL"),PROGRAMA_DETALLE!M121,0)</f>
        <v>0</v>
      </c>
      <c r="I321" s="94" t="str">
        <f>IF(PROGRAMA_DETALLE!P121="","",PROGRAMA_DETALLE!P121)</f>
        <v/>
      </c>
    </row>
    <row r="322" ht="15.75" customHeight="1">
      <c r="A322" s="87" t="s">
        <v>229</v>
      </c>
      <c r="B322" s="93" t="str">
        <f>IFERROR(VLOOKUP(PROGRAMA_DETALLE!A122,PROGRAMAS!$A$4:$B$103,2,FALSE()),"")</f>
        <v/>
      </c>
      <c r="C322" s="84" t="str">
        <f>IF(PROGRAMA_DETALLE!A122="","","Tejedora")</f>
        <v/>
      </c>
      <c r="D322" s="94" t="str">
        <f>IF(PROGRAMA_DETALLE!N122="","",PROGRAMA_DETALLE!N122)</f>
        <v/>
      </c>
      <c r="E322" s="84" t="str">
        <f>IF(PROGRAMA_DETALLE!A122="","","Tejido "&amp;PROGRAMA_DETALLE!A122&amp;" "&amp;PROGRAMA_DETALLE!B122)</f>
        <v/>
      </c>
      <c r="F322" s="95" t="str">
        <f>IF(PROGRAMA_DETALLE!M122=0,"",PROGRAMA_DETALLE!M122)</f>
        <v/>
      </c>
      <c r="G322" s="95">
        <f>IF(PROGRAMA_DETALLE!P122="PAGADO",PROGRAMA_DETALLE!M122,0)</f>
        <v>0</v>
      </c>
      <c r="H322" s="95">
        <f>IF(OR(PROGRAMA_DETALLE!P122="PENDIENTE",PROGRAMA_DETALLE!P122="PARCIAL"),PROGRAMA_DETALLE!M122,0)</f>
        <v>0</v>
      </c>
      <c r="I322" s="94" t="str">
        <f>IF(PROGRAMA_DETALLE!P122="","",PROGRAMA_DETALLE!P122)</f>
        <v/>
      </c>
    </row>
    <row r="323" ht="15.75" customHeight="1">
      <c r="A323" s="87" t="s">
        <v>229</v>
      </c>
      <c r="B323" s="93" t="str">
        <f>IFERROR(VLOOKUP(PROGRAMA_DETALLE!A123,PROGRAMAS!$A$4:$B$103,2,FALSE()),"")</f>
        <v/>
      </c>
      <c r="C323" s="84" t="str">
        <f>IF(PROGRAMA_DETALLE!A123="","","Tejedora")</f>
        <v/>
      </c>
      <c r="D323" s="94" t="str">
        <f>IF(PROGRAMA_DETALLE!N123="","",PROGRAMA_DETALLE!N123)</f>
        <v/>
      </c>
      <c r="E323" s="84" t="str">
        <f>IF(PROGRAMA_DETALLE!A123="","","Tejido "&amp;PROGRAMA_DETALLE!A123&amp;" "&amp;PROGRAMA_DETALLE!B123)</f>
        <v/>
      </c>
      <c r="F323" s="95" t="str">
        <f>IF(PROGRAMA_DETALLE!M123=0,"",PROGRAMA_DETALLE!M123)</f>
        <v/>
      </c>
      <c r="G323" s="95">
        <f>IF(PROGRAMA_DETALLE!P123="PAGADO",PROGRAMA_DETALLE!M123,0)</f>
        <v>0</v>
      </c>
      <c r="H323" s="95">
        <f>IF(OR(PROGRAMA_DETALLE!P123="PENDIENTE",PROGRAMA_DETALLE!P123="PARCIAL"),PROGRAMA_DETALLE!M123,0)</f>
        <v>0</v>
      </c>
      <c r="I323" s="94" t="str">
        <f>IF(PROGRAMA_DETALLE!P123="","",PROGRAMA_DETALLE!P123)</f>
        <v/>
      </c>
    </row>
    <row r="324" ht="15.75" customHeight="1">
      <c r="A324" s="87" t="s">
        <v>229</v>
      </c>
      <c r="B324" s="93" t="str">
        <f>IFERROR(VLOOKUP(PROGRAMA_DETALLE!A124,PROGRAMAS!$A$4:$B$103,2,FALSE()),"")</f>
        <v/>
      </c>
      <c r="C324" s="84" t="str">
        <f>IF(PROGRAMA_DETALLE!A124="","","Tejedora")</f>
        <v/>
      </c>
      <c r="D324" s="94" t="str">
        <f>IF(PROGRAMA_DETALLE!N124="","",PROGRAMA_DETALLE!N124)</f>
        <v/>
      </c>
      <c r="E324" s="84" t="str">
        <f>IF(PROGRAMA_DETALLE!A124="","","Tejido "&amp;PROGRAMA_DETALLE!A124&amp;" "&amp;PROGRAMA_DETALLE!B124)</f>
        <v/>
      </c>
      <c r="F324" s="95" t="str">
        <f>IF(PROGRAMA_DETALLE!M124=0,"",PROGRAMA_DETALLE!M124)</f>
        <v/>
      </c>
      <c r="G324" s="95">
        <f>IF(PROGRAMA_DETALLE!P124="PAGADO",PROGRAMA_DETALLE!M124,0)</f>
        <v>0</v>
      </c>
      <c r="H324" s="95">
        <f>IF(OR(PROGRAMA_DETALLE!P124="PENDIENTE",PROGRAMA_DETALLE!P124="PARCIAL"),PROGRAMA_DETALLE!M124,0)</f>
        <v>0</v>
      </c>
      <c r="I324" s="94" t="str">
        <f>IF(PROGRAMA_DETALLE!P124="","",PROGRAMA_DETALLE!P124)</f>
        <v/>
      </c>
    </row>
    <row r="325" ht="15.75" customHeight="1">
      <c r="A325" s="87" t="s">
        <v>229</v>
      </c>
      <c r="B325" s="93" t="str">
        <f>IFERROR(VLOOKUP(PROGRAMA_DETALLE!A125,PROGRAMAS!$A$4:$B$103,2,FALSE()),"")</f>
        <v/>
      </c>
      <c r="C325" s="84" t="str">
        <f>IF(PROGRAMA_DETALLE!A125="","","Tejedora")</f>
        <v/>
      </c>
      <c r="D325" s="94" t="str">
        <f>IF(PROGRAMA_DETALLE!N125="","",PROGRAMA_DETALLE!N125)</f>
        <v/>
      </c>
      <c r="E325" s="84" t="str">
        <f>IF(PROGRAMA_DETALLE!A125="","","Tejido "&amp;PROGRAMA_DETALLE!A125&amp;" "&amp;PROGRAMA_DETALLE!B125)</f>
        <v/>
      </c>
      <c r="F325" s="95" t="str">
        <f>IF(PROGRAMA_DETALLE!M125=0,"",PROGRAMA_DETALLE!M125)</f>
        <v/>
      </c>
      <c r="G325" s="95">
        <f>IF(PROGRAMA_DETALLE!P125="PAGADO",PROGRAMA_DETALLE!M125,0)</f>
        <v>0</v>
      </c>
      <c r="H325" s="95">
        <f>IF(OR(PROGRAMA_DETALLE!P125="PENDIENTE",PROGRAMA_DETALLE!P125="PARCIAL"),PROGRAMA_DETALLE!M125,0)</f>
        <v>0</v>
      </c>
      <c r="I325" s="94" t="str">
        <f>IF(PROGRAMA_DETALLE!P125="","",PROGRAMA_DETALLE!P125)</f>
        <v/>
      </c>
    </row>
    <row r="326" ht="15.75" customHeight="1">
      <c r="A326" s="87" t="s">
        <v>229</v>
      </c>
      <c r="B326" s="93" t="str">
        <f>IFERROR(VLOOKUP(PROGRAMA_DETALLE!A126,PROGRAMAS!$A$4:$B$103,2,FALSE()),"")</f>
        <v/>
      </c>
      <c r="C326" s="84" t="str">
        <f>IF(PROGRAMA_DETALLE!A126="","","Tejedora")</f>
        <v/>
      </c>
      <c r="D326" s="94" t="str">
        <f>IF(PROGRAMA_DETALLE!N126="","",PROGRAMA_DETALLE!N126)</f>
        <v/>
      </c>
      <c r="E326" s="84" t="str">
        <f>IF(PROGRAMA_DETALLE!A126="","","Tejido "&amp;PROGRAMA_DETALLE!A126&amp;" "&amp;PROGRAMA_DETALLE!B126)</f>
        <v/>
      </c>
      <c r="F326" s="95" t="str">
        <f>IF(PROGRAMA_DETALLE!M126=0,"",PROGRAMA_DETALLE!M126)</f>
        <v/>
      </c>
      <c r="G326" s="95">
        <f>IF(PROGRAMA_DETALLE!P126="PAGADO",PROGRAMA_DETALLE!M126,0)</f>
        <v>0</v>
      </c>
      <c r="H326" s="95">
        <f>IF(OR(PROGRAMA_DETALLE!P126="PENDIENTE",PROGRAMA_DETALLE!P126="PARCIAL"),PROGRAMA_DETALLE!M126,0)</f>
        <v>0</v>
      </c>
      <c r="I326" s="94" t="str">
        <f>IF(PROGRAMA_DETALLE!P126="","",PROGRAMA_DETALLE!P126)</f>
        <v/>
      </c>
    </row>
    <row r="327" ht="15.75" customHeight="1">
      <c r="A327" s="87" t="s">
        <v>229</v>
      </c>
      <c r="B327" s="93" t="str">
        <f>IFERROR(VLOOKUP(PROGRAMA_DETALLE!A127,PROGRAMAS!$A$4:$B$103,2,FALSE()),"")</f>
        <v/>
      </c>
      <c r="C327" s="84" t="str">
        <f>IF(PROGRAMA_DETALLE!A127="","","Tejedora")</f>
        <v/>
      </c>
      <c r="D327" s="94" t="str">
        <f>IF(PROGRAMA_DETALLE!N127="","",PROGRAMA_DETALLE!N127)</f>
        <v/>
      </c>
      <c r="E327" s="84" t="str">
        <f>IF(PROGRAMA_DETALLE!A127="","","Tejido "&amp;PROGRAMA_DETALLE!A127&amp;" "&amp;PROGRAMA_DETALLE!B127)</f>
        <v/>
      </c>
      <c r="F327" s="95" t="str">
        <f>IF(PROGRAMA_DETALLE!M127=0,"",PROGRAMA_DETALLE!M127)</f>
        <v/>
      </c>
      <c r="G327" s="95">
        <f>IF(PROGRAMA_DETALLE!P127="PAGADO",PROGRAMA_DETALLE!M127,0)</f>
        <v>0</v>
      </c>
      <c r="H327" s="95">
        <f>IF(OR(PROGRAMA_DETALLE!P127="PENDIENTE",PROGRAMA_DETALLE!P127="PARCIAL"),PROGRAMA_DETALLE!M127,0)</f>
        <v>0</v>
      </c>
      <c r="I327" s="94" t="str">
        <f>IF(PROGRAMA_DETALLE!P127="","",PROGRAMA_DETALLE!P127)</f>
        <v/>
      </c>
    </row>
    <row r="328" ht="15.75" customHeight="1">
      <c r="A328" s="87" t="s">
        <v>229</v>
      </c>
      <c r="B328" s="93" t="str">
        <f>IFERROR(VLOOKUP(PROGRAMA_DETALLE!A128,PROGRAMAS!$A$4:$B$103,2,FALSE()),"")</f>
        <v/>
      </c>
      <c r="C328" s="84" t="str">
        <f>IF(PROGRAMA_DETALLE!A128="","","Tejedora")</f>
        <v/>
      </c>
      <c r="D328" s="94" t="str">
        <f>IF(PROGRAMA_DETALLE!N128="","",PROGRAMA_DETALLE!N128)</f>
        <v/>
      </c>
      <c r="E328" s="84" t="str">
        <f>IF(PROGRAMA_DETALLE!A128="","","Tejido "&amp;PROGRAMA_DETALLE!A128&amp;" "&amp;PROGRAMA_DETALLE!B128)</f>
        <v/>
      </c>
      <c r="F328" s="95" t="str">
        <f>IF(PROGRAMA_DETALLE!M128=0,"",PROGRAMA_DETALLE!M128)</f>
        <v/>
      </c>
      <c r="G328" s="95">
        <f>IF(PROGRAMA_DETALLE!P128="PAGADO",PROGRAMA_DETALLE!M128,0)</f>
        <v>0</v>
      </c>
      <c r="H328" s="95">
        <f>IF(OR(PROGRAMA_DETALLE!P128="PENDIENTE",PROGRAMA_DETALLE!P128="PARCIAL"),PROGRAMA_DETALLE!M128,0)</f>
        <v>0</v>
      </c>
      <c r="I328" s="94" t="str">
        <f>IF(PROGRAMA_DETALLE!P128="","",PROGRAMA_DETALLE!P128)</f>
        <v/>
      </c>
    </row>
    <row r="329" ht="15.75" customHeight="1">
      <c r="A329" s="87" t="s">
        <v>229</v>
      </c>
      <c r="B329" s="93" t="str">
        <f>IFERROR(VLOOKUP(PROGRAMA_DETALLE!A129,PROGRAMAS!$A$4:$B$103,2,FALSE()),"")</f>
        <v/>
      </c>
      <c r="C329" s="84" t="str">
        <f>IF(PROGRAMA_DETALLE!A129="","","Tejedora")</f>
        <v/>
      </c>
      <c r="D329" s="94" t="str">
        <f>IF(PROGRAMA_DETALLE!N129="","",PROGRAMA_DETALLE!N129)</f>
        <v/>
      </c>
      <c r="E329" s="84" t="str">
        <f>IF(PROGRAMA_DETALLE!A129="","","Tejido "&amp;PROGRAMA_DETALLE!A129&amp;" "&amp;PROGRAMA_DETALLE!B129)</f>
        <v/>
      </c>
      <c r="F329" s="95" t="str">
        <f>IF(PROGRAMA_DETALLE!M129=0,"",PROGRAMA_DETALLE!M129)</f>
        <v/>
      </c>
      <c r="G329" s="95">
        <f>IF(PROGRAMA_DETALLE!P129="PAGADO",PROGRAMA_DETALLE!M129,0)</f>
        <v>0</v>
      </c>
      <c r="H329" s="95">
        <f>IF(OR(PROGRAMA_DETALLE!P129="PENDIENTE",PROGRAMA_DETALLE!P129="PARCIAL"),PROGRAMA_DETALLE!M129,0)</f>
        <v>0</v>
      </c>
      <c r="I329" s="94" t="str">
        <f>IF(PROGRAMA_DETALLE!P129="","",PROGRAMA_DETALLE!P129)</f>
        <v/>
      </c>
    </row>
    <row r="330" ht="15.75" customHeight="1">
      <c r="A330" s="87" t="s">
        <v>229</v>
      </c>
      <c r="B330" s="93" t="str">
        <f>IFERROR(VLOOKUP(PROGRAMA_DETALLE!A130,PROGRAMAS!$A$4:$B$103,2,FALSE()),"")</f>
        <v/>
      </c>
      <c r="C330" s="84" t="str">
        <f>IF(PROGRAMA_DETALLE!A130="","","Tejedora")</f>
        <v/>
      </c>
      <c r="D330" s="94" t="str">
        <f>IF(PROGRAMA_DETALLE!N130="","",PROGRAMA_DETALLE!N130)</f>
        <v/>
      </c>
      <c r="E330" s="84" t="str">
        <f>IF(PROGRAMA_DETALLE!A130="","","Tejido "&amp;PROGRAMA_DETALLE!A130&amp;" "&amp;PROGRAMA_DETALLE!B130)</f>
        <v/>
      </c>
      <c r="F330" s="95" t="str">
        <f>IF(PROGRAMA_DETALLE!M130=0,"",PROGRAMA_DETALLE!M130)</f>
        <v/>
      </c>
      <c r="G330" s="95">
        <f>IF(PROGRAMA_DETALLE!P130="PAGADO",PROGRAMA_DETALLE!M130,0)</f>
        <v>0</v>
      </c>
      <c r="H330" s="95">
        <f>IF(OR(PROGRAMA_DETALLE!P130="PENDIENTE",PROGRAMA_DETALLE!P130="PARCIAL"),PROGRAMA_DETALLE!M130,0)</f>
        <v>0</v>
      </c>
      <c r="I330" s="94" t="str">
        <f>IF(PROGRAMA_DETALLE!P130="","",PROGRAMA_DETALLE!P130)</f>
        <v/>
      </c>
    </row>
    <row r="331" ht="15.75" customHeight="1">
      <c r="A331" s="87" t="s">
        <v>229</v>
      </c>
      <c r="B331" s="93" t="str">
        <f>IFERROR(VLOOKUP(PROGRAMA_DETALLE!A131,PROGRAMAS!$A$4:$B$103,2,FALSE()),"")</f>
        <v/>
      </c>
      <c r="C331" s="84" t="str">
        <f>IF(PROGRAMA_DETALLE!A131="","","Tejedora")</f>
        <v/>
      </c>
      <c r="D331" s="94" t="str">
        <f>IF(PROGRAMA_DETALLE!N131="","",PROGRAMA_DETALLE!N131)</f>
        <v/>
      </c>
      <c r="E331" s="84" t="str">
        <f>IF(PROGRAMA_DETALLE!A131="","","Tejido "&amp;PROGRAMA_DETALLE!A131&amp;" "&amp;PROGRAMA_DETALLE!B131)</f>
        <v/>
      </c>
      <c r="F331" s="95" t="str">
        <f>IF(PROGRAMA_DETALLE!M131=0,"",PROGRAMA_DETALLE!M131)</f>
        <v/>
      </c>
      <c r="G331" s="95">
        <f>IF(PROGRAMA_DETALLE!P131="PAGADO",PROGRAMA_DETALLE!M131,0)</f>
        <v>0</v>
      </c>
      <c r="H331" s="95">
        <f>IF(OR(PROGRAMA_DETALLE!P131="PENDIENTE",PROGRAMA_DETALLE!P131="PARCIAL"),PROGRAMA_DETALLE!M131,0)</f>
        <v>0</v>
      </c>
      <c r="I331" s="94" t="str">
        <f>IF(PROGRAMA_DETALLE!P131="","",PROGRAMA_DETALLE!P131)</f>
        <v/>
      </c>
    </row>
    <row r="332" ht="15.75" customHeight="1">
      <c r="A332" s="87" t="s">
        <v>229</v>
      </c>
      <c r="B332" s="93" t="str">
        <f>IFERROR(VLOOKUP(PROGRAMA_DETALLE!A132,PROGRAMAS!$A$4:$B$103,2,FALSE()),"")</f>
        <v/>
      </c>
      <c r="C332" s="84" t="str">
        <f>IF(PROGRAMA_DETALLE!A132="","","Tejedora")</f>
        <v/>
      </c>
      <c r="D332" s="94" t="str">
        <f>IF(PROGRAMA_DETALLE!N132="","",PROGRAMA_DETALLE!N132)</f>
        <v/>
      </c>
      <c r="E332" s="84" t="str">
        <f>IF(PROGRAMA_DETALLE!A132="","","Tejido "&amp;PROGRAMA_DETALLE!A132&amp;" "&amp;PROGRAMA_DETALLE!B132)</f>
        <v/>
      </c>
      <c r="F332" s="95" t="str">
        <f>IF(PROGRAMA_DETALLE!M132=0,"",PROGRAMA_DETALLE!M132)</f>
        <v/>
      </c>
      <c r="G332" s="95">
        <f>IF(PROGRAMA_DETALLE!P132="PAGADO",PROGRAMA_DETALLE!M132,0)</f>
        <v>0</v>
      </c>
      <c r="H332" s="95">
        <f>IF(OR(PROGRAMA_DETALLE!P132="PENDIENTE",PROGRAMA_DETALLE!P132="PARCIAL"),PROGRAMA_DETALLE!M132,0)</f>
        <v>0</v>
      </c>
      <c r="I332" s="94" t="str">
        <f>IF(PROGRAMA_DETALLE!P132="","",PROGRAMA_DETALLE!P132)</f>
        <v/>
      </c>
    </row>
    <row r="333" ht="15.75" customHeight="1">
      <c r="A333" s="87" t="s">
        <v>229</v>
      </c>
      <c r="B333" s="93" t="str">
        <f>IFERROR(VLOOKUP(PROGRAMA_DETALLE!A133,PROGRAMAS!$A$4:$B$103,2,FALSE()),"")</f>
        <v/>
      </c>
      <c r="C333" s="84" t="str">
        <f>IF(PROGRAMA_DETALLE!A133="","","Tejedora")</f>
        <v/>
      </c>
      <c r="D333" s="94" t="str">
        <f>IF(PROGRAMA_DETALLE!N133="","",PROGRAMA_DETALLE!N133)</f>
        <v/>
      </c>
      <c r="E333" s="84" t="str">
        <f>IF(PROGRAMA_DETALLE!A133="","","Tejido "&amp;PROGRAMA_DETALLE!A133&amp;" "&amp;PROGRAMA_DETALLE!B133)</f>
        <v/>
      </c>
      <c r="F333" s="95" t="str">
        <f>IF(PROGRAMA_DETALLE!M133=0,"",PROGRAMA_DETALLE!M133)</f>
        <v/>
      </c>
      <c r="G333" s="95">
        <f>IF(PROGRAMA_DETALLE!P133="PAGADO",PROGRAMA_DETALLE!M133,0)</f>
        <v>0</v>
      </c>
      <c r="H333" s="95">
        <f>IF(OR(PROGRAMA_DETALLE!P133="PENDIENTE",PROGRAMA_DETALLE!P133="PARCIAL"),PROGRAMA_DETALLE!M133,0)</f>
        <v>0</v>
      </c>
      <c r="I333" s="94" t="str">
        <f>IF(PROGRAMA_DETALLE!P133="","",PROGRAMA_DETALLE!P133)</f>
        <v/>
      </c>
    </row>
    <row r="334" ht="15.75" customHeight="1">
      <c r="A334" s="87" t="s">
        <v>229</v>
      </c>
      <c r="B334" s="93" t="str">
        <f>IFERROR(VLOOKUP(PROGRAMA_DETALLE!A134,PROGRAMAS!$A$4:$B$103,2,FALSE()),"")</f>
        <v/>
      </c>
      <c r="C334" s="84" t="str">
        <f>IF(PROGRAMA_DETALLE!A134="","","Tejedora")</f>
        <v/>
      </c>
      <c r="D334" s="94" t="str">
        <f>IF(PROGRAMA_DETALLE!N134="","",PROGRAMA_DETALLE!N134)</f>
        <v/>
      </c>
      <c r="E334" s="84" t="str">
        <f>IF(PROGRAMA_DETALLE!A134="","","Tejido "&amp;PROGRAMA_DETALLE!A134&amp;" "&amp;PROGRAMA_DETALLE!B134)</f>
        <v/>
      </c>
      <c r="F334" s="95" t="str">
        <f>IF(PROGRAMA_DETALLE!M134=0,"",PROGRAMA_DETALLE!M134)</f>
        <v/>
      </c>
      <c r="G334" s="95">
        <f>IF(PROGRAMA_DETALLE!P134="PAGADO",PROGRAMA_DETALLE!M134,0)</f>
        <v>0</v>
      </c>
      <c r="H334" s="95">
        <f>IF(OR(PROGRAMA_DETALLE!P134="PENDIENTE",PROGRAMA_DETALLE!P134="PARCIAL"),PROGRAMA_DETALLE!M134,0)</f>
        <v>0</v>
      </c>
      <c r="I334" s="94" t="str">
        <f>IF(PROGRAMA_DETALLE!P134="","",PROGRAMA_DETALLE!P134)</f>
        <v/>
      </c>
    </row>
    <row r="335" ht="15.75" customHeight="1">
      <c r="A335" s="87" t="s">
        <v>229</v>
      </c>
      <c r="B335" s="93" t="str">
        <f>IFERROR(VLOOKUP(PROGRAMA_DETALLE!A135,PROGRAMAS!$A$4:$B$103,2,FALSE()),"")</f>
        <v/>
      </c>
      <c r="C335" s="84" t="str">
        <f>IF(PROGRAMA_DETALLE!A135="","","Tejedora")</f>
        <v/>
      </c>
      <c r="D335" s="94" t="str">
        <f>IF(PROGRAMA_DETALLE!N135="","",PROGRAMA_DETALLE!N135)</f>
        <v/>
      </c>
      <c r="E335" s="84" t="str">
        <f>IF(PROGRAMA_DETALLE!A135="","","Tejido "&amp;PROGRAMA_DETALLE!A135&amp;" "&amp;PROGRAMA_DETALLE!B135)</f>
        <v/>
      </c>
      <c r="F335" s="95" t="str">
        <f>IF(PROGRAMA_DETALLE!M135=0,"",PROGRAMA_DETALLE!M135)</f>
        <v/>
      </c>
      <c r="G335" s="95">
        <f>IF(PROGRAMA_DETALLE!P135="PAGADO",PROGRAMA_DETALLE!M135,0)</f>
        <v>0</v>
      </c>
      <c r="H335" s="95">
        <f>IF(OR(PROGRAMA_DETALLE!P135="PENDIENTE",PROGRAMA_DETALLE!P135="PARCIAL"),PROGRAMA_DETALLE!M135,0)</f>
        <v>0</v>
      </c>
      <c r="I335" s="94" t="str">
        <f>IF(PROGRAMA_DETALLE!P135="","",PROGRAMA_DETALLE!P135)</f>
        <v/>
      </c>
    </row>
    <row r="336" ht="15.75" customHeight="1">
      <c r="A336" s="87" t="s">
        <v>229</v>
      </c>
      <c r="B336" s="93" t="str">
        <f>IFERROR(VLOOKUP(PROGRAMA_DETALLE!A136,PROGRAMAS!$A$4:$B$103,2,FALSE()),"")</f>
        <v/>
      </c>
      <c r="C336" s="84" t="str">
        <f>IF(PROGRAMA_DETALLE!A136="","","Tejedora")</f>
        <v/>
      </c>
      <c r="D336" s="94" t="str">
        <f>IF(PROGRAMA_DETALLE!N136="","",PROGRAMA_DETALLE!N136)</f>
        <v/>
      </c>
      <c r="E336" s="84" t="str">
        <f>IF(PROGRAMA_DETALLE!A136="","","Tejido "&amp;PROGRAMA_DETALLE!A136&amp;" "&amp;PROGRAMA_DETALLE!B136)</f>
        <v/>
      </c>
      <c r="F336" s="95" t="str">
        <f>IF(PROGRAMA_DETALLE!M136=0,"",PROGRAMA_DETALLE!M136)</f>
        <v/>
      </c>
      <c r="G336" s="95">
        <f>IF(PROGRAMA_DETALLE!P136="PAGADO",PROGRAMA_DETALLE!M136,0)</f>
        <v>0</v>
      </c>
      <c r="H336" s="95">
        <f>IF(OR(PROGRAMA_DETALLE!P136="PENDIENTE",PROGRAMA_DETALLE!P136="PARCIAL"),PROGRAMA_DETALLE!M136,0)</f>
        <v>0</v>
      </c>
      <c r="I336" s="94" t="str">
        <f>IF(PROGRAMA_DETALLE!P136="","",PROGRAMA_DETALLE!P136)</f>
        <v/>
      </c>
    </row>
    <row r="337" ht="15.75" customHeight="1">
      <c r="A337" s="87" t="s">
        <v>229</v>
      </c>
      <c r="B337" s="93" t="str">
        <f>IFERROR(VLOOKUP(PROGRAMA_DETALLE!A137,PROGRAMAS!$A$4:$B$103,2,FALSE()),"")</f>
        <v/>
      </c>
      <c r="C337" s="84" t="str">
        <f>IF(PROGRAMA_DETALLE!A137="","","Tejedora")</f>
        <v/>
      </c>
      <c r="D337" s="94" t="str">
        <f>IF(PROGRAMA_DETALLE!N137="","",PROGRAMA_DETALLE!N137)</f>
        <v/>
      </c>
      <c r="E337" s="84" t="str">
        <f>IF(PROGRAMA_DETALLE!A137="","","Tejido "&amp;PROGRAMA_DETALLE!A137&amp;" "&amp;PROGRAMA_DETALLE!B137)</f>
        <v/>
      </c>
      <c r="F337" s="95" t="str">
        <f>IF(PROGRAMA_DETALLE!M137=0,"",PROGRAMA_DETALLE!M137)</f>
        <v/>
      </c>
      <c r="G337" s="95">
        <f>IF(PROGRAMA_DETALLE!P137="PAGADO",PROGRAMA_DETALLE!M137,0)</f>
        <v>0</v>
      </c>
      <c r="H337" s="95">
        <f>IF(OR(PROGRAMA_DETALLE!P137="PENDIENTE",PROGRAMA_DETALLE!P137="PARCIAL"),PROGRAMA_DETALLE!M137,0)</f>
        <v>0</v>
      </c>
      <c r="I337" s="94" t="str">
        <f>IF(PROGRAMA_DETALLE!P137="","",PROGRAMA_DETALLE!P137)</f>
        <v/>
      </c>
    </row>
    <row r="338" ht="15.75" customHeight="1">
      <c r="A338" s="87" t="s">
        <v>229</v>
      </c>
      <c r="B338" s="93" t="str">
        <f>IFERROR(VLOOKUP(PROGRAMA_DETALLE!A138,PROGRAMAS!$A$4:$B$103,2,FALSE()),"")</f>
        <v/>
      </c>
      <c r="C338" s="84" t="str">
        <f>IF(PROGRAMA_DETALLE!A138="","","Tejedora")</f>
        <v/>
      </c>
      <c r="D338" s="94" t="str">
        <f>IF(PROGRAMA_DETALLE!N138="","",PROGRAMA_DETALLE!N138)</f>
        <v/>
      </c>
      <c r="E338" s="84" t="str">
        <f>IF(PROGRAMA_DETALLE!A138="","","Tejido "&amp;PROGRAMA_DETALLE!A138&amp;" "&amp;PROGRAMA_DETALLE!B138)</f>
        <v/>
      </c>
      <c r="F338" s="95" t="str">
        <f>IF(PROGRAMA_DETALLE!M138=0,"",PROGRAMA_DETALLE!M138)</f>
        <v/>
      </c>
      <c r="G338" s="95">
        <f>IF(PROGRAMA_DETALLE!P138="PAGADO",PROGRAMA_DETALLE!M138,0)</f>
        <v>0</v>
      </c>
      <c r="H338" s="95">
        <f>IF(OR(PROGRAMA_DETALLE!P138="PENDIENTE",PROGRAMA_DETALLE!P138="PARCIAL"),PROGRAMA_DETALLE!M138,0)</f>
        <v>0</v>
      </c>
      <c r="I338" s="94" t="str">
        <f>IF(PROGRAMA_DETALLE!P138="","",PROGRAMA_DETALLE!P138)</f>
        <v/>
      </c>
    </row>
    <row r="339" ht="15.75" customHeight="1">
      <c r="A339" s="87" t="s">
        <v>229</v>
      </c>
      <c r="B339" s="93" t="str">
        <f>IFERROR(VLOOKUP(PROGRAMA_DETALLE!A139,PROGRAMAS!$A$4:$B$103,2,FALSE()),"")</f>
        <v/>
      </c>
      <c r="C339" s="84" t="str">
        <f>IF(PROGRAMA_DETALLE!A139="","","Tejedora")</f>
        <v/>
      </c>
      <c r="D339" s="94" t="str">
        <f>IF(PROGRAMA_DETALLE!N139="","",PROGRAMA_DETALLE!N139)</f>
        <v/>
      </c>
      <c r="E339" s="84" t="str">
        <f>IF(PROGRAMA_DETALLE!A139="","","Tejido "&amp;PROGRAMA_DETALLE!A139&amp;" "&amp;PROGRAMA_DETALLE!B139)</f>
        <v/>
      </c>
      <c r="F339" s="95" t="str">
        <f>IF(PROGRAMA_DETALLE!M139=0,"",PROGRAMA_DETALLE!M139)</f>
        <v/>
      </c>
      <c r="G339" s="95">
        <f>IF(PROGRAMA_DETALLE!P139="PAGADO",PROGRAMA_DETALLE!M139,0)</f>
        <v>0</v>
      </c>
      <c r="H339" s="95">
        <f>IF(OR(PROGRAMA_DETALLE!P139="PENDIENTE",PROGRAMA_DETALLE!P139="PARCIAL"),PROGRAMA_DETALLE!M139,0)</f>
        <v>0</v>
      </c>
      <c r="I339" s="94" t="str">
        <f>IF(PROGRAMA_DETALLE!P139="","",PROGRAMA_DETALLE!P139)</f>
        <v/>
      </c>
    </row>
    <row r="340" ht="15.75" customHeight="1">
      <c r="A340" s="87" t="s">
        <v>229</v>
      </c>
      <c r="B340" s="93" t="str">
        <f>IFERROR(VLOOKUP(PROGRAMA_DETALLE!A140,PROGRAMAS!$A$4:$B$103,2,FALSE()),"")</f>
        <v/>
      </c>
      <c r="C340" s="84" t="str">
        <f>IF(PROGRAMA_DETALLE!A140="","","Tejedora")</f>
        <v/>
      </c>
      <c r="D340" s="94" t="str">
        <f>IF(PROGRAMA_DETALLE!N140="","",PROGRAMA_DETALLE!N140)</f>
        <v/>
      </c>
      <c r="E340" s="84" t="str">
        <f>IF(PROGRAMA_DETALLE!A140="","","Tejido "&amp;PROGRAMA_DETALLE!A140&amp;" "&amp;PROGRAMA_DETALLE!B140)</f>
        <v/>
      </c>
      <c r="F340" s="95" t="str">
        <f>IF(PROGRAMA_DETALLE!M140=0,"",PROGRAMA_DETALLE!M140)</f>
        <v/>
      </c>
      <c r="G340" s="95">
        <f>IF(PROGRAMA_DETALLE!P140="PAGADO",PROGRAMA_DETALLE!M140,0)</f>
        <v>0</v>
      </c>
      <c r="H340" s="95">
        <f>IF(OR(PROGRAMA_DETALLE!P140="PENDIENTE",PROGRAMA_DETALLE!P140="PARCIAL"),PROGRAMA_DETALLE!M140,0)</f>
        <v>0</v>
      </c>
      <c r="I340" s="94" t="str">
        <f>IF(PROGRAMA_DETALLE!P140="","",PROGRAMA_DETALLE!P140)</f>
        <v/>
      </c>
    </row>
    <row r="341" ht="15.75" customHeight="1">
      <c r="A341" s="87" t="s">
        <v>229</v>
      </c>
      <c r="B341" s="93" t="str">
        <f>IFERROR(VLOOKUP(PROGRAMA_DETALLE!A141,PROGRAMAS!$A$4:$B$103,2,FALSE()),"")</f>
        <v/>
      </c>
      <c r="C341" s="84" t="str">
        <f>IF(PROGRAMA_DETALLE!A141="","","Tejedora")</f>
        <v/>
      </c>
      <c r="D341" s="94" t="str">
        <f>IF(PROGRAMA_DETALLE!N141="","",PROGRAMA_DETALLE!N141)</f>
        <v/>
      </c>
      <c r="E341" s="84" t="str">
        <f>IF(PROGRAMA_DETALLE!A141="","","Tejido "&amp;PROGRAMA_DETALLE!A141&amp;" "&amp;PROGRAMA_DETALLE!B141)</f>
        <v/>
      </c>
      <c r="F341" s="95" t="str">
        <f>IF(PROGRAMA_DETALLE!M141=0,"",PROGRAMA_DETALLE!M141)</f>
        <v/>
      </c>
      <c r="G341" s="95">
        <f>IF(PROGRAMA_DETALLE!P141="PAGADO",PROGRAMA_DETALLE!M141,0)</f>
        <v>0</v>
      </c>
      <c r="H341" s="95">
        <f>IF(OR(PROGRAMA_DETALLE!P141="PENDIENTE",PROGRAMA_DETALLE!P141="PARCIAL"),PROGRAMA_DETALLE!M141,0)</f>
        <v>0</v>
      </c>
      <c r="I341" s="94" t="str">
        <f>IF(PROGRAMA_DETALLE!P141="","",PROGRAMA_DETALLE!P141)</f>
        <v/>
      </c>
    </row>
    <row r="342" ht="15.75" customHeight="1">
      <c r="A342" s="87" t="s">
        <v>229</v>
      </c>
      <c r="B342" s="93" t="str">
        <f>IFERROR(VLOOKUP(PROGRAMA_DETALLE!A142,PROGRAMAS!$A$4:$B$103,2,FALSE()),"")</f>
        <v/>
      </c>
      <c r="C342" s="84" t="str">
        <f>IF(PROGRAMA_DETALLE!A142="","","Tejedora")</f>
        <v/>
      </c>
      <c r="D342" s="94" t="str">
        <f>IF(PROGRAMA_DETALLE!N142="","",PROGRAMA_DETALLE!N142)</f>
        <v/>
      </c>
      <c r="E342" s="84" t="str">
        <f>IF(PROGRAMA_DETALLE!A142="","","Tejido "&amp;PROGRAMA_DETALLE!A142&amp;" "&amp;PROGRAMA_DETALLE!B142)</f>
        <v/>
      </c>
      <c r="F342" s="95" t="str">
        <f>IF(PROGRAMA_DETALLE!M142=0,"",PROGRAMA_DETALLE!M142)</f>
        <v/>
      </c>
      <c r="G342" s="95">
        <f>IF(PROGRAMA_DETALLE!P142="PAGADO",PROGRAMA_DETALLE!M142,0)</f>
        <v>0</v>
      </c>
      <c r="H342" s="95">
        <f>IF(OR(PROGRAMA_DETALLE!P142="PENDIENTE",PROGRAMA_DETALLE!P142="PARCIAL"),PROGRAMA_DETALLE!M142,0)</f>
        <v>0</v>
      </c>
      <c r="I342" s="94" t="str">
        <f>IF(PROGRAMA_DETALLE!P142="","",PROGRAMA_DETALLE!P142)</f>
        <v/>
      </c>
    </row>
    <row r="343" ht="15.75" customHeight="1">
      <c r="A343" s="87" t="s">
        <v>229</v>
      </c>
      <c r="B343" s="93" t="str">
        <f>IFERROR(VLOOKUP(PROGRAMA_DETALLE!A143,PROGRAMAS!$A$4:$B$103,2,FALSE()),"")</f>
        <v/>
      </c>
      <c r="C343" s="84" t="str">
        <f>IF(PROGRAMA_DETALLE!A143="","","Tejedora")</f>
        <v/>
      </c>
      <c r="D343" s="94" t="str">
        <f>IF(PROGRAMA_DETALLE!N143="","",PROGRAMA_DETALLE!N143)</f>
        <v/>
      </c>
      <c r="E343" s="84" t="str">
        <f>IF(PROGRAMA_DETALLE!A143="","","Tejido "&amp;PROGRAMA_DETALLE!A143&amp;" "&amp;PROGRAMA_DETALLE!B143)</f>
        <v/>
      </c>
      <c r="F343" s="95" t="str">
        <f>IF(PROGRAMA_DETALLE!M143=0,"",PROGRAMA_DETALLE!M143)</f>
        <v/>
      </c>
      <c r="G343" s="95">
        <f>IF(PROGRAMA_DETALLE!P143="PAGADO",PROGRAMA_DETALLE!M143,0)</f>
        <v>0</v>
      </c>
      <c r="H343" s="95">
        <f>IF(OR(PROGRAMA_DETALLE!P143="PENDIENTE",PROGRAMA_DETALLE!P143="PARCIAL"),PROGRAMA_DETALLE!M143,0)</f>
        <v>0</v>
      </c>
      <c r="I343" s="94" t="str">
        <f>IF(PROGRAMA_DETALLE!P143="","",PROGRAMA_DETALLE!P143)</f>
        <v/>
      </c>
    </row>
    <row r="344" ht="15.75" customHeight="1">
      <c r="A344" s="87" t="s">
        <v>229</v>
      </c>
      <c r="B344" s="93" t="str">
        <f>IFERROR(VLOOKUP(PROGRAMA_DETALLE!A144,PROGRAMAS!$A$4:$B$103,2,FALSE()),"")</f>
        <v/>
      </c>
      <c r="C344" s="84" t="str">
        <f>IF(PROGRAMA_DETALLE!A144="","","Tejedora")</f>
        <v/>
      </c>
      <c r="D344" s="94" t="str">
        <f>IF(PROGRAMA_DETALLE!N144="","",PROGRAMA_DETALLE!N144)</f>
        <v/>
      </c>
      <c r="E344" s="84" t="str">
        <f>IF(PROGRAMA_DETALLE!A144="","","Tejido "&amp;PROGRAMA_DETALLE!A144&amp;" "&amp;PROGRAMA_DETALLE!B144)</f>
        <v/>
      </c>
      <c r="F344" s="95" t="str">
        <f>IF(PROGRAMA_DETALLE!M144=0,"",PROGRAMA_DETALLE!M144)</f>
        <v/>
      </c>
      <c r="G344" s="95">
        <f>IF(PROGRAMA_DETALLE!P144="PAGADO",PROGRAMA_DETALLE!M144,0)</f>
        <v>0</v>
      </c>
      <c r="H344" s="95">
        <f>IF(OR(PROGRAMA_DETALLE!P144="PENDIENTE",PROGRAMA_DETALLE!P144="PARCIAL"),PROGRAMA_DETALLE!M144,0)</f>
        <v>0</v>
      </c>
      <c r="I344" s="94" t="str">
        <f>IF(PROGRAMA_DETALLE!P144="","",PROGRAMA_DETALLE!P144)</f>
        <v/>
      </c>
    </row>
    <row r="345" ht="15.75" customHeight="1">
      <c r="A345" s="87" t="s">
        <v>229</v>
      </c>
      <c r="B345" s="93" t="str">
        <f>IFERROR(VLOOKUP(PROGRAMA_DETALLE!A145,PROGRAMAS!$A$4:$B$103,2,FALSE()),"")</f>
        <v/>
      </c>
      <c r="C345" s="84" t="str">
        <f>IF(PROGRAMA_DETALLE!A145="","","Tejedora")</f>
        <v/>
      </c>
      <c r="D345" s="94" t="str">
        <f>IF(PROGRAMA_DETALLE!N145="","",PROGRAMA_DETALLE!N145)</f>
        <v/>
      </c>
      <c r="E345" s="84" t="str">
        <f>IF(PROGRAMA_DETALLE!A145="","","Tejido "&amp;PROGRAMA_DETALLE!A145&amp;" "&amp;PROGRAMA_DETALLE!B145)</f>
        <v/>
      </c>
      <c r="F345" s="95" t="str">
        <f>IF(PROGRAMA_DETALLE!M145=0,"",PROGRAMA_DETALLE!M145)</f>
        <v/>
      </c>
      <c r="G345" s="95">
        <f>IF(PROGRAMA_DETALLE!P145="PAGADO",PROGRAMA_DETALLE!M145,0)</f>
        <v>0</v>
      </c>
      <c r="H345" s="95">
        <f>IF(OR(PROGRAMA_DETALLE!P145="PENDIENTE",PROGRAMA_DETALLE!P145="PARCIAL"),PROGRAMA_DETALLE!M145,0)</f>
        <v>0</v>
      </c>
      <c r="I345" s="94" t="str">
        <f>IF(PROGRAMA_DETALLE!P145="","",PROGRAMA_DETALLE!P145)</f>
        <v/>
      </c>
    </row>
    <row r="346" ht="15.75" customHeight="1">
      <c r="A346" s="87" t="s">
        <v>229</v>
      </c>
      <c r="B346" s="93" t="str">
        <f>IFERROR(VLOOKUP(PROGRAMA_DETALLE!A146,PROGRAMAS!$A$4:$B$103,2,FALSE()),"")</f>
        <v/>
      </c>
      <c r="C346" s="84" t="str">
        <f>IF(PROGRAMA_DETALLE!A146="","","Tejedora")</f>
        <v/>
      </c>
      <c r="D346" s="94" t="str">
        <f>IF(PROGRAMA_DETALLE!N146="","",PROGRAMA_DETALLE!N146)</f>
        <v/>
      </c>
      <c r="E346" s="84" t="str">
        <f>IF(PROGRAMA_DETALLE!A146="","","Tejido "&amp;PROGRAMA_DETALLE!A146&amp;" "&amp;PROGRAMA_DETALLE!B146)</f>
        <v/>
      </c>
      <c r="F346" s="95" t="str">
        <f>IF(PROGRAMA_DETALLE!M146=0,"",PROGRAMA_DETALLE!M146)</f>
        <v/>
      </c>
      <c r="G346" s="95">
        <f>IF(PROGRAMA_DETALLE!P146="PAGADO",PROGRAMA_DETALLE!M146,0)</f>
        <v>0</v>
      </c>
      <c r="H346" s="95">
        <f>IF(OR(PROGRAMA_DETALLE!P146="PENDIENTE",PROGRAMA_DETALLE!P146="PARCIAL"),PROGRAMA_DETALLE!M146,0)</f>
        <v>0</v>
      </c>
      <c r="I346" s="94" t="str">
        <f>IF(PROGRAMA_DETALLE!P146="","",PROGRAMA_DETALLE!P146)</f>
        <v/>
      </c>
    </row>
    <row r="347" ht="15.75" customHeight="1">
      <c r="A347" s="87" t="s">
        <v>229</v>
      </c>
      <c r="B347" s="93" t="str">
        <f>IFERROR(VLOOKUP(PROGRAMA_DETALLE!A147,PROGRAMAS!$A$4:$B$103,2,FALSE()),"")</f>
        <v/>
      </c>
      <c r="C347" s="84" t="str">
        <f>IF(PROGRAMA_DETALLE!A147="","","Tejedora")</f>
        <v/>
      </c>
      <c r="D347" s="94" t="str">
        <f>IF(PROGRAMA_DETALLE!N147="","",PROGRAMA_DETALLE!N147)</f>
        <v/>
      </c>
      <c r="E347" s="84" t="str">
        <f>IF(PROGRAMA_DETALLE!A147="","","Tejido "&amp;PROGRAMA_DETALLE!A147&amp;" "&amp;PROGRAMA_DETALLE!B147)</f>
        <v/>
      </c>
      <c r="F347" s="95" t="str">
        <f>IF(PROGRAMA_DETALLE!M147=0,"",PROGRAMA_DETALLE!M147)</f>
        <v/>
      </c>
      <c r="G347" s="95">
        <f>IF(PROGRAMA_DETALLE!P147="PAGADO",PROGRAMA_DETALLE!M147,0)</f>
        <v>0</v>
      </c>
      <c r="H347" s="95">
        <f>IF(OR(PROGRAMA_DETALLE!P147="PENDIENTE",PROGRAMA_DETALLE!P147="PARCIAL"),PROGRAMA_DETALLE!M147,0)</f>
        <v>0</v>
      </c>
      <c r="I347" s="94" t="str">
        <f>IF(PROGRAMA_DETALLE!P147="","",PROGRAMA_DETALLE!P147)</f>
        <v/>
      </c>
    </row>
    <row r="348" ht="15.75" customHeight="1">
      <c r="A348" s="87" t="s">
        <v>229</v>
      </c>
      <c r="B348" s="93" t="str">
        <f>IFERROR(VLOOKUP(PROGRAMA_DETALLE!A148,PROGRAMAS!$A$4:$B$103,2,FALSE()),"")</f>
        <v/>
      </c>
      <c r="C348" s="84" t="str">
        <f>IF(PROGRAMA_DETALLE!A148="","","Tejedora")</f>
        <v/>
      </c>
      <c r="D348" s="94" t="str">
        <f>IF(PROGRAMA_DETALLE!N148="","",PROGRAMA_DETALLE!N148)</f>
        <v/>
      </c>
      <c r="E348" s="84" t="str">
        <f>IF(PROGRAMA_DETALLE!A148="","","Tejido "&amp;PROGRAMA_DETALLE!A148&amp;" "&amp;PROGRAMA_DETALLE!B148)</f>
        <v/>
      </c>
      <c r="F348" s="95" t="str">
        <f>IF(PROGRAMA_DETALLE!M148=0,"",PROGRAMA_DETALLE!M148)</f>
        <v/>
      </c>
      <c r="G348" s="95">
        <f>IF(PROGRAMA_DETALLE!P148="PAGADO",PROGRAMA_DETALLE!M148,0)</f>
        <v>0</v>
      </c>
      <c r="H348" s="95">
        <f>IF(OR(PROGRAMA_DETALLE!P148="PENDIENTE",PROGRAMA_DETALLE!P148="PARCIAL"),PROGRAMA_DETALLE!M148,0)</f>
        <v>0</v>
      </c>
      <c r="I348" s="94" t="str">
        <f>IF(PROGRAMA_DETALLE!P148="","",PROGRAMA_DETALLE!P148)</f>
        <v/>
      </c>
    </row>
    <row r="349" ht="15.75" customHeight="1">
      <c r="A349" s="87" t="s">
        <v>229</v>
      </c>
      <c r="B349" s="93" t="str">
        <f>IFERROR(VLOOKUP(PROGRAMA_DETALLE!A149,PROGRAMAS!$A$4:$B$103,2,FALSE()),"")</f>
        <v/>
      </c>
      <c r="C349" s="84" t="str">
        <f>IF(PROGRAMA_DETALLE!A149="","","Tejedora")</f>
        <v/>
      </c>
      <c r="D349" s="94" t="str">
        <f>IF(PROGRAMA_DETALLE!N149="","",PROGRAMA_DETALLE!N149)</f>
        <v/>
      </c>
      <c r="E349" s="84" t="str">
        <f>IF(PROGRAMA_DETALLE!A149="","","Tejido "&amp;PROGRAMA_DETALLE!A149&amp;" "&amp;PROGRAMA_DETALLE!B149)</f>
        <v/>
      </c>
      <c r="F349" s="95" t="str">
        <f>IF(PROGRAMA_DETALLE!M149=0,"",PROGRAMA_DETALLE!M149)</f>
        <v/>
      </c>
      <c r="G349" s="95">
        <f>IF(PROGRAMA_DETALLE!P149="PAGADO",PROGRAMA_DETALLE!M149,0)</f>
        <v>0</v>
      </c>
      <c r="H349" s="95">
        <f>IF(OR(PROGRAMA_DETALLE!P149="PENDIENTE",PROGRAMA_DETALLE!P149="PARCIAL"),PROGRAMA_DETALLE!M149,0)</f>
        <v>0</v>
      </c>
      <c r="I349" s="94" t="str">
        <f>IF(PROGRAMA_DETALLE!P149="","",PROGRAMA_DETALLE!P149)</f>
        <v/>
      </c>
    </row>
    <row r="350" ht="15.75" customHeight="1">
      <c r="A350" s="87" t="s">
        <v>229</v>
      </c>
      <c r="B350" s="93" t="str">
        <f>IFERROR(VLOOKUP(PROGRAMA_DETALLE!A150,PROGRAMAS!$A$4:$B$103,2,FALSE()),"")</f>
        <v/>
      </c>
      <c r="C350" s="84" t="str">
        <f>IF(PROGRAMA_DETALLE!A150="","","Tejedora")</f>
        <v/>
      </c>
      <c r="D350" s="94" t="str">
        <f>IF(PROGRAMA_DETALLE!N150="","",PROGRAMA_DETALLE!N150)</f>
        <v/>
      </c>
      <c r="E350" s="84" t="str">
        <f>IF(PROGRAMA_DETALLE!A150="","","Tejido "&amp;PROGRAMA_DETALLE!A150&amp;" "&amp;PROGRAMA_DETALLE!B150)</f>
        <v/>
      </c>
      <c r="F350" s="95" t="str">
        <f>IF(PROGRAMA_DETALLE!M150=0,"",PROGRAMA_DETALLE!M150)</f>
        <v/>
      </c>
      <c r="G350" s="95">
        <f>IF(PROGRAMA_DETALLE!P150="PAGADO",PROGRAMA_DETALLE!M150,0)</f>
        <v>0</v>
      </c>
      <c r="H350" s="95">
        <f>IF(OR(PROGRAMA_DETALLE!P150="PENDIENTE",PROGRAMA_DETALLE!P150="PARCIAL"),PROGRAMA_DETALLE!M150,0)</f>
        <v>0</v>
      </c>
      <c r="I350" s="94" t="str">
        <f>IF(PROGRAMA_DETALLE!P150="","",PROGRAMA_DETALLE!P150)</f>
        <v/>
      </c>
    </row>
    <row r="351" ht="15.75" customHeight="1">
      <c r="A351" s="87" t="s">
        <v>229</v>
      </c>
      <c r="B351" s="93" t="str">
        <f>IFERROR(VLOOKUP(PROGRAMA_DETALLE!A151,PROGRAMAS!$A$4:$B$103,2,FALSE()),"")</f>
        <v/>
      </c>
      <c r="C351" s="84" t="str">
        <f>IF(PROGRAMA_DETALLE!A151="","","Tejedora")</f>
        <v/>
      </c>
      <c r="D351" s="94" t="str">
        <f>IF(PROGRAMA_DETALLE!N151="","",PROGRAMA_DETALLE!N151)</f>
        <v/>
      </c>
      <c r="E351" s="84" t="str">
        <f>IF(PROGRAMA_DETALLE!A151="","","Tejido "&amp;PROGRAMA_DETALLE!A151&amp;" "&amp;PROGRAMA_DETALLE!B151)</f>
        <v/>
      </c>
      <c r="F351" s="95" t="str">
        <f>IF(PROGRAMA_DETALLE!M151=0,"",PROGRAMA_DETALLE!M151)</f>
        <v/>
      </c>
      <c r="G351" s="95">
        <f>IF(PROGRAMA_DETALLE!P151="PAGADO",PROGRAMA_DETALLE!M151,0)</f>
        <v>0</v>
      </c>
      <c r="H351" s="95">
        <f>IF(OR(PROGRAMA_DETALLE!P151="PENDIENTE",PROGRAMA_DETALLE!P151="PARCIAL"),PROGRAMA_DETALLE!M151,0)</f>
        <v>0</v>
      </c>
      <c r="I351" s="94" t="str">
        <f>IF(PROGRAMA_DETALLE!P151="","",PROGRAMA_DETALLE!P151)</f>
        <v/>
      </c>
    </row>
    <row r="352" ht="15.75" customHeight="1">
      <c r="A352" s="87" t="s">
        <v>229</v>
      </c>
      <c r="B352" s="93" t="str">
        <f>IFERROR(VLOOKUP(PROGRAMA_DETALLE!A152,PROGRAMAS!$A$4:$B$103,2,FALSE()),"")</f>
        <v/>
      </c>
      <c r="C352" s="84" t="str">
        <f>IF(PROGRAMA_DETALLE!A152="","","Tejedora")</f>
        <v/>
      </c>
      <c r="D352" s="94" t="str">
        <f>IF(PROGRAMA_DETALLE!N152="","",PROGRAMA_DETALLE!N152)</f>
        <v/>
      </c>
      <c r="E352" s="84" t="str">
        <f>IF(PROGRAMA_DETALLE!A152="","","Tejido "&amp;PROGRAMA_DETALLE!A152&amp;" "&amp;PROGRAMA_DETALLE!B152)</f>
        <v/>
      </c>
      <c r="F352" s="95" t="str">
        <f>IF(PROGRAMA_DETALLE!M152=0,"",PROGRAMA_DETALLE!M152)</f>
        <v/>
      </c>
      <c r="G352" s="95">
        <f>IF(PROGRAMA_DETALLE!P152="PAGADO",PROGRAMA_DETALLE!M152,0)</f>
        <v>0</v>
      </c>
      <c r="H352" s="95">
        <f>IF(OR(PROGRAMA_DETALLE!P152="PENDIENTE",PROGRAMA_DETALLE!P152="PARCIAL"),PROGRAMA_DETALLE!M152,0)</f>
        <v>0</v>
      </c>
      <c r="I352" s="94" t="str">
        <f>IF(PROGRAMA_DETALLE!P152="","",PROGRAMA_DETALLE!P152)</f>
        <v/>
      </c>
    </row>
    <row r="353" ht="15.75" customHeight="1">
      <c r="A353" s="87" t="s">
        <v>229</v>
      </c>
      <c r="B353" s="93" t="str">
        <f>IFERROR(VLOOKUP(PROGRAMA_DETALLE!A153,PROGRAMAS!$A$4:$B$103,2,FALSE()),"")</f>
        <v/>
      </c>
      <c r="C353" s="84" t="str">
        <f>IF(PROGRAMA_DETALLE!A153="","","Tejedora")</f>
        <v/>
      </c>
      <c r="D353" s="94" t="str">
        <f>IF(PROGRAMA_DETALLE!N153="","",PROGRAMA_DETALLE!N153)</f>
        <v/>
      </c>
      <c r="E353" s="84" t="str">
        <f>IF(PROGRAMA_DETALLE!A153="","","Tejido "&amp;PROGRAMA_DETALLE!A153&amp;" "&amp;PROGRAMA_DETALLE!B153)</f>
        <v/>
      </c>
      <c r="F353" s="95" t="str">
        <f>IF(PROGRAMA_DETALLE!M153=0,"",PROGRAMA_DETALLE!M153)</f>
        <v/>
      </c>
      <c r="G353" s="95">
        <f>IF(PROGRAMA_DETALLE!P153="PAGADO",PROGRAMA_DETALLE!M153,0)</f>
        <v>0</v>
      </c>
      <c r="H353" s="95">
        <f>IF(OR(PROGRAMA_DETALLE!P153="PENDIENTE",PROGRAMA_DETALLE!P153="PARCIAL"),PROGRAMA_DETALLE!M153,0)</f>
        <v>0</v>
      </c>
      <c r="I353" s="94" t="str">
        <f>IF(PROGRAMA_DETALLE!P153="","",PROGRAMA_DETALLE!P153)</f>
        <v/>
      </c>
    </row>
    <row r="354" ht="15.75" customHeight="1">
      <c r="A354" s="87" t="s">
        <v>229</v>
      </c>
      <c r="B354" s="93" t="str">
        <f>IFERROR(VLOOKUP(PROGRAMA_DETALLE!A154,PROGRAMAS!$A$4:$B$103,2,FALSE()),"")</f>
        <v/>
      </c>
      <c r="C354" s="84" t="str">
        <f>IF(PROGRAMA_DETALLE!A154="","","Tejedora")</f>
        <v/>
      </c>
      <c r="D354" s="94" t="str">
        <f>IF(PROGRAMA_DETALLE!N154="","",PROGRAMA_DETALLE!N154)</f>
        <v/>
      </c>
      <c r="E354" s="84" t="str">
        <f>IF(PROGRAMA_DETALLE!A154="","","Tejido "&amp;PROGRAMA_DETALLE!A154&amp;" "&amp;PROGRAMA_DETALLE!B154)</f>
        <v/>
      </c>
      <c r="F354" s="95" t="str">
        <f>IF(PROGRAMA_DETALLE!M154=0,"",PROGRAMA_DETALLE!M154)</f>
        <v/>
      </c>
      <c r="G354" s="95">
        <f>IF(PROGRAMA_DETALLE!P154="PAGADO",PROGRAMA_DETALLE!M154,0)</f>
        <v>0</v>
      </c>
      <c r="H354" s="95">
        <f>IF(OR(PROGRAMA_DETALLE!P154="PENDIENTE",PROGRAMA_DETALLE!P154="PARCIAL"),PROGRAMA_DETALLE!M154,0)</f>
        <v>0</v>
      </c>
      <c r="I354" s="94" t="str">
        <f>IF(PROGRAMA_DETALLE!P154="","",PROGRAMA_DETALLE!P154)</f>
        <v/>
      </c>
    </row>
    <row r="355" ht="15.75" customHeight="1">
      <c r="A355" s="87" t="s">
        <v>229</v>
      </c>
      <c r="B355" s="93" t="str">
        <f>IFERROR(VLOOKUP(PROGRAMA_DETALLE!A155,PROGRAMAS!$A$4:$B$103,2,FALSE()),"")</f>
        <v/>
      </c>
      <c r="C355" s="84" t="str">
        <f>IF(PROGRAMA_DETALLE!A155="","","Tejedora")</f>
        <v/>
      </c>
      <c r="D355" s="94" t="str">
        <f>IF(PROGRAMA_DETALLE!N155="","",PROGRAMA_DETALLE!N155)</f>
        <v/>
      </c>
      <c r="E355" s="84" t="str">
        <f>IF(PROGRAMA_DETALLE!A155="","","Tejido "&amp;PROGRAMA_DETALLE!A155&amp;" "&amp;PROGRAMA_DETALLE!B155)</f>
        <v/>
      </c>
      <c r="F355" s="95" t="str">
        <f>IF(PROGRAMA_DETALLE!M155=0,"",PROGRAMA_DETALLE!M155)</f>
        <v/>
      </c>
      <c r="G355" s="95">
        <f>IF(PROGRAMA_DETALLE!P155="PAGADO",PROGRAMA_DETALLE!M155,0)</f>
        <v>0</v>
      </c>
      <c r="H355" s="95">
        <f>IF(OR(PROGRAMA_DETALLE!P155="PENDIENTE",PROGRAMA_DETALLE!P155="PARCIAL"),PROGRAMA_DETALLE!M155,0)</f>
        <v>0</v>
      </c>
      <c r="I355" s="94" t="str">
        <f>IF(PROGRAMA_DETALLE!P155="","",PROGRAMA_DETALLE!P155)</f>
        <v/>
      </c>
    </row>
    <row r="356" ht="15.75" customHeight="1">
      <c r="A356" s="87" t="s">
        <v>229</v>
      </c>
      <c r="B356" s="93" t="str">
        <f>IFERROR(VLOOKUP(PROGRAMA_DETALLE!A156,PROGRAMAS!$A$4:$B$103,2,FALSE()),"")</f>
        <v/>
      </c>
      <c r="C356" s="84" t="str">
        <f>IF(PROGRAMA_DETALLE!A156="","","Tejedora")</f>
        <v/>
      </c>
      <c r="D356" s="94" t="str">
        <f>IF(PROGRAMA_DETALLE!N156="","",PROGRAMA_DETALLE!N156)</f>
        <v/>
      </c>
      <c r="E356" s="84" t="str">
        <f>IF(PROGRAMA_DETALLE!A156="","","Tejido "&amp;PROGRAMA_DETALLE!A156&amp;" "&amp;PROGRAMA_DETALLE!B156)</f>
        <v/>
      </c>
      <c r="F356" s="95" t="str">
        <f>IF(PROGRAMA_DETALLE!M156=0,"",PROGRAMA_DETALLE!M156)</f>
        <v/>
      </c>
      <c r="G356" s="95">
        <f>IF(PROGRAMA_DETALLE!P156="PAGADO",PROGRAMA_DETALLE!M156,0)</f>
        <v>0</v>
      </c>
      <c r="H356" s="95">
        <f>IF(OR(PROGRAMA_DETALLE!P156="PENDIENTE",PROGRAMA_DETALLE!P156="PARCIAL"),PROGRAMA_DETALLE!M156,0)</f>
        <v>0</v>
      </c>
      <c r="I356" s="94" t="str">
        <f>IF(PROGRAMA_DETALLE!P156="","",PROGRAMA_DETALLE!P156)</f>
        <v/>
      </c>
    </row>
    <row r="357" ht="15.75" customHeight="1">
      <c r="A357" s="87" t="s">
        <v>229</v>
      </c>
      <c r="B357" s="93" t="str">
        <f>IFERROR(VLOOKUP(PROGRAMA_DETALLE!A157,PROGRAMAS!$A$4:$B$103,2,FALSE()),"")</f>
        <v/>
      </c>
      <c r="C357" s="84" t="str">
        <f>IF(PROGRAMA_DETALLE!A157="","","Tejedora")</f>
        <v/>
      </c>
      <c r="D357" s="94" t="str">
        <f>IF(PROGRAMA_DETALLE!N157="","",PROGRAMA_DETALLE!N157)</f>
        <v/>
      </c>
      <c r="E357" s="84" t="str">
        <f>IF(PROGRAMA_DETALLE!A157="","","Tejido "&amp;PROGRAMA_DETALLE!A157&amp;" "&amp;PROGRAMA_DETALLE!B157)</f>
        <v/>
      </c>
      <c r="F357" s="95" t="str">
        <f>IF(PROGRAMA_DETALLE!M157=0,"",PROGRAMA_DETALLE!M157)</f>
        <v/>
      </c>
      <c r="G357" s="95">
        <f>IF(PROGRAMA_DETALLE!P157="PAGADO",PROGRAMA_DETALLE!M157,0)</f>
        <v>0</v>
      </c>
      <c r="H357" s="95">
        <f>IF(OR(PROGRAMA_DETALLE!P157="PENDIENTE",PROGRAMA_DETALLE!P157="PARCIAL"),PROGRAMA_DETALLE!M157,0)</f>
        <v>0</v>
      </c>
      <c r="I357" s="94" t="str">
        <f>IF(PROGRAMA_DETALLE!P157="","",PROGRAMA_DETALLE!P157)</f>
        <v/>
      </c>
    </row>
    <row r="358" ht="15.75" customHeight="1">
      <c r="A358" s="87" t="s">
        <v>229</v>
      </c>
      <c r="B358" s="93" t="str">
        <f>IFERROR(VLOOKUP(PROGRAMA_DETALLE!A158,PROGRAMAS!$A$4:$B$103,2,FALSE()),"")</f>
        <v/>
      </c>
      <c r="C358" s="84" t="str">
        <f>IF(PROGRAMA_DETALLE!A158="","","Tejedora")</f>
        <v/>
      </c>
      <c r="D358" s="94" t="str">
        <f>IF(PROGRAMA_DETALLE!N158="","",PROGRAMA_DETALLE!N158)</f>
        <v/>
      </c>
      <c r="E358" s="84" t="str">
        <f>IF(PROGRAMA_DETALLE!A158="","","Tejido "&amp;PROGRAMA_DETALLE!A158&amp;" "&amp;PROGRAMA_DETALLE!B158)</f>
        <v/>
      </c>
      <c r="F358" s="95" t="str">
        <f>IF(PROGRAMA_DETALLE!M158=0,"",PROGRAMA_DETALLE!M158)</f>
        <v/>
      </c>
      <c r="G358" s="95">
        <f>IF(PROGRAMA_DETALLE!P158="PAGADO",PROGRAMA_DETALLE!M158,0)</f>
        <v>0</v>
      </c>
      <c r="H358" s="95">
        <f>IF(OR(PROGRAMA_DETALLE!P158="PENDIENTE",PROGRAMA_DETALLE!P158="PARCIAL"),PROGRAMA_DETALLE!M158,0)</f>
        <v>0</v>
      </c>
      <c r="I358" s="94" t="str">
        <f>IF(PROGRAMA_DETALLE!P158="","",PROGRAMA_DETALLE!P158)</f>
        <v/>
      </c>
    </row>
    <row r="359" ht="15.75" customHeight="1">
      <c r="A359" s="87" t="s">
        <v>229</v>
      </c>
      <c r="B359" s="93" t="str">
        <f>IFERROR(VLOOKUP(PROGRAMA_DETALLE!A159,PROGRAMAS!$A$4:$B$103,2,FALSE()),"")</f>
        <v/>
      </c>
      <c r="C359" s="84" t="str">
        <f>IF(PROGRAMA_DETALLE!A159="","","Tejedora")</f>
        <v/>
      </c>
      <c r="D359" s="94" t="str">
        <f>IF(PROGRAMA_DETALLE!N159="","",PROGRAMA_DETALLE!N159)</f>
        <v/>
      </c>
      <c r="E359" s="84" t="str">
        <f>IF(PROGRAMA_DETALLE!A159="","","Tejido "&amp;PROGRAMA_DETALLE!A159&amp;" "&amp;PROGRAMA_DETALLE!B159)</f>
        <v/>
      </c>
      <c r="F359" s="95" t="str">
        <f>IF(PROGRAMA_DETALLE!M159=0,"",PROGRAMA_DETALLE!M159)</f>
        <v/>
      </c>
      <c r="G359" s="95">
        <f>IF(PROGRAMA_DETALLE!P159="PAGADO",PROGRAMA_DETALLE!M159,0)</f>
        <v>0</v>
      </c>
      <c r="H359" s="95">
        <f>IF(OR(PROGRAMA_DETALLE!P159="PENDIENTE",PROGRAMA_DETALLE!P159="PARCIAL"),PROGRAMA_DETALLE!M159,0)</f>
        <v>0</v>
      </c>
      <c r="I359" s="94" t="str">
        <f>IF(PROGRAMA_DETALLE!P159="","",PROGRAMA_DETALLE!P159)</f>
        <v/>
      </c>
    </row>
    <row r="360" ht="15.75" customHeight="1">
      <c r="A360" s="87" t="s">
        <v>229</v>
      </c>
      <c r="B360" s="93" t="str">
        <f>IFERROR(VLOOKUP(PROGRAMA_DETALLE!A160,PROGRAMAS!$A$4:$B$103,2,FALSE()),"")</f>
        <v/>
      </c>
      <c r="C360" s="84" t="str">
        <f>IF(PROGRAMA_DETALLE!A160="","","Tejedora")</f>
        <v/>
      </c>
      <c r="D360" s="94" t="str">
        <f>IF(PROGRAMA_DETALLE!N160="","",PROGRAMA_DETALLE!N160)</f>
        <v/>
      </c>
      <c r="E360" s="84" t="str">
        <f>IF(PROGRAMA_DETALLE!A160="","","Tejido "&amp;PROGRAMA_DETALLE!A160&amp;" "&amp;PROGRAMA_DETALLE!B160)</f>
        <v/>
      </c>
      <c r="F360" s="95" t="str">
        <f>IF(PROGRAMA_DETALLE!M160=0,"",PROGRAMA_DETALLE!M160)</f>
        <v/>
      </c>
      <c r="G360" s="95">
        <f>IF(PROGRAMA_DETALLE!P160="PAGADO",PROGRAMA_DETALLE!M160,0)</f>
        <v>0</v>
      </c>
      <c r="H360" s="95">
        <f>IF(OR(PROGRAMA_DETALLE!P160="PENDIENTE",PROGRAMA_DETALLE!P160="PARCIAL"),PROGRAMA_DETALLE!M160,0)</f>
        <v>0</v>
      </c>
      <c r="I360" s="94" t="str">
        <f>IF(PROGRAMA_DETALLE!P160="","",PROGRAMA_DETALLE!P160)</f>
        <v/>
      </c>
    </row>
    <row r="361" ht="15.75" customHeight="1">
      <c r="A361" s="87" t="s">
        <v>229</v>
      </c>
      <c r="B361" s="93" t="str">
        <f>IFERROR(VLOOKUP(PROGRAMA_DETALLE!A161,PROGRAMAS!$A$4:$B$103,2,FALSE()),"")</f>
        <v/>
      </c>
      <c r="C361" s="84" t="str">
        <f>IF(PROGRAMA_DETALLE!A161="","","Tejedora")</f>
        <v/>
      </c>
      <c r="D361" s="94" t="str">
        <f>IF(PROGRAMA_DETALLE!N161="","",PROGRAMA_DETALLE!N161)</f>
        <v/>
      </c>
      <c r="E361" s="84" t="str">
        <f>IF(PROGRAMA_DETALLE!A161="","","Tejido "&amp;PROGRAMA_DETALLE!A161&amp;" "&amp;PROGRAMA_DETALLE!B161)</f>
        <v/>
      </c>
      <c r="F361" s="95" t="str">
        <f>IF(PROGRAMA_DETALLE!M161=0,"",PROGRAMA_DETALLE!M161)</f>
        <v/>
      </c>
      <c r="G361" s="95">
        <f>IF(PROGRAMA_DETALLE!P161="PAGADO",PROGRAMA_DETALLE!M161,0)</f>
        <v>0</v>
      </c>
      <c r="H361" s="95">
        <f>IF(OR(PROGRAMA_DETALLE!P161="PENDIENTE",PROGRAMA_DETALLE!P161="PARCIAL"),PROGRAMA_DETALLE!M161,0)</f>
        <v>0</v>
      </c>
      <c r="I361" s="94" t="str">
        <f>IF(PROGRAMA_DETALLE!P161="","",PROGRAMA_DETALLE!P161)</f>
        <v/>
      </c>
    </row>
    <row r="362" ht="15.75" customHeight="1">
      <c r="A362" s="87" t="s">
        <v>229</v>
      </c>
      <c r="B362" s="93" t="str">
        <f>IFERROR(VLOOKUP(PROGRAMA_DETALLE!A162,PROGRAMAS!$A$4:$B$103,2,FALSE()),"")</f>
        <v/>
      </c>
      <c r="C362" s="84" t="str">
        <f>IF(PROGRAMA_DETALLE!A162="","","Tejedora")</f>
        <v/>
      </c>
      <c r="D362" s="94" t="str">
        <f>IF(PROGRAMA_DETALLE!N162="","",PROGRAMA_DETALLE!N162)</f>
        <v/>
      </c>
      <c r="E362" s="84" t="str">
        <f>IF(PROGRAMA_DETALLE!A162="","","Tejido "&amp;PROGRAMA_DETALLE!A162&amp;" "&amp;PROGRAMA_DETALLE!B162)</f>
        <v/>
      </c>
      <c r="F362" s="95" t="str">
        <f>IF(PROGRAMA_DETALLE!M162=0,"",PROGRAMA_DETALLE!M162)</f>
        <v/>
      </c>
      <c r="G362" s="95">
        <f>IF(PROGRAMA_DETALLE!P162="PAGADO",PROGRAMA_DETALLE!M162,0)</f>
        <v>0</v>
      </c>
      <c r="H362" s="95">
        <f>IF(OR(PROGRAMA_DETALLE!P162="PENDIENTE",PROGRAMA_DETALLE!P162="PARCIAL"),PROGRAMA_DETALLE!M162,0)</f>
        <v>0</v>
      </c>
      <c r="I362" s="94" t="str">
        <f>IF(PROGRAMA_DETALLE!P162="","",PROGRAMA_DETALLE!P162)</f>
        <v/>
      </c>
    </row>
    <row r="363" ht="15.75" customHeight="1">
      <c r="A363" s="87" t="s">
        <v>229</v>
      </c>
      <c r="B363" s="93" t="str">
        <f>IFERROR(VLOOKUP(PROGRAMA_DETALLE!A163,PROGRAMAS!$A$4:$B$103,2,FALSE()),"")</f>
        <v/>
      </c>
      <c r="C363" s="84" t="str">
        <f>IF(PROGRAMA_DETALLE!A163="","","Tejedora")</f>
        <v/>
      </c>
      <c r="D363" s="94" t="str">
        <f>IF(PROGRAMA_DETALLE!N163="","",PROGRAMA_DETALLE!N163)</f>
        <v/>
      </c>
      <c r="E363" s="84" t="str">
        <f>IF(PROGRAMA_DETALLE!A163="","","Tejido "&amp;PROGRAMA_DETALLE!A163&amp;" "&amp;PROGRAMA_DETALLE!B163)</f>
        <v/>
      </c>
      <c r="F363" s="95" t="str">
        <f>IF(PROGRAMA_DETALLE!M163=0,"",PROGRAMA_DETALLE!M163)</f>
        <v/>
      </c>
      <c r="G363" s="95">
        <f>IF(PROGRAMA_DETALLE!P163="PAGADO",PROGRAMA_DETALLE!M163,0)</f>
        <v>0</v>
      </c>
      <c r="H363" s="95">
        <f>IF(OR(PROGRAMA_DETALLE!P163="PENDIENTE",PROGRAMA_DETALLE!P163="PARCIAL"),PROGRAMA_DETALLE!M163,0)</f>
        <v>0</v>
      </c>
      <c r="I363" s="94" t="str">
        <f>IF(PROGRAMA_DETALLE!P163="","",PROGRAMA_DETALLE!P163)</f>
        <v/>
      </c>
    </row>
    <row r="364" ht="15.75" customHeight="1">
      <c r="A364" s="87" t="s">
        <v>229</v>
      </c>
      <c r="B364" s="93" t="str">
        <f>IFERROR(VLOOKUP(PROGRAMA_DETALLE!A164,PROGRAMAS!$A$4:$B$103,2,FALSE()),"")</f>
        <v/>
      </c>
      <c r="C364" s="84" t="str">
        <f>IF(PROGRAMA_DETALLE!A164="","","Tejedora")</f>
        <v/>
      </c>
      <c r="D364" s="94" t="str">
        <f>IF(PROGRAMA_DETALLE!N164="","",PROGRAMA_DETALLE!N164)</f>
        <v/>
      </c>
      <c r="E364" s="84" t="str">
        <f>IF(PROGRAMA_DETALLE!A164="","","Tejido "&amp;PROGRAMA_DETALLE!A164&amp;" "&amp;PROGRAMA_DETALLE!B164)</f>
        <v/>
      </c>
      <c r="F364" s="95" t="str">
        <f>IF(PROGRAMA_DETALLE!M164=0,"",PROGRAMA_DETALLE!M164)</f>
        <v/>
      </c>
      <c r="G364" s="95">
        <f>IF(PROGRAMA_DETALLE!P164="PAGADO",PROGRAMA_DETALLE!M164,0)</f>
        <v>0</v>
      </c>
      <c r="H364" s="95">
        <f>IF(OR(PROGRAMA_DETALLE!P164="PENDIENTE",PROGRAMA_DETALLE!P164="PARCIAL"),PROGRAMA_DETALLE!M164,0)</f>
        <v>0</v>
      </c>
      <c r="I364" s="94" t="str">
        <f>IF(PROGRAMA_DETALLE!P164="","",PROGRAMA_DETALLE!P164)</f>
        <v/>
      </c>
    </row>
    <row r="365" ht="15.75" customHeight="1">
      <c r="A365" s="87" t="s">
        <v>229</v>
      </c>
      <c r="B365" s="93" t="str">
        <f>IFERROR(VLOOKUP(PROGRAMA_DETALLE!A165,PROGRAMAS!$A$4:$B$103,2,FALSE()),"")</f>
        <v/>
      </c>
      <c r="C365" s="84" t="str">
        <f>IF(PROGRAMA_DETALLE!A165="","","Tejedora")</f>
        <v/>
      </c>
      <c r="D365" s="94" t="str">
        <f>IF(PROGRAMA_DETALLE!N165="","",PROGRAMA_DETALLE!N165)</f>
        <v/>
      </c>
      <c r="E365" s="84" t="str">
        <f>IF(PROGRAMA_DETALLE!A165="","","Tejido "&amp;PROGRAMA_DETALLE!A165&amp;" "&amp;PROGRAMA_DETALLE!B165)</f>
        <v/>
      </c>
      <c r="F365" s="95" t="str">
        <f>IF(PROGRAMA_DETALLE!M165=0,"",PROGRAMA_DETALLE!M165)</f>
        <v/>
      </c>
      <c r="G365" s="95">
        <f>IF(PROGRAMA_DETALLE!P165="PAGADO",PROGRAMA_DETALLE!M165,0)</f>
        <v>0</v>
      </c>
      <c r="H365" s="95">
        <f>IF(OR(PROGRAMA_DETALLE!P165="PENDIENTE",PROGRAMA_DETALLE!P165="PARCIAL"),PROGRAMA_DETALLE!M165,0)</f>
        <v>0</v>
      </c>
      <c r="I365" s="94" t="str">
        <f>IF(PROGRAMA_DETALLE!P165="","",PROGRAMA_DETALLE!P165)</f>
        <v/>
      </c>
    </row>
    <row r="366" ht="15.75" customHeight="1">
      <c r="A366" s="87" t="s">
        <v>229</v>
      </c>
      <c r="B366" s="93" t="str">
        <f>IFERROR(VLOOKUP(PROGRAMA_DETALLE!A166,PROGRAMAS!$A$4:$B$103,2,FALSE()),"")</f>
        <v/>
      </c>
      <c r="C366" s="84" t="str">
        <f>IF(PROGRAMA_DETALLE!A166="","","Tejedora")</f>
        <v/>
      </c>
      <c r="D366" s="94" t="str">
        <f>IF(PROGRAMA_DETALLE!N166="","",PROGRAMA_DETALLE!N166)</f>
        <v/>
      </c>
      <c r="E366" s="84" t="str">
        <f>IF(PROGRAMA_DETALLE!A166="","","Tejido "&amp;PROGRAMA_DETALLE!A166&amp;" "&amp;PROGRAMA_DETALLE!B166)</f>
        <v/>
      </c>
      <c r="F366" s="95" t="str">
        <f>IF(PROGRAMA_DETALLE!M166=0,"",PROGRAMA_DETALLE!M166)</f>
        <v/>
      </c>
      <c r="G366" s="95">
        <f>IF(PROGRAMA_DETALLE!P166="PAGADO",PROGRAMA_DETALLE!M166,0)</f>
        <v>0</v>
      </c>
      <c r="H366" s="95">
        <f>IF(OR(PROGRAMA_DETALLE!P166="PENDIENTE",PROGRAMA_DETALLE!P166="PARCIAL"),PROGRAMA_DETALLE!M166,0)</f>
        <v>0</v>
      </c>
      <c r="I366" s="94" t="str">
        <f>IF(PROGRAMA_DETALLE!P166="","",PROGRAMA_DETALLE!P166)</f>
        <v/>
      </c>
    </row>
    <row r="367" ht="15.75" customHeight="1">
      <c r="A367" s="87" t="s">
        <v>229</v>
      </c>
      <c r="B367" s="93" t="str">
        <f>IFERROR(VLOOKUP(PROGRAMA_DETALLE!A167,PROGRAMAS!$A$4:$B$103,2,FALSE()),"")</f>
        <v/>
      </c>
      <c r="C367" s="84" t="str">
        <f>IF(PROGRAMA_DETALLE!A167="","","Tejedora")</f>
        <v/>
      </c>
      <c r="D367" s="94" t="str">
        <f>IF(PROGRAMA_DETALLE!N167="","",PROGRAMA_DETALLE!N167)</f>
        <v/>
      </c>
      <c r="E367" s="84" t="str">
        <f>IF(PROGRAMA_DETALLE!A167="","","Tejido "&amp;PROGRAMA_DETALLE!A167&amp;" "&amp;PROGRAMA_DETALLE!B167)</f>
        <v/>
      </c>
      <c r="F367" s="95" t="str">
        <f>IF(PROGRAMA_DETALLE!M167=0,"",PROGRAMA_DETALLE!M167)</f>
        <v/>
      </c>
      <c r="G367" s="95">
        <f>IF(PROGRAMA_DETALLE!P167="PAGADO",PROGRAMA_DETALLE!M167,0)</f>
        <v>0</v>
      </c>
      <c r="H367" s="95">
        <f>IF(OR(PROGRAMA_DETALLE!P167="PENDIENTE",PROGRAMA_DETALLE!P167="PARCIAL"),PROGRAMA_DETALLE!M167,0)</f>
        <v>0</v>
      </c>
      <c r="I367" s="94" t="str">
        <f>IF(PROGRAMA_DETALLE!P167="","",PROGRAMA_DETALLE!P167)</f>
        <v/>
      </c>
    </row>
    <row r="368" ht="15.75" customHeight="1">
      <c r="A368" s="87" t="s">
        <v>229</v>
      </c>
      <c r="B368" s="93" t="str">
        <f>IFERROR(VLOOKUP(PROGRAMA_DETALLE!A168,PROGRAMAS!$A$4:$B$103,2,FALSE()),"")</f>
        <v/>
      </c>
      <c r="C368" s="84" t="str">
        <f>IF(PROGRAMA_DETALLE!A168="","","Tejedora")</f>
        <v/>
      </c>
      <c r="D368" s="94" t="str">
        <f>IF(PROGRAMA_DETALLE!N168="","",PROGRAMA_DETALLE!N168)</f>
        <v/>
      </c>
      <c r="E368" s="84" t="str">
        <f>IF(PROGRAMA_DETALLE!A168="","","Tejido "&amp;PROGRAMA_DETALLE!A168&amp;" "&amp;PROGRAMA_DETALLE!B168)</f>
        <v/>
      </c>
      <c r="F368" s="95" t="str">
        <f>IF(PROGRAMA_DETALLE!M168=0,"",PROGRAMA_DETALLE!M168)</f>
        <v/>
      </c>
      <c r="G368" s="95">
        <f>IF(PROGRAMA_DETALLE!P168="PAGADO",PROGRAMA_DETALLE!M168,0)</f>
        <v>0</v>
      </c>
      <c r="H368" s="95">
        <f>IF(OR(PROGRAMA_DETALLE!P168="PENDIENTE",PROGRAMA_DETALLE!P168="PARCIAL"),PROGRAMA_DETALLE!M168,0)</f>
        <v>0</v>
      </c>
      <c r="I368" s="94" t="str">
        <f>IF(PROGRAMA_DETALLE!P168="","",PROGRAMA_DETALLE!P168)</f>
        <v/>
      </c>
    </row>
    <row r="369" ht="15.75" customHeight="1">
      <c r="A369" s="87" t="s">
        <v>229</v>
      </c>
      <c r="B369" s="93" t="str">
        <f>IFERROR(VLOOKUP(PROGRAMA_DETALLE!A169,PROGRAMAS!$A$4:$B$103,2,FALSE()),"")</f>
        <v/>
      </c>
      <c r="C369" s="84" t="str">
        <f>IF(PROGRAMA_DETALLE!A169="","","Tejedora")</f>
        <v/>
      </c>
      <c r="D369" s="94" t="str">
        <f>IF(PROGRAMA_DETALLE!N169="","",PROGRAMA_DETALLE!N169)</f>
        <v/>
      </c>
      <c r="E369" s="84" t="str">
        <f>IF(PROGRAMA_DETALLE!A169="","","Tejido "&amp;PROGRAMA_DETALLE!A169&amp;" "&amp;PROGRAMA_DETALLE!B169)</f>
        <v/>
      </c>
      <c r="F369" s="95" t="str">
        <f>IF(PROGRAMA_DETALLE!M169=0,"",PROGRAMA_DETALLE!M169)</f>
        <v/>
      </c>
      <c r="G369" s="95">
        <f>IF(PROGRAMA_DETALLE!P169="PAGADO",PROGRAMA_DETALLE!M169,0)</f>
        <v>0</v>
      </c>
      <c r="H369" s="95">
        <f>IF(OR(PROGRAMA_DETALLE!P169="PENDIENTE",PROGRAMA_DETALLE!P169="PARCIAL"),PROGRAMA_DETALLE!M169,0)</f>
        <v>0</v>
      </c>
      <c r="I369" s="94" t="str">
        <f>IF(PROGRAMA_DETALLE!P169="","",PROGRAMA_DETALLE!P169)</f>
        <v/>
      </c>
    </row>
    <row r="370" ht="15.75" customHeight="1">
      <c r="A370" s="87" t="s">
        <v>229</v>
      </c>
      <c r="B370" s="93" t="str">
        <f>IFERROR(VLOOKUP(PROGRAMA_DETALLE!A170,PROGRAMAS!$A$4:$B$103,2,FALSE()),"")</f>
        <v/>
      </c>
      <c r="C370" s="84" t="str">
        <f>IF(PROGRAMA_DETALLE!A170="","","Tejedora")</f>
        <v/>
      </c>
      <c r="D370" s="94" t="str">
        <f>IF(PROGRAMA_DETALLE!N170="","",PROGRAMA_DETALLE!N170)</f>
        <v/>
      </c>
      <c r="E370" s="84" t="str">
        <f>IF(PROGRAMA_DETALLE!A170="","","Tejido "&amp;PROGRAMA_DETALLE!A170&amp;" "&amp;PROGRAMA_DETALLE!B170)</f>
        <v/>
      </c>
      <c r="F370" s="95" t="str">
        <f>IF(PROGRAMA_DETALLE!M170=0,"",PROGRAMA_DETALLE!M170)</f>
        <v/>
      </c>
      <c r="G370" s="95">
        <f>IF(PROGRAMA_DETALLE!P170="PAGADO",PROGRAMA_DETALLE!M170,0)</f>
        <v>0</v>
      </c>
      <c r="H370" s="95">
        <f>IF(OR(PROGRAMA_DETALLE!P170="PENDIENTE",PROGRAMA_DETALLE!P170="PARCIAL"),PROGRAMA_DETALLE!M170,0)</f>
        <v>0</v>
      </c>
      <c r="I370" s="94" t="str">
        <f>IF(PROGRAMA_DETALLE!P170="","",PROGRAMA_DETALLE!P170)</f>
        <v/>
      </c>
    </row>
    <row r="371" ht="15.75" customHeight="1">
      <c r="A371" s="87" t="s">
        <v>229</v>
      </c>
      <c r="B371" s="93" t="str">
        <f>IFERROR(VLOOKUP(PROGRAMA_DETALLE!A171,PROGRAMAS!$A$4:$B$103,2,FALSE()),"")</f>
        <v/>
      </c>
      <c r="C371" s="84" t="str">
        <f>IF(PROGRAMA_DETALLE!A171="","","Tejedora")</f>
        <v/>
      </c>
      <c r="D371" s="94" t="str">
        <f>IF(PROGRAMA_DETALLE!N171="","",PROGRAMA_DETALLE!N171)</f>
        <v/>
      </c>
      <c r="E371" s="84" t="str">
        <f>IF(PROGRAMA_DETALLE!A171="","","Tejido "&amp;PROGRAMA_DETALLE!A171&amp;" "&amp;PROGRAMA_DETALLE!B171)</f>
        <v/>
      </c>
      <c r="F371" s="95" t="str">
        <f>IF(PROGRAMA_DETALLE!M171=0,"",PROGRAMA_DETALLE!M171)</f>
        <v/>
      </c>
      <c r="G371" s="95">
        <f>IF(PROGRAMA_DETALLE!P171="PAGADO",PROGRAMA_DETALLE!M171,0)</f>
        <v>0</v>
      </c>
      <c r="H371" s="95">
        <f>IF(OR(PROGRAMA_DETALLE!P171="PENDIENTE",PROGRAMA_DETALLE!P171="PARCIAL"),PROGRAMA_DETALLE!M171,0)</f>
        <v>0</v>
      </c>
      <c r="I371" s="94" t="str">
        <f>IF(PROGRAMA_DETALLE!P171="","",PROGRAMA_DETALLE!P171)</f>
        <v/>
      </c>
    </row>
    <row r="372" ht="15.75" customHeight="1">
      <c r="A372" s="87" t="s">
        <v>229</v>
      </c>
      <c r="B372" s="93" t="str">
        <f>IFERROR(VLOOKUP(PROGRAMA_DETALLE!A172,PROGRAMAS!$A$4:$B$103,2,FALSE()),"")</f>
        <v/>
      </c>
      <c r="C372" s="84" t="str">
        <f>IF(PROGRAMA_DETALLE!A172="","","Tejedora")</f>
        <v/>
      </c>
      <c r="D372" s="94" t="str">
        <f>IF(PROGRAMA_DETALLE!N172="","",PROGRAMA_DETALLE!N172)</f>
        <v/>
      </c>
      <c r="E372" s="84" t="str">
        <f>IF(PROGRAMA_DETALLE!A172="","","Tejido "&amp;PROGRAMA_DETALLE!A172&amp;" "&amp;PROGRAMA_DETALLE!B172)</f>
        <v/>
      </c>
      <c r="F372" s="95" t="str">
        <f>IF(PROGRAMA_DETALLE!M172=0,"",PROGRAMA_DETALLE!M172)</f>
        <v/>
      </c>
      <c r="G372" s="95">
        <f>IF(PROGRAMA_DETALLE!P172="PAGADO",PROGRAMA_DETALLE!M172,0)</f>
        <v>0</v>
      </c>
      <c r="H372" s="95">
        <f>IF(OR(PROGRAMA_DETALLE!P172="PENDIENTE",PROGRAMA_DETALLE!P172="PARCIAL"),PROGRAMA_DETALLE!M172,0)</f>
        <v>0</v>
      </c>
      <c r="I372" s="94" t="str">
        <f>IF(PROGRAMA_DETALLE!P172="","",PROGRAMA_DETALLE!P172)</f>
        <v/>
      </c>
    </row>
    <row r="373" ht="15.75" customHeight="1">
      <c r="A373" s="87" t="s">
        <v>229</v>
      </c>
      <c r="B373" s="93" t="str">
        <f>IFERROR(VLOOKUP(PROGRAMA_DETALLE!A173,PROGRAMAS!$A$4:$B$103,2,FALSE()),"")</f>
        <v/>
      </c>
      <c r="C373" s="84" t="str">
        <f>IF(PROGRAMA_DETALLE!A173="","","Tejedora")</f>
        <v/>
      </c>
      <c r="D373" s="94" t="str">
        <f>IF(PROGRAMA_DETALLE!N173="","",PROGRAMA_DETALLE!N173)</f>
        <v/>
      </c>
      <c r="E373" s="84" t="str">
        <f>IF(PROGRAMA_DETALLE!A173="","","Tejido "&amp;PROGRAMA_DETALLE!A173&amp;" "&amp;PROGRAMA_DETALLE!B173)</f>
        <v/>
      </c>
      <c r="F373" s="95" t="str">
        <f>IF(PROGRAMA_DETALLE!M173=0,"",PROGRAMA_DETALLE!M173)</f>
        <v/>
      </c>
      <c r="G373" s="95">
        <f>IF(PROGRAMA_DETALLE!P173="PAGADO",PROGRAMA_DETALLE!M173,0)</f>
        <v>0</v>
      </c>
      <c r="H373" s="95">
        <f>IF(OR(PROGRAMA_DETALLE!P173="PENDIENTE",PROGRAMA_DETALLE!P173="PARCIAL"),PROGRAMA_DETALLE!M173,0)</f>
        <v>0</v>
      </c>
      <c r="I373" s="94" t="str">
        <f>IF(PROGRAMA_DETALLE!P173="","",PROGRAMA_DETALLE!P173)</f>
        <v/>
      </c>
    </row>
    <row r="374" ht="15.75" customHeight="1">
      <c r="A374" s="87" t="s">
        <v>229</v>
      </c>
      <c r="B374" s="93" t="str">
        <f>IFERROR(VLOOKUP(PROGRAMA_DETALLE!A174,PROGRAMAS!$A$4:$B$103,2,FALSE()),"")</f>
        <v/>
      </c>
      <c r="C374" s="84" t="str">
        <f>IF(PROGRAMA_DETALLE!A174="","","Tejedora")</f>
        <v/>
      </c>
      <c r="D374" s="94" t="str">
        <f>IF(PROGRAMA_DETALLE!N174="","",PROGRAMA_DETALLE!N174)</f>
        <v/>
      </c>
      <c r="E374" s="84" t="str">
        <f>IF(PROGRAMA_DETALLE!A174="","","Tejido "&amp;PROGRAMA_DETALLE!A174&amp;" "&amp;PROGRAMA_DETALLE!B174)</f>
        <v/>
      </c>
      <c r="F374" s="95" t="str">
        <f>IF(PROGRAMA_DETALLE!M174=0,"",PROGRAMA_DETALLE!M174)</f>
        <v/>
      </c>
      <c r="G374" s="95">
        <f>IF(PROGRAMA_DETALLE!P174="PAGADO",PROGRAMA_DETALLE!M174,0)</f>
        <v>0</v>
      </c>
      <c r="H374" s="95">
        <f>IF(OR(PROGRAMA_DETALLE!P174="PENDIENTE",PROGRAMA_DETALLE!P174="PARCIAL"),PROGRAMA_DETALLE!M174,0)</f>
        <v>0</v>
      </c>
      <c r="I374" s="94" t="str">
        <f>IF(PROGRAMA_DETALLE!P174="","",PROGRAMA_DETALLE!P174)</f>
        <v/>
      </c>
    </row>
    <row r="375" ht="15.75" customHeight="1">
      <c r="A375" s="87" t="s">
        <v>229</v>
      </c>
      <c r="B375" s="93" t="str">
        <f>IFERROR(VLOOKUP(PROGRAMA_DETALLE!A175,PROGRAMAS!$A$4:$B$103,2,FALSE()),"")</f>
        <v/>
      </c>
      <c r="C375" s="84" t="str">
        <f>IF(PROGRAMA_DETALLE!A175="","","Tejedora")</f>
        <v/>
      </c>
      <c r="D375" s="94" t="str">
        <f>IF(PROGRAMA_DETALLE!N175="","",PROGRAMA_DETALLE!N175)</f>
        <v/>
      </c>
      <c r="E375" s="84" t="str">
        <f>IF(PROGRAMA_DETALLE!A175="","","Tejido "&amp;PROGRAMA_DETALLE!A175&amp;" "&amp;PROGRAMA_DETALLE!B175)</f>
        <v/>
      </c>
      <c r="F375" s="95" t="str">
        <f>IF(PROGRAMA_DETALLE!M175=0,"",PROGRAMA_DETALLE!M175)</f>
        <v/>
      </c>
      <c r="G375" s="95">
        <f>IF(PROGRAMA_DETALLE!P175="PAGADO",PROGRAMA_DETALLE!M175,0)</f>
        <v>0</v>
      </c>
      <c r="H375" s="95">
        <f>IF(OR(PROGRAMA_DETALLE!P175="PENDIENTE",PROGRAMA_DETALLE!P175="PARCIAL"),PROGRAMA_DETALLE!M175,0)</f>
        <v>0</v>
      </c>
      <c r="I375" s="94" t="str">
        <f>IF(PROGRAMA_DETALLE!P175="","",PROGRAMA_DETALLE!P175)</f>
        <v/>
      </c>
    </row>
    <row r="376" ht="15.75" customHeight="1">
      <c r="A376" s="87" t="s">
        <v>229</v>
      </c>
      <c r="B376" s="93" t="str">
        <f>IFERROR(VLOOKUP(PROGRAMA_DETALLE!A176,PROGRAMAS!$A$4:$B$103,2,FALSE()),"")</f>
        <v/>
      </c>
      <c r="C376" s="84" t="str">
        <f>IF(PROGRAMA_DETALLE!A176="","","Tejedora")</f>
        <v/>
      </c>
      <c r="D376" s="94" t="str">
        <f>IF(PROGRAMA_DETALLE!N176="","",PROGRAMA_DETALLE!N176)</f>
        <v/>
      </c>
      <c r="E376" s="84" t="str">
        <f>IF(PROGRAMA_DETALLE!A176="","","Tejido "&amp;PROGRAMA_DETALLE!A176&amp;" "&amp;PROGRAMA_DETALLE!B176)</f>
        <v/>
      </c>
      <c r="F376" s="95" t="str">
        <f>IF(PROGRAMA_DETALLE!M176=0,"",PROGRAMA_DETALLE!M176)</f>
        <v/>
      </c>
      <c r="G376" s="95">
        <f>IF(PROGRAMA_DETALLE!P176="PAGADO",PROGRAMA_DETALLE!M176,0)</f>
        <v>0</v>
      </c>
      <c r="H376" s="95">
        <f>IF(OR(PROGRAMA_DETALLE!P176="PENDIENTE",PROGRAMA_DETALLE!P176="PARCIAL"),PROGRAMA_DETALLE!M176,0)</f>
        <v>0</v>
      </c>
      <c r="I376" s="94" t="str">
        <f>IF(PROGRAMA_DETALLE!P176="","",PROGRAMA_DETALLE!P176)</f>
        <v/>
      </c>
    </row>
    <row r="377" ht="15.75" customHeight="1">
      <c r="A377" s="87" t="s">
        <v>229</v>
      </c>
      <c r="B377" s="93" t="str">
        <f>IFERROR(VLOOKUP(PROGRAMA_DETALLE!A177,PROGRAMAS!$A$4:$B$103,2,FALSE()),"")</f>
        <v/>
      </c>
      <c r="C377" s="84" t="str">
        <f>IF(PROGRAMA_DETALLE!A177="","","Tejedora")</f>
        <v/>
      </c>
      <c r="D377" s="94" t="str">
        <f>IF(PROGRAMA_DETALLE!N177="","",PROGRAMA_DETALLE!N177)</f>
        <v/>
      </c>
      <c r="E377" s="84" t="str">
        <f>IF(PROGRAMA_DETALLE!A177="","","Tejido "&amp;PROGRAMA_DETALLE!A177&amp;" "&amp;PROGRAMA_DETALLE!B177)</f>
        <v/>
      </c>
      <c r="F377" s="95" t="str">
        <f>IF(PROGRAMA_DETALLE!M177=0,"",PROGRAMA_DETALLE!M177)</f>
        <v/>
      </c>
      <c r="G377" s="95">
        <f>IF(PROGRAMA_DETALLE!P177="PAGADO",PROGRAMA_DETALLE!M177,0)</f>
        <v>0</v>
      </c>
      <c r="H377" s="95">
        <f>IF(OR(PROGRAMA_DETALLE!P177="PENDIENTE",PROGRAMA_DETALLE!P177="PARCIAL"),PROGRAMA_DETALLE!M177,0)</f>
        <v>0</v>
      </c>
      <c r="I377" s="94" t="str">
        <f>IF(PROGRAMA_DETALLE!P177="","",PROGRAMA_DETALLE!P177)</f>
        <v/>
      </c>
    </row>
    <row r="378" ht="15.75" customHeight="1">
      <c r="A378" s="87" t="s">
        <v>229</v>
      </c>
      <c r="B378" s="93" t="str">
        <f>IFERROR(VLOOKUP(PROGRAMA_DETALLE!A178,PROGRAMAS!$A$4:$B$103,2,FALSE()),"")</f>
        <v/>
      </c>
      <c r="C378" s="84" t="str">
        <f>IF(PROGRAMA_DETALLE!A178="","","Tejedora")</f>
        <v/>
      </c>
      <c r="D378" s="94" t="str">
        <f>IF(PROGRAMA_DETALLE!N178="","",PROGRAMA_DETALLE!N178)</f>
        <v/>
      </c>
      <c r="E378" s="84" t="str">
        <f>IF(PROGRAMA_DETALLE!A178="","","Tejido "&amp;PROGRAMA_DETALLE!A178&amp;" "&amp;PROGRAMA_DETALLE!B178)</f>
        <v/>
      </c>
      <c r="F378" s="95" t="str">
        <f>IF(PROGRAMA_DETALLE!M178=0,"",PROGRAMA_DETALLE!M178)</f>
        <v/>
      </c>
      <c r="G378" s="95">
        <f>IF(PROGRAMA_DETALLE!P178="PAGADO",PROGRAMA_DETALLE!M178,0)</f>
        <v>0</v>
      </c>
      <c r="H378" s="95">
        <f>IF(OR(PROGRAMA_DETALLE!P178="PENDIENTE",PROGRAMA_DETALLE!P178="PARCIAL"),PROGRAMA_DETALLE!M178,0)</f>
        <v>0</v>
      </c>
      <c r="I378" s="94" t="str">
        <f>IF(PROGRAMA_DETALLE!P178="","",PROGRAMA_DETALLE!P178)</f>
        <v/>
      </c>
    </row>
    <row r="379" ht="15.75" customHeight="1">
      <c r="A379" s="87" t="s">
        <v>229</v>
      </c>
      <c r="B379" s="93" t="str">
        <f>IFERROR(VLOOKUP(PROGRAMA_DETALLE!A179,PROGRAMAS!$A$4:$B$103,2,FALSE()),"")</f>
        <v/>
      </c>
      <c r="C379" s="84" t="str">
        <f>IF(PROGRAMA_DETALLE!A179="","","Tejedora")</f>
        <v/>
      </c>
      <c r="D379" s="94" t="str">
        <f>IF(PROGRAMA_DETALLE!N179="","",PROGRAMA_DETALLE!N179)</f>
        <v/>
      </c>
      <c r="E379" s="84" t="str">
        <f>IF(PROGRAMA_DETALLE!A179="","","Tejido "&amp;PROGRAMA_DETALLE!A179&amp;" "&amp;PROGRAMA_DETALLE!B179)</f>
        <v/>
      </c>
      <c r="F379" s="95" t="str">
        <f>IF(PROGRAMA_DETALLE!M179=0,"",PROGRAMA_DETALLE!M179)</f>
        <v/>
      </c>
      <c r="G379" s="95">
        <f>IF(PROGRAMA_DETALLE!P179="PAGADO",PROGRAMA_DETALLE!M179,0)</f>
        <v>0</v>
      </c>
      <c r="H379" s="95">
        <f>IF(OR(PROGRAMA_DETALLE!P179="PENDIENTE",PROGRAMA_DETALLE!P179="PARCIAL"),PROGRAMA_DETALLE!M179,0)</f>
        <v>0</v>
      </c>
      <c r="I379" s="94" t="str">
        <f>IF(PROGRAMA_DETALLE!P179="","",PROGRAMA_DETALLE!P179)</f>
        <v/>
      </c>
    </row>
    <row r="380" ht="15.75" customHeight="1">
      <c r="A380" s="87" t="s">
        <v>229</v>
      </c>
      <c r="B380" s="93" t="str">
        <f>IFERROR(VLOOKUP(PROGRAMA_DETALLE!A180,PROGRAMAS!$A$4:$B$103,2,FALSE()),"")</f>
        <v/>
      </c>
      <c r="C380" s="84" t="str">
        <f>IF(PROGRAMA_DETALLE!A180="","","Tejedora")</f>
        <v/>
      </c>
      <c r="D380" s="94" t="str">
        <f>IF(PROGRAMA_DETALLE!N180="","",PROGRAMA_DETALLE!N180)</f>
        <v/>
      </c>
      <c r="E380" s="84" t="str">
        <f>IF(PROGRAMA_DETALLE!A180="","","Tejido "&amp;PROGRAMA_DETALLE!A180&amp;" "&amp;PROGRAMA_DETALLE!B180)</f>
        <v/>
      </c>
      <c r="F380" s="95" t="str">
        <f>IF(PROGRAMA_DETALLE!M180=0,"",PROGRAMA_DETALLE!M180)</f>
        <v/>
      </c>
      <c r="G380" s="95">
        <f>IF(PROGRAMA_DETALLE!P180="PAGADO",PROGRAMA_DETALLE!M180,0)</f>
        <v>0</v>
      </c>
      <c r="H380" s="95">
        <f>IF(OR(PROGRAMA_DETALLE!P180="PENDIENTE",PROGRAMA_DETALLE!P180="PARCIAL"),PROGRAMA_DETALLE!M180,0)</f>
        <v>0</v>
      </c>
      <c r="I380" s="94" t="str">
        <f>IF(PROGRAMA_DETALLE!P180="","",PROGRAMA_DETALLE!P180)</f>
        <v/>
      </c>
    </row>
    <row r="381" ht="15.75" customHeight="1">
      <c r="A381" s="87" t="s">
        <v>229</v>
      </c>
      <c r="B381" s="93" t="str">
        <f>IFERROR(VLOOKUP(PROGRAMA_DETALLE!A181,PROGRAMAS!$A$4:$B$103,2,FALSE()),"")</f>
        <v/>
      </c>
      <c r="C381" s="84" t="str">
        <f>IF(PROGRAMA_DETALLE!A181="","","Tejedora")</f>
        <v/>
      </c>
      <c r="D381" s="94" t="str">
        <f>IF(PROGRAMA_DETALLE!N181="","",PROGRAMA_DETALLE!N181)</f>
        <v/>
      </c>
      <c r="E381" s="84" t="str">
        <f>IF(PROGRAMA_DETALLE!A181="","","Tejido "&amp;PROGRAMA_DETALLE!A181&amp;" "&amp;PROGRAMA_DETALLE!B181)</f>
        <v/>
      </c>
      <c r="F381" s="95" t="str">
        <f>IF(PROGRAMA_DETALLE!M181=0,"",PROGRAMA_DETALLE!M181)</f>
        <v/>
      </c>
      <c r="G381" s="95">
        <f>IF(PROGRAMA_DETALLE!P181="PAGADO",PROGRAMA_DETALLE!M181,0)</f>
        <v>0</v>
      </c>
      <c r="H381" s="95">
        <f>IF(OR(PROGRAMA_DETALLE!P181="PENDIENTE",PROGRAMA_DETALLE!P181="PARCIAL"),PROGRAMA_DETALLE!M181,0)</f>
        <v>0</v>
      </c>
      <c r="I381" s="94" t="str">
        <f>IF(PROGRAMA_DETALLE!P181="","",PROGRAMA_DETALLE!P181)</f>
        <v/>
      </c>
    </row>
    <row r="382" ht="15.75" customHeight="1">
      <c r="A382" s="87" t="s">
        <v>229</v>
      </c>
      <c r="B382" s="93" t="str">
        <f>IFERROR(VLOOKUP(PROGRAMA_DETALLE!A182,PROGRAMAS!$A$4:$B$103,2,FALSE()),"")</f>
        <v/>
      </c>
      <c r="C382" s="84" t="str">
        <f>IF(PROGRAMA_DETALLE!A182="","","Tejedora")</f>
        <v/>
      </c>
      <c r="D382" s="94" t="str">
        <f>IF(PROGRAMA_DETALLE!N182="","",PROGRAMA_DETALLE!N182)</f>
        <v/>
      </c>
      <c r="E382" s="84" t="str">
        <f>IF(PROGRAMA_DETALLE!A182="","","Tejido "&amp;PROGRAMA_DETALLE!A182&amp;" "&amp;PROGRAMA_DETALLE!B182)</f>
        <v/>
      </c>
      <c r="F382" s="95" t="str">
        <f>IF(PROGRAMA_DETALLE!M182=0,"",PROGRAMA_DETALLE!M182)</f>
        <v/>
      </c>
      <c r="G382" s="95">
        <f>IF(PROGRAMA_DETALLE!P182="PAGADO",PROGRAMA_DETALLE!M182,0)</f>
        <v>0</v>
      </c>
      <c r="H382" s="95">
        <f>IF(OR(PROGRAMA_DETALLE!P182="PENDIENTE",PROGRAMA_DETALLE!P182="PARCIAL"),PROGRAMA_DETALLE!M182,0)</f>
        <v>0</v>
      </c>
      <c r="I382" s="94" t="str">
        <f>IF(PROGRAMA_DETALLE!P182="","",PROGRAMA_DETALLE!P182)</f>
        <v/>
      </c>
    </row>
    <row r="383" ht="15.75" customHeight="1">
      <c r="A383" s="87" t="s">
        <v>229</v>
      </c>
      <c r="B383" s="93" t="str">
        <f>IFERROR(VLOOKUP(PROGRAMA_DETALLE!A183,PROGRAMAS!$A$4:$B$103,2,FALSE()),"")</f>
        <v/>
      </c>
      <c r="C383" s="84" t="str">
        <f>IF(PROGRAMA_DETALLE!A183="","","Tejedora")</f>
        <v/>
      </c>
      <c r="D383" s="94" t="str">
        <f>IF(PROGRAMA_DETALLE!N183="","",PROGRAMA_DETALLE!N183)</f>
        <v/>
      </c>
      <c r="E383" s="84" t="str">
        <f>IF(PROGRAMA_DETALLE!A183="","","Tejido "&amp;PROGRAMA_DETALLE!A183&amp;" "&amp;PROGRAMA_DETALLE!B183)</f>
        <v/>
      </c>
      <c r="F383" s="95" t="str">
        <f>IF(PROGRAMA_DETALLE!M183=0,"",PROGRAMA_DETALLE!M183)</f>
        <v/>
      </c>
      <c r="G383" s="95">
        <f>IF(PROGRAMA_DETALLE!P183="PAGADO",PROGRAMA_DETALLE!M183,0)</f>
        <v>0</v>
      </c>
      <c r="H383" s="95">
        <f>IF(OR(PROGRAMA_DETALLE!P183="PENDIENTE",PROGRAMA_DETALLE!P183="PARCIAL"),PROGRAMA_DETALLE!M183,0)</f>
        <v>0</v>
      </c>
      <c r="I383" s="94" t="str">
        <f>IF(PROGRAMA_DETALLE!P183="","",PROGRAMA_DETALLE!P183)</f>
        <v/>
      </c>
    </row>
    <row r="384" ht="15.75" customHeight="1">
      <c r="A384" s="87" t="s">
        <v>229</v>
      </c>
      <c r="B384" s="93" t="str">
        <f>IFERROR(VLOOKUP(PROGRAMA_DETALLE!A184,PROGRAMAS!$A$4:$B$103,2,FALSE()),"")</f>
        <v/>
      </c>
      <c r="C384" s="84" t="str">
        <f>IF(PROGRAMA_DETALLE!A184="","","Tejedora")</f>
        <v/>
      </c>
      <c r="D384" s="94" t="str">
        <f>IF(PROGRAMA_DETALLE!N184="","",PROGRAMA_DETALLE!N184)</f>
        <v/>
      </c>
      <c r="E384" s="84" t="str">
        <f>IF(PROGRAMA_DETALLE!A184="","","Tejido "&amp;PROGRAMA_DETALLE!A184&amp;" "&amp;PROGRAMA_DETALLE!B184)</f>
        <v/>
      </c>
      <c r="F384" s="95" t="str">
        <f>IF(PROGRAMA_DETALLE!M184=0,"",PROGRAMA_DETALLE!M184)</f>
        <v/>
      </c>
      <c r="G384" s="95">
        <f>IF(PROGRAMA_DETALLE!P184="PAGADO",PROGRAMA_DETALLE!M184,0)</f>
        <v>0</v>
      </c>
      <c r="H384" s="95">
        <f>IF(OR(PROGRAMA_DETALLE!P184="PENDIENTE",PROGRAMA_DETALLE!P184="PARCIAL"),PROGRAMA_DETALLE!M184,0)</f>
        <v>0</v>
      </c>
      <c r="I384" s="94" t="str">
        <f>IF(PROGRAMA_DETALLE!P184="","",PROGRAMA_DETALLE!P184)</f>
        <v/>
      </c>
    </row>
    <row r="385" ht="15.75" customHeight="1">
      <c r="A385" s="87" t="s">
        <v>229</v>
      </c>
      <c r="B385" s="93" t="str">
        <f>IFERROR(VLOOKUP(PROGRAMA_DETALLE!A185,PROGRAMAS!$A$4:$B$103,2,FALSE()),"")</f>
        <v/>
      </c>
      <c r="C385" s="84" t="str">
        <f>IF(PROGRAMA_DETALLE!A185="","","Tejedora")</f>
        <v/>
      </c>
      <c r="D385" s="94" t="str">
        <f>IF(PROGRAMA_DETALLE!N185="","",PROGRAMA_DETALLE!N185)</f>
        <v/>
      </c>
      <c r="E385" s="84" t="str">
        <f>IF(PROGRAMA_DETALLE!A185="","","Tejido "&amp;PROGRAMA_DETALLE!A185&amp;" "&amp;PROGRAMA_DETALLE!B185)</f>
        <v/>
      </c>
      <c r="F385" s="95" t="str">
        <f>IF(PROGRAMA_DETALLE!M185=0,"",PROGRAMA_DETALLE!M185)</f>
        <v/>
      </c>
      <c r="G385" s="95">
        <f>IF(PROGRAMA_DETALLE!P185="PAGADO",PROGRAMA_DETALLE!M185,0)</f>
        <v>0</v>
      </c>
      <c r="H385" s="95">
        <f>IF(OR(PROGRAMA_DETALLE!P185="PENDIENTE",PROGRAMA_DETALLE!P185="PARCIAL"),PROGRAMA_DETALLE!M185,0)</f>
        <v>0</v>
      </c>
      <c r="I385" s="94" t="str">
        <f>IF(PROGRAMA_DETALLE!P185="","",PROGRAMA_DETALLE!P185)</f>
        <v/>
      </c>
    </row>
    <row r="386" ht="15.75" customHeight="1">
      <c r="A386" s="87" t="s">
        <v>229</v>
      </c>
      <c r="B386" s="93" t="str">
        <f>IFERROR(VLOOKUP(PROGRAMA_DETALLE!A186,PROGRAMAS!$A$4:$B$103,2,FALSE()),"")</f>
        <v/>
      </c>
      <c r="C386" s="84" t="str">
        <f>IF(PROGRAMA_DETALLE!A186="","","Tejedora")</f>
        <v/>
      </c>
      <c r="D386" s="94" t="str">
        <f>IF(PROGRAMA_DETALLE!N186="","",PROGRAMA_DETALLE!N186)</f>
        <v/>
      </c>
      <c r="E386" s="84" t="str">
        <f>IF(PROGRAMA_DETALLE!A186="","","Tejido "&amp;PROGRAMA_DETALLE!A186&amp;" "&amp;PROGRAMA_DETALLE!B186)</f>
        <v/>
      </c>
      <c r="F386" s="95" t="str">
        <f>IF(PROGRAMA_DETALLE!M186=0,"",PROGRAMA_DETALLE!M186)</f>
        <v/>
      </c>
      <c r="G386" s="95">
        <f>IF(PROGRAMA_DETALLE!P186="PAGADO",PROGRAMA_DETALLE!M186,0)</f>
        <v>0</v>
      </c>
      <c r="H386" s="95">
        <f>IF(OR(PROGRAMA_DETALLE!P186="PENDIENTE",PROGRAMA_DETALLE!P186="PARCIAL"),PROGRAMA_DETALLE!M186,0)</f>
        <v>0</v>
      </c>
      <c r="I386" s="94" t="str">
        <f>IF(PROGRAMA_DETALLE!P186="","",PROGRAMA_DETALLE!P186)</f>
        <v/>
      </c>
    </row>
    <row r="387" ht="15.75" customHeight="1">
      <c r="A387" s="87" t="s">
        <v>229</v>
      </c>
      <c r="B387" s="93" t="str">
        <f>IFERROR(VLOOKUP(PROGRAMA_DETALLE!A187,PROGRAMAS!$A$4:$B$103,2,FALSE()),"")</f>
        <v/>
      </c>
      <c r="C387" s="84" t="str">
        <f>IF(PROGRAMA_DETALLE!A187="","","Tejedora")</f>
        <v/>
      </c>
      <c r="D387" s="94" t="str">
        <f>IF(PROGRAMA_DETALLE!N187="","",PROGRAMA_DETALLE!N187)</f>
        <v/>
      </c>
      <c r="E387" s="84" t="str">
        <f>IF(PROGRAMA_DETALLE!A187="","","Tejido "&amp;PROGRAMA_DETALLE!A187&amp;" "&amp;PROGRAMA_DETALLE!B187)</f>
        <v/>
      </c>
      <c r="F387" s="95" t="str">
        <f>IF(PROGRAMA_DETALLE!M187=0,"",PROGRAMA_DETALLE!M187)</f>
        <v/>
      </c>
      <c r="G387" s="95">
        <f>IF(PROGRAMA_DETALLE!P187="PAGADO",PROGRAMA_DETALLE!M187,0)</f>
        <v>0</v>
      </c>
      <c r="H387" s="95">
        <f>IF(OR(PROGRAMA_DETALLE!P187="PENDIENTE",PROGRAMA_DETALLE!P187="PARCIAL"),PROGRAMA_DETALLE!M187,0)</f>
        <v>0</v>
      </c>
      <c r="I387" s="94" t="str">
        <f>IF(PROGRAMA_DETALLE!P187="","",PROGRAMA_DETALLE!P187)</f>
        <v/>
      </c>
    </row>
    <row r="388" ht="15.75" customHeight="1">
      <c r="A388" s="87" t="s">
        <v>229</v>
      </c>
      <c r="B388" s="93" t="str">
        <f>IFERROR(VLOOKUP(PROGRAMA_DETALLE!A188,PROGRAMAS!$A$4:$B$103,2,FALSE()),"")</f>
        <v/>
      </c>
      <c r="C388" s="84" t="str">
        <f>IF(PROGRAMA_DETALLE!A188="","","Tejedora")</f>
        <v/>
      </c>
      <c r="D388" s="94" t="str">
        <f>IF(PROGRAMA_DETALLE!N188="","",PROGRAMA_DETALLE!N188)</f>
        <v/>
      </c>
      <c r="E388" s="84" t="str">
        <f>IF(PROGRAMA_DETALLE!A188="","","Tejido "&amp;PROGRAMA_DETALLE!A188&amp;" "&amp;PROGRAMA_DETALLE!B188)</f>
        <v/>
      </c>
      <c r="F388" s="95" t="str">
        <f>IF(PROGRAMA_DETALLE!M188=0,"",PROGRAMA_DETALLE!M188)</f>
        <v/>
      </c>
      <c r="G388" s="95">
        <f>IF(PROGRAMA_DETALLE!P188="PAGADO",PROGRAMA_DETALLE!M188,0)</f>
        <v>0</v>
      </c>
      <c r="H388" s="95">
        <f>IF(OR(PROGRAMA_DETALLE!P188="PENDIENTE",PROGRAMA_DETALLE!P188="PARCIAL"),PROGRAMA_DETALLE!M188,0)</f>
        <v>0</v>
      </c>
      <c r="I388" s="94" t="str">
        <f>IF(PROGRAMA_DETALLE!P188="","",PROGRAMA_DETALLE!P188)</f>
        <v/>
      </c>
    </row>
    <row r="389" ht="15.75" customHeight="1">
      <c r="A389" s="87" t="s">
        <v>229</v>
      </c>
      <c r="B389" s="93" t="str">
        <f>IFERROR(VLOOKUP(PROGRAMA_DETALLE!A189,PROGRAMAS!$A$4:$B$103,2,FALSE()),"")</f>
        <v/>
      </c>
      <c r="C389" s="84" t="str">
        <f>IF(PROGRAMA_DETALLE!A189="","","Tejedora")</f>
        <v/>
      </c>
      <c r="D389" s="94" t="str">
        <f>IF(PROGRAMA_DETALLE!N189="","",PROGRAMA_DETALLE!N189)</f>
        <v/>
      </c>
      <c r="E389" s="84" t="str">
        <f>IF(PROGRAMA_DETALLE!A189="","","Tejido "&amp;PROGRAMA_DETALLE!A189&amp;" "&amp;PROGRAMA_DETALLE!B189)</f>
        <v/>
      </c>
      <c r="F389" s="95" t="str">
        <f>IF(PROGRAMA_DETALLE!M189=0,"",PROGRAMA_DETALLE!M189)</f>
        <v/>
      </c>
      <c r="G389" s="95">
        <f>IF(PROGRAMA_DETALLE!P189="PAGADO",PROGRAMA_DETALLE!M189,0)</f>
        <v>0</v>
      </c>
      <c r="H389" s="95">
        <f>IF(OR(PROGRAMA_DETALLE!P189="PENDIENTE",PROGRAMA_DETALLE!P189="PARCIAL"),PROGRAMA_DETALLE!M189,0)</f>
        <v>0</v>
      </c>
      <c r="I389" s="94" t="str">
        <f>IF(PROGRAMA_DETALLE!P189="","",PROGRAMA_DETALLE!P189)</f>
        <v/>
      </c>
    </row>
    <row r="390" ht="15.75" customHeight="1">
      <c r="A390" s="87" t="s">
        <v>229</v>
      </c>
      <c r="B390" s="93" t="str">
        <f>IFERROR(VLOOKUP(PROGRAMA_DETALLE!A190,PROGRAMAS!$A$4:$B$103,2,FALSE()),"")</f>
        <v/>
      </c>
      <c r="C390" s="84" t="str">
        <f>IF(PROGRAMA_DETALLE!A190="","","Tejedora")</f>
        <v/>
      </c>
      <c r="D390" s="94" t="str">
        <f>IF(PROGRAMA_DETALLE!N190="","",PROGRAMA_DETALLE!N190)</f>
        <v/>
      </c>
      <c r="E390" s="84" t="str">
        <f>IF(PROGRAMA_DETALLE!A190="","","Tejido "&amp;PROGRAMA_DETALLE!A190&amp;" "&amp;PROGRAMA_DETALLE!B190)</f>
        <v/>
      </c>
      <c r="F390" s="95" t="str">
        <f>IF(PROGRAMA_DETALLE!M190=0,"",PROGRAMA_DETALLE!M190)</f>
        <v/>
      </c>
      <c r="G390" s="95">
        <f>IF(PROGRAMA_DETALLE!P190="PAGADO",PROGRAMA_DETALLE!M190,0)</f>
        <v>0</v>
      </c>
      <c r="H390" s="95">
        <f>IF(OR(PROGRAMA_DETALLE!P190="PENDIENTE",PROGRAMA_DETALLE!P190="PARCIAL"),PROGRAMA_DETALLE!M190,0)</f>
        <v>0</v>
      </c>
      <c r="I390" s="94" t="str">
        <f>IF(PROGRAMA_DETALLE!P190="","",PROGRAMA_DETALLE!P190)</f>
        <v/>
      </c>
    </row>
    <row r="391" ht="15.75" customHeight="1">
      <c r="A391" s="87" t="s">
        <v>229</v>
      </c>
      <c r="B391" s="93" t="str">
        <f>IFERROR(VLOOKUP(PROGRAMA_DETALLE!A191,PROGRAMAS!$A$4:$B$103,2,FALSE()),"")</f>
        <v/>
      </c>
      <c r="C391" s="84" t="str">
        <f>IF(PROGRAMA_DETALLE!A191="","","Tejedora")</f>
        <v/>
      </c>
      <c r="D391" s="94" t="str">
        <f>IF(PROGRAMA_DETALLE!N191="","",PROGRAMA_DETALLE!N191)</f>
        <v/>
      </c>
      <c r="E391" s="84" t="str">
        <f>IF(PROGRAMA_DETALLE!A191="","","Tejido "&amp;PROGRAMA_DETALLE!A191&amp;" "&amp;PROGRAMA_DETALLE!B191)</f>
        <v/>
      </c>
      <c r="F391" s="95" t="str">
        <f>IF(PROGRAMA_DETALLE!M191=0,"",PROGRAMA_DETALLE!M191)</f>
        <v/>
      </c>
      <c r="G391" s="95">
        <f>IF(PROGRAMA_DETALLE!P191="PAGADO",PROGRAMA_DETALLE!M191,0)</f>
        <v>0</v>
      </c>
      <c r="H391" s="95">
        <f>IF(OR(PROGRAMA_DETALLE!P191="PENDIENTE",PROGRAMA_DETALLE!P191="PARCIAL"),PROGRAMA_DETALLE!M191,0)</f>
        <v>0</v>
      </c>
      <c r="I391" s="94" t="str">
        <f>IF(PROGRAMA_DETALLE!P191="","",PROGRAMA_DETALLE!P191)</f>
        <v/>
      </c>
    </row>
    <row r="392" ht="15.75" customHeight="1">
      <c r="A392" s="87" t="s">
        <v>229</v>
      </c>
      <c r="B392" s="93" t="str">
        <f>IFERROR(VLOOKUP(PROGRAMA_DETALLE!A192,PROGRAMAS!$A$4:$B$103,2,FALSE()),"")</f>
        <v/>
      </c>
      <c r="C392" s="84" t="str">
        <f>IF(PROGRAMA_DETALLE!A192="","","Tejedora")</f>
        <v/>
      </c>
      <c r="D392" s="94" t="str">
        <f>IF(PROGRAMA_DETALLE!N192="","",PROGRAMA_DETALLE!N192)</f>
        <v/>
      </c>
      <c r="E392" s="84" t="str">
        <f>IF(PROGRAMA_DETALLE!A192="","","Tejido "&amp;PROGRAMA_DETALLE!A192&amp;" "&amp;PROGRAMA_DETALLE!B192)</f>
        <v/>
      </c>
      <c r="F392" s="95" t="str">
        <f>IF(PROGRAMA_DETALLE!M192=0,"",PROGRAMA_DETALLE!M192)</f>
        <v/>
      </c>
      <c r="G392" s="95">
        <f>IF(PROGRAMA_DETALLE!P192="PAGADO",PROGRAMA_DETALLE!M192,0)</f>
        <v>0</v>
      </c>
      <c r="H392" s="95">
        <f>IF(OR(PROGRAMA_DETALLE!P192="PENDIENTE",PROGRAMA_DETALLE!P192="PARCIAL"),PROGRAMA_DETALLE!M192,0)</f>
        <v>0</v>
      </c>
      <c r="I392" s="94" t="str">
        <f>IF(PROGRAMA_DETALLE!P192="","",PROGRAMA_DETALLE!P192)</f>
        <v/>
      </c>
    </row>
    <row r="393" ht="15.75" customHeight="1">
      <c r="A393" s="87" t="s">
        <v>229</v>
      </c>
      <c r="B393" s="93" t="str">
        <f>IFERROR(VLOOKUP(PROGRAMA_DETALLE!A193,PROGRAMAS!$A$4:$B$103,2,FALSE()),"")</f>
        <v/>
      </c>
      <c r="C393" s="84" t="str">
        <f>IF(PROGRAMA_DETALLE!A193="","","Tejedora")</f>
        <v/>
      </c>
      <c r="D393" s="94" t="str">
        <f>IF(PROGRAMA_DETALLE!N193="","",PROGRAMA_DETALLE!N193)</f>
        <v/>
      </c>
      <c r="E393" s="84" t="str">
        <f>IF(PROGRAMA_DETALLE!A193="","","Tejido "&amp;PROGRAMA_DETALLE!A193&amp;" "&amp;PROGRAMA_DETALLE!B193)</f>
        <v/>
      </c>
      <c r="F393" s="95" t="str">
        <f>IF(PROGRAMA_DETALLE!M193=0,"",PROGRAMA_DETALLE!M193)</f>
        <v/>
      </c>
      <c r="G393" s="95">
        <f>IF(PROGRAMA_DETALLE!P193="PAGADO",PROGRAMA_DETALLE!M193,0)</f>
        <v>0</v>
      </c>
      <c r="H393" s="95">
        <f>IF(OR(PROGRAMA_DETALLE!P193="PENDIENTE",PROGRAMA_DETALLE!P193="PARCIAL"),PROGRAMA_DETALLE!M193,0)</f>
        <v>0</v>
      </c>
      <c r="I393" s="94" t="str">
        <f>IF(PROGRAMA_DETALLE!P193="","",PROGRAMA_DETALLE!P193)</f>
        <v/>
      </c>
    </row>
    <row r="394" ht="15.75" customHeight="1">
      <c r="A394" s="87" t="s">
        <v>229</v>
      </c>
      <c r="B394" s="93" t="str">
        <f>IFERROR(VLOOKUP(PROGRAMA_DETALLE!A194,PROGRAMAS!$A$4:$B$103,2,FALSE()),"")</f>
        <v/>
      </c>
      <c r="C394" s="84" t="str">
        <f>IF(PROGRAMA_DETALLE!A194="","","Tejedora")</f>
        <v/>
      </c>
      <c r="D394" s="94" t="str">
        <f>IF(PROGRAMA_DETALLE!N194="","",PROGRAMA_DETALLE!N194)</f>
        <v/>
      </c>
      <c r="E394" s="84" t="str">
        <f>IF(PROGRAMA_DETALLE!A194="","","Tejido "&amp;PROGRAMA_DETALLE!A194&amp;" "&amp;PROGRAMA_DETALLE!B194)</f>
        <v/>
      </c>
      <c r="F394" s="95" t="str">
        <f>IF(PROGRAMA_DETALLE!M194=0,"",PROGRAMA_DETALLE!M194)</f>
        <v/>
      </c>
      <c r="G394" s="95">
        <f>IF(PROGRAMA_DETALLE!P194="PAGADO",PROGRAMA_DETALLE!M194,0)</f>
        <v>0</v>
      </c>
      <c r="H394" s="95">
        <f>IF(OR(PROGRAMA_DETALLE!P194="PENDIENTE",PROGRAMA_DETALLE!P194="PARCIAL"),PROGRAMA_DETALLE!M194,0)</f>
        <v>0</v>
      </c>
      <c r="I394" s="94" t="str">
        <f>IF(PROGRAMA_DETALLE!P194="","",PROGRAMA_DETALLE!P194)</f>
        <v/>
      </c>
    </row>
    <row r="395" ht="15.75" customHeight="1">
      <c r="A395" s="87" t="s">
        <v>229</v>
      </c>
      <c r="B395" s="93" t="str">
        <f>IFERROR(VLOOKUP(PROGRAMA_DETALLE!A195,PROGRAMAS!$A$4:$B$103,2,FALSE()),"")</f>
        <v/>
      </c>
      <c r="C395" s="84" t="str">
        <f>IF(PROGRAMA_DETALLE!A195="","","Tejedora")</f>
        <v/>
      </c>
      <c r="D395" s="94" t="str">
        <f>IF(PROGRAMA_DETALLE!N195="","",PROGRAMA_DETALLE!N195)</f>
        <v/>
      </c>
      <c r="E395" s="84" t="str">
        <f>IF(PROGRAMA_DETALLE!A195="","","Tejido "&amp;PROGRAMA_DETALLE!A195&amp;" "&amp;PROGRAMA_DETALLE!B195)</f>
        <v/>
      </c>
      <c r="F395" s="95" t="str">
        <f>IF(PROGRAMA_DETALLE!M195=0,"",PROGRAMA_DETALLE!M195)</f>
        <v/>
      </c>
      <c r="G395" s="95">
        <f>IF(PROGRAMA_DETALLE!P195="PAGADO",PROGRAMA_DETALLE!M195,0)</f>
        <v>0</v>
      </c>
      <c r="H395" s="95">
        <f>IF(OR(PROGRAMA_DETALLE!P195="PENDIENTE",PROGRAMA_DETALLE!P195="PARCIAL"),PROGRAMA_DETALLE!M195,0)</f>
        <v>0</v>
      </c>
      <c r="I395" s="94" t="str">
        <f>IF(PROGRAMA_DETALLE!P195="","",PROGRAMA_DETALLE!P195)</f>
        <v/>
      </c>
    </row>
    <row r="396" ht="15.75" customHeight="1">
      <c r="A396" s="87" t="s">
        <v>229</v>
      </c>
      <c r="B396" s="93" t="str">
        <f>IFERROR(VLOOKUP(PROGRAMA_DETALLE!A196,PROGRAMAS!$A$4:$B$103,2,FALSE()),"")</f>
        <v/>
      </c>
      <c r="C396" s="84" t="str">
        <f>IF(PROGRAMA_DETALLE!A196="","","Tejedora")</f>
        <v/>
      </c>
      <c r="D396" s="94" t="str">
        <f>IF(PROGRAMA_DETALLE!N196="","",PROGRAMA_DETALLE!N196)</f>
        <v/>
      </c>
      <c r="E396" s="84" t="str">
        <f>IF(PROGRAMA_DETALLE!A196="","","Tejido "&amp;PROGRAMA_DETALLE!A196&amp;" "&amp;PROGRAMA_DETALLE!B196)</f>
        <v/>
      </c>
      <c r="F396" s="95" t="str">
        <f>IF(PROGRAMA_DETALLE!M196=0,"",PROGRAMA_DETALLE!M196)</f>
        <v/>
      </c>
      <c r="G396" s="95">
        <f>IF(PROGRAMA_DETALLE!P196="PAGADO",PROGRAMA_DETALLE!M196,0)</f>
        <v>0</v>
      </c>
      <c r="H396" s="95">
        <f>IF(OR(PROGRAMA_DETALLE!P196="PENDIENTE",PROGRAMA_DETALLE!P196="PARCIAL"),PROGRAMA_DETALLE!M196,0)</f>
        <v>0</v>
      </c>
      <c r="I396" s="94" t="str">
        <f>IF(PROGRAMA_DETALLE!P196="","",PROGRAMA_DETALLE!P196)</f>
        <v/>
      </c>
    </row>
    <row r="397" ht="15.75" customHeight="1">
      <c r="A397" s="87" t="s">
        <v>229</v>
      </c>
      <c r="B397" s="93" t="str">
        <f>IFERROR(VLOOKUP(PROGRAMA_DETALLE!A197,PROGRAMAS!$A$4:$B$103,2,FALSE()),"")</f>
        <v/>
      </c>
      <c r="C397" s="84" t="str">
        <f>IF(PROGRAMA_DETALLE!A197="","","Tejedora")</f>
        <v/>
      </c>
      <c r="D397" s="94" t="str">
        <f>IF(PROGRAMA_DETALLE!N197="","",PROGRAMA_DETALLE!N197)</f>
        <v/>
      </c>
      <c r="E397" s="84" t="str">
        <f>IF(PROGRAMA_DETALLE!A197="","","Tejido "&amp;PROGRAMA_DETALLE!A197&amp;" "&amp;PROGRAMA_DETALLE!B197)</f>
        <v/>
      </c>
      <c r="F397" s="95" t="str">
        <f>IF(PROGRAMA_DETALLE!M197=0,"",PROGRAMA_DETALLE!M197)</f>
        <v/>
      </c>
      <c r="G397" s="95">
        <f>IF(PROGRAMA_DETALLE!P197="PAGADO",PROGRAMA_DETALLE!M197,0)</f>
        <v>0</v>
      </c>
      <c r="H397" s="95">
        <f>IF(OR(PROGRAMA_DETALLE!P197="PENDIENTE",PROGRAMA_DETALLE!P197="PARCIAL"),PROGRAMA_DETALLE!M197,0)</f>
        <v>0</v>
      </c>
      <c r="I397" s="94" t="str">
        <f>IF(PROGRAMA_DETALLE!P197="","",PROGRAMA_DETALLE!P197)</f>
        <v/>
      </c>
    </row>
    <row r="398" ht="15.75" customHeight="1">
      <c r="A398" s="87" t="s">
        <v>229</v>
      </c>
      <c r="B398" s="93" t="str">
        <f>IFERROR(VLOOKUP(PROGRAMA_DETALLE!A198,PROGRAMAS!$A$4:$B$103,2,FALSE()),"")</f>
        <v/>
      </c>
      <c r="C398" s="84" t="str">
        <f>IF(PROGRAMA_DETALLE!A198="","","Tejedora")</f>
        <v/>
      </c>
      <c r="D398" s="94" t="str">
        <f>IF(PROGRAMA_DETALLE!N198="","",PROGRAMA_DETALLE!N198)</f>
        <v/>
      </c>
      <c r="E398" s="84" t="str">
        <f>IF(PROGRAMA_DETALLE!A198="","","Tejido "&amp;PROGRAMA_DETALLE!A198&amp;" "&amp;PROGRAMA_DETALLE!B198)</f>
        <v/>
      </c>
      <c r="F398" s="95" t="str">
        <f>IF(PROGRAMA_DETALLE!M198=0,"",PROGRAMA_DETALLE!M198)</f>
        <v/>
      </c>
      <c r="G398" s="95">
        <f>IF(PROGRAMA_DETALLE!P198="PAGADO",PROGRAMA_DETALLE!M198,0)</f>
        <v>0</v>
      </c>
      <c r="H398" s="95">
        <f>IF(OR(PROGRAMA_DETALLE!P198="PENDIENTE",PROGRAMA_DETALLE!P198="PARCIAL"),PROGRAMA_DETALLE!M198,0)</f>
        <v>0</v>
      </c>
      <c r="I398" s="94" t="str">
        <f>IF(PROGRAMA_DETALLE!P198="","",PROGRAMA_DETALLE!P198)</f>
        <v/>
      </c>
    </row>
    <row r="399" ht="15.75" customHeight="1">
      <c r="A399" s="87" t="s">
        <v>229</v>
      </c>
      <c r="B399" s="93" t="str">
        <f>IFERROR(VLOOKUP(PROGRAMA_DETALLE!A199,PROGRAMAS!$A$4:$B$103,2,FALSE()),"")</f>
        <v/>
      </c>
      <c r="C399" s="84" t="str">
        <f>IF(PROGRAMA_DETALLE!A199="","","Tejedora")</f>
        <v/>
      </c>
      <c r="D399" s="94" t="str">
        <f>IF(PROGRAMA_DETALLE!N199="","",PROGRAMA_DETALLE!N199)</f>
        <v/>
      </c>
      <c r="E399" s="84" t="str">
        <f>IF(PROGRAMA_DETALLE!A199="","","Tejido "&amp;PROGRAMA_DETALLE!A199&amp;" "&amp;PROGRAMA_DETALLE!B199)</f>
        <v/>
      </c>
      <c r="F399" s="95" t="str">
        <f>IF(PROGRAMA_DETALLE!M199=0,"",PROGRAMA_DETALLE!M199)</f>
        <v/>
      </c>
      <c r="G399" s="95">
        <f>IF(PROGRAMA_DETALLE!P199="PAGADO",PROGRAMA_DETALLE!M199,0)</f>
        <v>0</v>
      </c>
      <c r="H399" s="95">
        <f>IF(OR(PROGRAMA_DETALLE!P199="PENDIENTE",PROGRAMA_DETALLE!P199="PARCIAL"),PROGRAMA_DETALLE!M199,0)</f>
        <v>0</v>
      </c>
      <c r="I399" s="94" t="str">
        <f>IF(PROGRAMA_DETALLE!P199="","",PROGRAMA_DETALLE!P199)</f>
        <v/>
      </c>
    </row>
    <row r="400" ht="15.75" customHeight="1">
      <c r="A400" s="87" t="s">
        <v>229</v>
      </c>
      <c r="B400" s="93" t="str">
        <f>IFERROR(VLOOKUP(PROGRAMA_DETALLE!A200,PROGRAMAS!$A$4:$B$103,2,FALSE()),"")</f>
        <v/>
      </c>
      <c r="C400" s="84" t="str">
        <f>IF(PROGRAMA_DETALLE!A200="","","Tejedora")</f>
        <v/>
      </c>
      <c r="D400" s="94" t="str">
        <f>IF(PROGRAMA_DETALLE!N200="","",PROGRAMA_DETALLE!N200)</f>
        <v/>
      </c>
      <c r="E400" s="84" t="str">
        <f>IF(PROGRAMA_DETALLE!A200="","","Tejido "&amp;PROGRAMA_DETALLE!A200&amp;" "&amp;PROGRAMA_DETALLE!B200)</f>
        <v/>
      </c>
      <c r="F400" s="95" t="str">
        <f>IF(PROGRAMA_DETALLE!M200=0,"",PROGRAMA_DETALLE!M200)</f>
        <v/>
      </c>
      <c r="G400" s="95">
        <f>IF(PROGRAMA_DETALLE!P200="PAGADO",PROGRAMA_DETALLE!M200,0)</f>
        <v>0</v>
      </c>
      <c r="H400" s="95">
        <f>IF(OR(PROGRAMA_DETALLE!P200="PENDIENTE",PROGRAMA_DETALLE!P200="PARCIAL"),PROGRAMA_DETALLE!M200,0)</f>
        <v>0</v>
      </c>
      <c r="I400" s="94" t="str">
        <f>IF(PROGRAMA_DETALLE!P200="","",PROGRAMA_DETALLE!P200)</f>
        <v/>
      </c>
    </row>
    <row r="401" ht="15.75" customHeight="1">
      <c r="A401" s="87" t="s">
        <v>229</v>
      </c>
      <c r="B401" s="93" t="str">
        <f>IFERROR(VLOOKUP(PROGRAMA_DETALLE!A201,PROGRAMAS!$A$4:$B$103,2,FALSE()),"")</f>
        <v/>
      </c>
      <c r="C401" s="84" t="str">
        <f>IF(PROGRAMA_DETALLE!A201="","","Tejedora")</f>
        <v/>
      </c>
      <c r="D401" s="94" t="str">
        <f>IF(PROGRAMA_DETALLE!N201="","",PROGRAMA_DETALLE!N201)</f>
        <v/>
      </c>
      <c r="E401" s="84" t="str">
        <f>IF(PROGRAMA_DETALLE!A201="","","Tejido "&amp;PROGRAMA_DETALLE!A201&amp;" "&amp;PROGRAMA_DETALLE!B201)</f>
        <v/>
      </c>
      <c r="F401" s="95" t="str">
        <f>IF(PROGRAMA_DETALLE!M201=0,"",PROGRAMA_DETALLE!M201)</f>
        <v/>
      </c>
      <c r="G401" s="95">
        <f>IF(PROGRAMA_DETALLE!P201="PAGADO",PROGRAMA_DETALLE!M201,0)</f>
        <v>0</v>
      </c>
      <c r="H401" s="95">
        <f>IF(OR(PROGRAMA_DETALLE!P201="PENDIENTE",PROGRAMA_DETALLE!P201="PARCIAL"),PROGRAMA_DETALLE!M201,0)</f>
        <v>0</v>
      </c>
      <c r="I401" s="94" t="str">
        <f>IF(PROGRAMA_DETALLE!P201="","",PROGRAMA_DETALLE!P201)</f>
        <v/>
      </c>
    </row>
    <row r="402" ht="15.75" customHeight="1">
      <c r="A402" s="87" t="s">
        <v>229</v>
      </c>
      <c r="B402" s="93" t="str">
        <f>IFERROR(VLOOKUP(PROGRAMA_DETALLE!A202,PROGRAMAS!$A$4:$B$103,2,FALSE()),"")</f>
        <v/>
      </c>
      <c r="C402" s="84" t="str">
        <f>IF(PROGRAMA_DETALLE!A202="","","Tejedora")</f>
        <v/>
      </c>
      <c r="D402" s="94" t="str">
        <f>IF(PROGRAMA_DETALLE!N202="","",PROGRAMA_DETALLE!N202)</f>
        <v/>
      </c>
      <c r="E402" s="84" t="str">
        <f>IF(PROGRAMA_DETALLE!A202="","","Tejido "&amp;PROGRAMA_DETALLE!A202&amp;" "&amp;PROGRAMA_DETALLE!B202)</f>
        <v/>
      </c>
      <c r="F402" s="95" t="str">
        <f>IF(PROGRAMA_DETALLE!M202=0,"",PROGRAMA_DETALLE!M202)</f>
        <v/>
      </c>
      <c r="G402" s="95">
        <f>IF(PROGRAMA_DETALLE!P202="PAGADO",PROGRAMA_DETALLE!M202,0)</f>
        <v>0</v>
      </c>
      <c r="H402" s="95">
        <f>IF(OR(PROGRAMA_DETALLE!P202="PENDIENTE",PROGRAMA_DETALLE!P202="PARCIAL"),PROGRAMA_DETALLE!M202,0)</f>
        <v>0</v>
      </c>
      <c r="I402" s="94" t="str">
        <f>IF(PROGRAMA_DETALLE!P202="","",PROGRAMA_DETALLE!P202)</f>
        <v/>
      </c>
    </row>
    <row r="403" ht="15.75" customHeight="1">
      <c r="A403" s="87" t="s">
        <v>229</v>
      </c>
      <c r="B403" s="93" t="str">
        <f>IFERROR(VLOOKUP(PROGRAMA_DETALLE!A203,PROGRAMAS!$A$4:$B$103,2,FALSE()),"")</f>
        <v/>
      </c>
      <c r="C403" s="84" t="str">
        <f>IF(PROGRAMA_DETALLE!A203="","","Tejedora")</f>
        <v/>
      </c>
      <c r="D403" s="94" t="str">
        <f>IF(PROGRAMA_DETALLE!N203="","",PROGRAMA_DETALLE!N203)</f>
        <v/>
      </c>
      <c r="E403" s="84" t="str">
        <f>IF(PROGRAMA_DETALLE!A203="","","Tejido "&amp;PROGRAMA_DETALLE!A203&amp;" "&amp;PROGRAMA_DETALLE!B203)</f>
        <v/>
      </c>
      <c r="F403" s="95" t="str">
        <f>IF(PROGRAMA_DETALLE!M203=0,"",PROGRAMA_DETALLE!M203)</f>
        <v/>
      </c>
      <c r="G403" s="95">
        <f>IF(PROGRAMA_DETALLE!P203="PAGADO",PROGRAMA_DETALLE!M203,0)</f>
        <v>0</v>
      </c>
      <c r="H403" s="95">
        <f>IF(OR(PROGRAMA_DETALLE!P203="PENDIENTE",PROGRAMA_DETALLE!P203="PARCIAL"),PROGRAMA_DETALLE!M203,0)</f>
        <v>0</v>
      </c>
      <c r="I403" s="94" t="str">
        <f>IF(PROGRAMA_DETALLE!P203="","",PROGRAMA_DETALLE!P203)</f>
        <v/>
      </c>
    </row>
    <row r="404" ht="15.75" customHeight="1">
      <c r="A404" s="87" t="s">
        <v>229</v>
      </c>
      <c r="B404" s="93" t="str">
        <f>IFERROR(VLOOKUP(PROGRAMA_DETALLE!A204,PROGRAMAS!$A$4:$B$103,2,FALSE()),"")</f>
        <v/>
      </c>
      <c r="C404" s="84" t="str">
        <f>IF(PROGRAMA_DETALLE!A204="","","Tejedora")</f>
        <v/>
      </c>
      <c r="D404" s="94" t="str">
        <f>IF(PROGRAMA_DETALLE!N204="","",PROGRAMA_DETALLE!N204)</f>
        <v/>
      </c>
      <c r="E404" s="84" t="str">
        <f>IF(PROGRAMA_DETALLE!A204="","","Tejido "&amp;PROGRAMA_DETALLE!A204&amp;" "&amp;PROGRAMA_DETALLE!B204)</f>
        <v/>
      </c>
      <c r="F404" s="95" t="str">
        <f>IF(PROGRAMA_DETALLE!M204=0,"",PROGRAMA_DETALLE!M204)</f>
        <v/>
      </c>
      <c r="G404" s="95">
        <f>IF(PROGRAMA_DETALLE!P204="PAGADO",PROGRAMA_DETALLE!M204,0)</f>
        <v>0</v>
      </c>
      <c r="H404" s="95">
        <f>IF(OR(PROGRAMA_DETALLE!P204="PENDIENTE",PROGRAMA_DETALLE!P204="PARCIAL"),PROGRAMA_DETALLE!M204,0)</f>
        <v>0</v>
      </c>
      <c r="I404" s="94" t="str">
        <f>IF(PROGRAMA_DETALLE!P204="","",PROGRAMA_DETALLE!P204)</f>
        <v/>
      </c>
    </row>
    <row r="405" ht="15.75" customHeight="1">
      <c r="A405" s="87" t="s">
        <v>229</v>
      </c>
      <c r="B405" s="93" t="str">
        <f>IFERROR(VLOOKUP(PROGRAMA_DETALLE!A205,PROGRAMAS!$A$4:$B$103,2,FALSE()),"")</f>
        <v/>
      </c>
      <c r="C405" s="84" t="str">
        <f>IF(PROGRAMA_DETALLE!A205="","","Tejedora")</f>
        <v/>
      </c>
      <c r="D405" s="94" t="str">
        <f>IF(PROGRAMA_DETALLE!N205="","",PROGRAMA_DETALLE!N205)</f>
        <v/>
      </c>
      <c r="E405" s="84" t="str">
        <f>IF(PROGRAMA_DETALLE!A205="","","Tejido "&amp;PROGRAMA_DETALLE!A205&amp;" "&amp;PROGRAMA_DETALLE!B205)</f>
        <v/>
      </c>
      <c r="F405" s="95" t="str">
        <f>IF(PROGRAMA_DETALLE!M205=0,"",PROGRAMA_DETALLE!M205)</f>
        <v/>
      </c>
      <c r="G405" s="95">
        <f>IF(PROGRAMA_DETALLE!P205="PAGADO",PROGRAMA_DETALLE!M205,0)</f>
        <v>0</v>
      </c>
      <c r="H405" s="95">
        <f>IF(OR(PROGRAMA_DETALLE!P205="PENDIENTE",PROGRAMA_DETALLE!P205="PARCIAL"),PROGRAMA_DETALLE!M205,0)</f>
        <v>0</v>
      </c>
      <c r="I405" s="94" t="str">
        <f>IF(PROGRAMA_DETALLE!P205="","",PROGRAMA_DETALLE!P205)</f>
        <v/>
      </c>
    </row>
    <row r="406" ht="15.75" customHeight="1">
      <c r="A406" s="87" t="s">
        <v>229</v>
      </c>
      <c r="B406" s="93" t="str">
        <f>IFERROR(VLOOKUP(PROGRAMA_DETALLE!A206,PROGRAMAS!$A$4:$B$103,2,FALSE()),"")</f>
        <v/>
      </c>
      <c r="C406" s="84" t="str">
        <f>IF(PROGRAMA_DETALLE!A206="","","Tejedora")</f>
        <v/>
      </c>
      <c r="D406" s="94" t="str">
        <f>IF(PROGRAMA_DETALLE!N206="","",PROGRAMA_DETALLE!N206)</f>
        <v/>
      </c>
      <c r="E406" s="84" t="str">
        <f>IF(PROGRAMA_DETALLE!A206="","","Tejido "&amp;PROGRAMA_DETALLE!A206&amp;" "&amp;PROGRAMA_DETALLE!B206)</f>
        <v/>
      </c>
      <c r="F406" s="95" t="str">
        <f>IF(PROGRAMA_DETALLE!M206=0,"",PROGRAMA_DETALLE!M206)</f>
        <v/>
      </c>
      <c r="G406" s="95">
        <f>IF(PROGRAMA_DETALLE!P206="PAGADO",PROGRAMA_DETALLE!M206,0)</f>
        <v>0</v>
      </c>
      <c r="H406" s="95">
        <f>IF(OR(PROGRAMA_DETALLE!P206="PENDIENTE",PROGRAMA_DETALLE!P206="PARCIAL"),PROGRAMA_DETALLE!M206,0)</f>
        <v>0</v>
      </c>
      <c r="I406" s="94" t="str">
        <f>IF(PROGRAMA_DETALLE!P206="","",PROGRAMA_DETALLE!P206)</f>
        <v/>
      </c>
    </row>
    <row r="407" ht="15.75" customHeight="1">
      <c r="A407" s="87" t="s">
        <v>229</v>
      </c>
      <c r="B407" s="93" t="str">
        <f>IFERROR(VLOOKUP(PROGRAMA_DETALLE!A207,PROGRAMAS!$A$4:$B$103,2,FALSE()),"")</f>
        <v/>
      </c>
      <c r="C407" s="84" t="str">
        <f>IF(PROGRAMA_DETALLE!A207="","","Tejedora")</f>
        <v/>
      </c>
      <c r="D407" s="94" t="str">
        <f>IF(PROGRAMA_DETALLE!N207="","",PROGRAMA_DETALLE!N207)</f>
        <v/>
      </c>
      <c r="E407" s="84" t="str">
        <f>IF(PROGRAMA_DETALLE!A207="","","Tejido "&amp;PROGRAMA_DETALLE!A207&amp;" "&amp;PROGRAMA_DETALLE!B207)</f>
        <v/>
      </c>
      <c r="F407" s="95" t="str">
        <f>IF(PROGRAMA_DETALLE!M207=0,"",PROGRAMA_DETALLE!M207)</f>
        <v/>
      </c>
      <c r="G407" s="95">
        <f>IF(PROGRAMA_DETALLE!P207="PAGADO",PROGRAMA_DETALLE!M207,0)</f>
        <v>0</v>
      </c>
      <c r="H407" s="95">
        <f>IF(OR(PROGRAMA_DETALLE!P207="PENDIENTE",PROGRAMA_DETALLE!P207="PARCIAL"),PROGRAMA_DETALLE!M207,0)</f>
        <v>0</v>
      </c>
      <c r="I407" s="94" t="str">
        <f>IF(PROGRAMA_DETALLE!P207="","",PROGRAMA_DETALLE!P207)</f>
        <v/>
      </c>
    </row>
    <row r="408" ht="15.75" customHeight="1">
      <c r="A408" s="87" t="s">
        <v>229</v>
      </c>
      <c r="B408" s="93" t="str">
        <f>IFERROR(VLOOKUP(PROGRAMA_DETALLE!A208,PROGRAMAS!$A$4:$B$103,2,FALSE()),"")</f>
        <v/>
      </c>
      <c r="C408" s="84" t="str">
        <f>IF(PROGRAMA_DETALLE!A208="","","Tejedora")</f>
        <v/>
      </c>
      <c r="D408" s="94" t="str">
        <f>IF(PROGRAMA_DETALLE!N208="","",PROGRAMA_DETALLE!N208)</f>
        <v/>
      </c>
      <c r="E408" s="84" t="str">
        <f>IF(PROGRAMA_DETALLE!A208="","","Tejido "&amp;PROGRAMA_DETALLE!A208&amp;" "&amp;PROGRAMA_DETALLE!B208)</f>
        <v/>
      </c>
      <c r="F408" s="95" t="str">
        <f>IF(PROGRAMA_DETALLE!M208=0,"",PROGRAMA_DETALLE!M208)</f>
        <v/>
      </c>
      <c r="G408" s="95">
        <f>IF(PROGRAMA_DETALLE!P208="PAGADO",PROGRAMA_DETALLE!M208,0)</f>
        <v>0</v>
      </c>
      <c r="H408" s="95">
        <f>IF(OR(PROGRAMA_DETALLE!P208="PENDIENTE",PROGRAMA_DETALLE!P208="PARCIAL"),PROGRAMA_DETALLE!M208,0)</f>
        <v>0</v>
      </c>
      <c r="I408" s="94" t="str">
        <f>IF(PROGRAMA_DETALLE!P208="","",PROGRAMA_DETALLE!P208)</f>
        <v/>
      </c>
    </row>
    <row r="409" ht="15.75" customHeight="1">
      <c r="A409" s="87" t="s">
        <v>229</v>
      </c>
      <c r="B409" s="93" t="str">
        <f>IFERROR(VLOOKUP(PROGRAMA_DETALLE!A209,PROGRAMAS!$A$4:$B$103,2,FALSE()),"")</f>
        <v/>
      </c>
      <c r="C409" s="84" t="str">
        <f>IF(PROGRAMA_DETALLE!A209="","","Tejedora")</f>
        <v/>
      </c>
      <c r="D409" s="94" t="str">
        <f>IF(PROGRAMA_DETALLE!N209="","",PROGRAMA_DETALLE!N209)</f>
        <v/>
      </c>
      <c r="E409" s="84" t="str">
        <f>IF(PROGRAMA_DETALLE!A209="","","Tejido "&amp;PROGRAMA_DETALLE!A209&amp;" "&amp;PROGRAMA_DETALLE!B209)</f>
        <v/>
      </c>
      <c r="F409" s="95" t="str">
        <f>IF(PROGRAMA_DETALLE!M209=0,"",PROGRAMA_DETALLE!M209)</f>
        <v/>
      </c>
      <c r="G409" s="95">
        <f>IF(PROGRAMA_DETALLE!P209="PAGADO",PROGRAMA_DETALLE!M209,0)</f>
        <v>0</v>
      </c>
      <c r="H409" s="95">
        <f>IF(OR(PROGRAMA_DETALLE!P209="PENDIENTE",PROGRAMA_DETALLE!P209="PARCIAL"),PROGRAMA_DETALLE!M209,0)</f>
        <v>0</v>
      </c>
      <c r="I409" s="94" t="str">
        <f>IF(PROGRAMA_DETALLE!P209="","",PROGRAMA_DETALLE!P209)</f>
        <v/>
      </c>
    </row>
    <row r="410" ht="15.75" customHeight="1">
      <c r="A410" s="87" t="s">
        <v>229</v>
      </c>
      <c r="B410" s="93" t="str">
        <f>IFERROR(VLOOKUP(PROGRAMA_DETALLE!A210,PROGRAMAS!$A$4:$B$103,2,FALSE()),"")</f>
        <v/>
      </c>
      <c r="C410" s="84" t="str">
        <f>IF(PROGRAMA_DETALLE!A210="","","Tejedora")</f>
        <v/>
      </c>
      <c r="D410" s="94" t="str">
        <f>IF(PROGRAMA_DETALLE!N210="","",PROGRAMA_DETALLE!N210)</f>
        <v/>
      </c>
      <c r="E410" s="84" t="str">
        <f>IF(PROGRAMA_DETALLE!A210="","","Tejido "&amp;PROGRAMA_DETALLE!A210&amp;" "&amp;PROGRAMA_DETALLE!B210)</f>
        <v/>
      </c>
      <c r="F410" s="95" t="str">
        <f>IF(PROGRAMA_DETALLE!M210=0,"",PROGRAMA_DETALLE!M210)</f>
        <v/>
      </c>
      <c r="G410" s="95">
        <f>IF(PROGRAMA_DETALLE!P210="PAGADO",PROGRAMA_DETALLE!M210,0)</f>
        <v>0</v>
      </c>
      <c r="H410" s="95">
        <f>IF(OR(PROGRAMA_DETALLE!P210="PENDIENTE",PROGRAMA_DETALLE!P210="PARCIAL"),PROGRAMA_DETALLE!M210,0)</f>
        <v>0</v>
      </c>
      <c r="I410" s="94" t="str">
        <f>IF(PROGRAMA_DETALLE!P210="","",PROGRAMA_DETALLE!P210)</f>
        <v/>
      </c>
    </row>
    <row r="411" ht="15.75" customHeight="1">
      <c r="A411" s="87" t="s">
        <v>229</v>
      </c>
      <c r="B411" s="93" t="str">
        <f>IFERROR(VLOOKUP(PROGRAMA_DETALLE!A211,PROGRAMAS!$A$4:$B$103,2,FALSE()),"")</f>
        <v/>
      </c>
      <c r="C411" s="84" t="str">
        <f>IF(PROGRAMA_DETALLE!A211="","","Tejedora")</f>
        <v/>
      </c>
      <c r="D411" s="94" t="str">
        <f>IF(PROGRAMA_DETALLE!N211="","",PROGRAMA_DETALLE!N211)</f>
        <v/>
      </c>
      <c r="E411" s="84" t="str">
        <f>IF(PROGRAMA_DETALLE!A211="","","Tejido "&amp;PROGRAMA_DETALLE!A211&amp;" "&amp;PROGRAMA_DETALLE!B211)</f>
        <v/>
      </c>
      <c r="F411" s="95" t="str">
        <f>IF(PROGRAMA_DETALLE!M211=0,"",PROGRAMA_DETALLE!M211)</f>
        <v/>
      </c>
      <c r="G411" s="95">
        <f>IF(PROGRAMA_DETALLE!P211="PAGADO",PROGRAMA_DETALLE!M211,0)</f>
        <v>0</v>
      </c>
      <c r="H411" s="95">
        <f>IF(OR(PROGRAMA_DETALLE!P211="PENDIENTE",PROGRAMA_DETALLE!P211="PARCIAL"),PROGRAMA_DETALLE!M211,0)</f>
        <v>0</v>
      </c>
      <c r="I411" s="94" t="str">
        <f>IF(PROGRAMA_DETALLE!P211="","",PROGRAMA_DETALLE!P211)</f>
        <v/>
      </c>
    </row>
    <row r="412" ht="15.75" customHeight="1">
      <c r="A412" s="87" t="s">
        <v>229</v>
      </c>
      <c r="B412" s="93" t="str">
        <f>IFERROR(VLOOKUP(PROGRAMA_DETALLE!A212,PROGRAMAS!$A$4:$B$103,2,FALSE()),"")</f>
        <v/>
      </c>
      <c r="C412" s="84" t="str">
        <f>IF(PROGRAMA_DETALLE!A212="","","Tejedora")</f>
        <v/>
      </c>
      <c r="D412" s="94" t="str">
        <f>IF(PROGRAMA_DETALLE!N212="","",PROGRAMA_DETALLE!N212)</f>
        <v/>
      </c>
      <c r="E412" s="84" t="str">
        <f>IF(PROGRAMA_DETALLE!A212="","","Tejido "&amp;PROGRAMA_DETALLE!A212&amp;" "&amp;PROGRAMA_DETALLE!B212)</f>
        <v/>
      </c>
      <c r="F412" s="95" t="str">
        <f>IF(PROGRAMA_DETALLE!M212=0,"",PROGRAMA_DETALLE!M212)</f>
        <v/>
      </c>
      <c r="G412" s="95">
        <f>IF(PROGRAMA_DETALLE!P212="PAGADO",PROGRAMA_DETALLE!M212,0)</f>
        <v>0</v>
      </c>
      <c r="H412" s="95">
        <f>IF(OR(PROGRAMA_DETALLE!P212="PENDIENTE",PROGRAMA_DETALLE!P212="PARCIAL"),PROGRAMA_DETALLE!M212,0)</f>
        <v>0</v>
      </c>
      <c r="I412" s="94" t="str">
        <f>IF(PROGRAMA_DETALLE!P212="","",PROGRAMA_DETALLE!P212)</f>
        <v/>
      </c>
    </row>
    <row r="413" ht="15.75" customHeight="1">
      <c r="A413" s="87" t="s">
        <v>229</v>
      </c>
      <c r="B413" s="93" t="str">
        <f>IFERROR(VLOOKUP(PROGRAMA_DETALLE!A213,PROGRAMAS!$A$4:$B$103,2,FALSE()),"")</f>
        <v/>
      </c>
      <c r="C413" s="84" t="str">
        <f>IF(PROGRAMA_DETALLE!A213="","","Tejedora")</f>
        <v/>
      </c>
      <c r="D413" s="94" t="str">
        <f>IF(PROGRAMA_DETALLE!N213="","",PROGRAMA_DETALLE!N213)</f>
        <v/>
      </c>
      <c r="E413" s="84" t="str">
        <f>IF(PROGRAMA_DETALLE!A213="","","Tejido "&amp;PROGRAMA_DETALLE!A213&amp;" "&amp;PROGRAMA_DETALLE!B213)</f>
        <v/>
      </c>
      <c r="F413" s="95" t="str">
        <f>IF(PROGRAMA_DETALLE!M213=0,"",PROGRAMA_DETALLE!M213)</f>
        <v/>
      </c>
      <c r="G413" s="95">
        <f>IF(PROGRAMA_DETALLE!P213="PAGADO",PROGRAMA_DETALLE!M213,0)</f>
        <v>0</v>
      </c>
      <c r="H413" s="95">
        <f>IF(OR(PROGRAMA_DETALLE!P213="PENDIENTE",PROGRAMA_DETALLE!P213="PARCIAL"),PROGRAMA_DETALLE!M213,0)</f>
        <v>0</v>
      </c>
      <c r="I413" s="94" t="str">
        <f>IF(PROGRAMA_DETALLE!P213="","",PROGRAMA_DETALLE!P213)</f>
        <v/>
      </c>
    </row>
    <row r="414" ht="15.75" customHeight="1">
      <c r="A414" s="87" t="s">
        <v>229</v>
      </c>
      <c r="B414" s="93" t="str">
        <f>IFERROR(VLOOKUP(PROGRAMA_DETALLE!A214,PROGRAMAS!$A$4:$B$103,2,FALSE()),"")</f>
        <v/>
      </c>
      <c r="C414" s="84" t="str">
        <f>IF(PROGRAMA_DETALLE!A214="","","Tejedora")</f>
        <v/>
      </c>
      <c r="D414" s="94" t="str">
        <f>IF(PROGRAMA_DETALLE!N214="","",PROGRAMA_DETALLE!N214)</f>
        <v/>
      </c>
      <c r="E414" s="84" t="str">
        <f>IF(PROGRAMA_DETALLE!A214="","","Tejido "&amp;PROGRAMA_DETALLE!A214&amp;" "&amp;PROGRAMA_DETALLE!B214)</f>
        <v/>
      </c>
      <c r="F414" s="95" t="str">
        <f>IF(PROGRAMA_DETALLE!M214=0,"",PROGRAMA_DETALLE!M214)</f>
        <v/>
      </c>
      <c r="G414" s="95">
        <f>IF(PROGRAMA_DETALLE!P214="PAGADO",PROGRAMA_DETALLE!M214,0)</f>
        <v>0</v>
      </c>
      <c r="H414" s="95">
        <f>IF(OR(PROGRAMA_DETALLE!P214="PENDIENTE",PROGRAMA_DETALLE!P214="PARCIAL"),PROGRAMA_DETALLE!M214,0)</f>
        <v>0</v>
      </c>
      <c r="I414" s="94" t="str">
        <f>IF(PROGRAMA_DETALLE!P214="","",PROGRAMA_DETALLE!P214)</f>
        <v/>
      </c>
    </row>
    <row r="415" ht="15.75" customHeight="1">
      <c r="A415" s="87" t="s">
        <v>229</v>
      </c>
      <c r="B415" s="93" t="str">
        <f>IFERROR(VLOOKUP(PROGRAMA_DETALLE!A215,PROGRAMAS!$A$4:$B$103,2,FALSE()),"")</f>
        <v/>
      </c>
      <c r="C415" s="84" t="str">
        <f>IF(PROGRAMA_DETALLE!A215="","","Tejedora")</f>
        <v/>
      </c>
      <c r="D415" s="94" t="str">
        <f>IF(PROGRAMA_DETALLE!N215="","",PROGRAMA_DETALLE!N215)</f>
        <v/>
      </c>
      <c r="E415" s="84" t="str">
        <f>IF(PROGRAMA_DETALLE!A215="","","Tejido "&amp;PROGRAMA_DETALLE!A215&amp;" "&amp;PROGRAMA_DETALLE!B215)</f>
        <v/>
      </c>
      <c r="F415" s="95" t="str">
        <f>IF(PROGRAMA_DETALLE!M215=0,"",PROGRAMA_DETALLE!M215)</f>
        <v/>
      </c>
      <c r="G415" s="95">
        <f>IF(PROGRAMA_DETALLE!P215="PAGADO",PROGRAMA_DETALLE!M215,0)</f>
        <v>0</v>
      </c>
      <c r="H415" s="95">
        <f>IF(OR(PROGRAMA_DETALLE!P215="PENDIENTE",PROGRAMA_DETALLE!P215="PARCIAL"),PROGRAMA_DETALLE!M215,0)</f>
        <v>0</v>
      </c>
      <c r="I415" s="94" t="str">
        <f>IF(PROGRAMA_DETALLE!P215="","",PROGRAMA_DETALLE!P215)</f>
        <v/>
      </c>
    </row>
    <row r="416" ht="15.75" customHeight="1">
      <c r="A416" s="87" t="s">
        <v>229</v>
      </c>
      <c r="B416" s="93" t="str">
        <f>IFERROR(VLOOKUP(PROGRAMA_DETALLE!A216,PROGRAMAS!$A$4:$B$103,2,FALSE()),"")</f>
        <v/>
      </c>
      <c r="C416" s="84" t="str">
        <f>IF(PROGRAMA_DETALLE!A216="","","Tejedora")</f>
        <v/>
      </c>
      <c r="D416" s="94" t="str">
        <f>IF(PROGRAMA_DETALLE!N216="","",PROGRAMA_DETALLE!N216)</f>
        <v/>
      </c>
      <c r="E416" s="84" t="str">
        <f>IF(PROGRAMA_DETALLE!A216="","","Tejido "&amp;PROGRAMA_DETALLE!A216&amp;" "&amp;PROGRAMA_DETALLE!B216)</f>
        <v/>
      </c>
      <c r="F416" s="95" t="str">
        <f>IF(PROGRAMA_DETALLE!M216=0,"",PROGRAMA_DETALLE!M216)</f>
        <v/>
      </c>
      <c r="G416" s="95">
        <f>IF(PROGRAMA_DETALLE!P216="PAGADO",PROGRAMA_DETALLE!M216,0)</f>
        <v>0</v>
      </c>
      <c r="H416" s="95">
        <f>IF(OR(PROGRAMA_DETALLE!P216="PENDIENTE",PROGRAMA_DETALLE!P216="PARCIAL"),PROGRAMA_DETALLE!M216,0)</f>
        <v>0</v>
      </c>
      <c r="I416" s="94" t="str">
        <f>IF(PROGRAMA_DETALLE!P216="","",PROGRAMA_DETALLE!P216)</f>
        <v/>
      </c>
    </row>
    <row r="417" ht="15.75" customHeight="1">
      <c r="A417" s="87" t="s">
        <v>229</v>
      </c>
      <c r="B417" s="93" t="str">
        <f>IFERROR(VLOOKUP(PROGRAMA_DETALLE!A217,PROGRAMAS!$A$4:$B$103,2,FALSE()),"")</f>
        <v/>
      </c>
      <c r="C417" s="84" t="str">
        <f>IF(PROGRAMA_DETALLE!A217="","","Tejedora")</f>
        <v/>
      </c>
      <c r="D417" s="94" t="str">
        <f>IF(PROGRAMA_DETALLE!N217="","",PROGRAMA_DETALLE!N217)</f>
        <v/>
      </c>
      <c r="E417" s="84" t="str">
        <f>IF(PROGRAMA_DETALLE!A217="","","Tejido "&amp;PROGRAMA_DETALLE!A217&amp;" "&amp;PROGRAMA_DETALLE!B217)</f>
        <v/>
      </c>
      <c r="F417" s="95" t="str">
        <f>IF(PROGRAMA_DETALLE!M217=0,"",PROGRAMA_DETALLE!M217)</f>
        <v/>
      </c>
      <c r="G417" s="95">
        <f>IF(PROGRAMA_DETALLE!P217="PAGADO",PROGRAMA_DETALLE!M217,0)</f>
        <v>0</v>
      </c>
      <c r="H417" s="95">
        <f>IF(OR(PROGRAMA_DETALLE!P217="PENDIENTE",PROGRAMA_DETALLE!P217="PARCIAL"),PROGRAMA_DETALLE!M217,0)</f>
        <v>0</v>
      </c>
      <c r="I417" s="94" t="str">
        <f>IF(PROGRAMA_DETALLE!P217="","",PROGRAMA_DETALLE!P217)</f>
        <v/>
      </c>
    </row>
    <row r="418" ht="15.75" customHeight="1">
      <c r="A418" s="87" t="s">
        <v>229</v>
      </c>
      <c r="B418" s="93" t="str">
        <f>IFERROR(VLOOKUP(PROGRAMA_DETALLE!A218,PROGRAMAS!$A$4:$B$103,2,FALSE()),"")</f>
        <v/>
      </c>
      <c r="C418" s="84" t="str">
        <f>IF(PROGRAMA_DETALLE!A218="","","Tejedora")</f>
        <v/>
      </c>
      <c r="D418" s="94" t="str">
        <f>IF(PROGRAMA_DETALLE!N218="","",PROGRAMA_DETALLE!N218)</f>
        <v/>
      </c>
      <c r="E418" s="84" t="str">
        <f>IF(PROGRAMA_DETALLE!A218="","","Tejido "&amp;PROGRAMA_DETALLE!A218&amp;" "&amp;PROGRAMA_DETALLE!B218)</f>
        <v/>
      </c>
      <c r="F418" s="95" t="str">
        <f>IF(PROGRAMA_DETALLE!M218=0,"",PROGRAMA_DETALLE!M218)</f>
        <v/>
      </c>
      <c r="G418" s="95">
        <f>IF(PROGRAMA_DETALLE!P218="PAGADO",PROGRAMA_DETALLE!M218,0)</f>
        <v>0</v>
      </c>
      <c r="H418" s="95">
        <f>IF(OR(PROGRAMA_DETALLE!P218="PENDIENTE",PROGRAMA_DETALLE!P218="PARCIAL"),PROGRAMA_DETALLE!M218,0)</f>
        <v>0</v>
      </c>
      <c r="I418" s="94" t="str">
        <f>IF(PROGRAMA_DETALLE!P218="","",PROGRAMA_DETALLE!P218)</f>
        <v/>
      </c>
    </row>
    <row r="419" ht="15.75" customHeight="1">
      <c r="A419" s="87" t="s">
        <v>229</v>
      </c>
      <c r="B419" s="93" t="str">
        <f>IFERROR(VLOOKUP(PROGRAMA_DETALLE!A219,PROGRAMAS!$A$4:$B$103,2,FALSE()),"")</f>
        <v/>
      </c>
      <c r="C419" s="84" t="str">
        <f>IF(PROGRAMA_DETALLE!A219="","","Tejedora")</f>
        <v/>
      </c>
      <c r="D419" s="94" t="str">
        <f>IF(PROGRAMA_DETALLE!N219="","",PROGRAMA_DETALLE!N219)</f>
        <v/>
      </c>
      <c r="E419" s="84" t="str">
        <f>IF(PROGRAMA_DETALLE!A219="","","Tejido "&amp;PROGRAMA_DETALLE!A219&amp;" "&amp;PROGRAMA_DETALLE!B219)</f>
        <v/>
      </c>
      <c r="F419" s="95" t="str">
        <f>IF(PROGRAMA_DETALLE!M219=0,"",PROGRAMA_DETALLE!M219)</f>
        <v/>
      </c>
      <c r="G419" s="95">
        <f>IF(PROGRAMA_DETALLE!P219="PAGADO",PROGRAMA_DETALLE!M219,0)</f>
        <v>0</v>
      </c>
      <c r="H419" s="95">
        <f>IF(OR(PROGRAMA_DETALLE!P219="PENDIENTE",PROGRAMA_DETALLE!P219="PARCIAL"),PROGRAMA_DETALLE!M219,0)</f>
        <v>0</v>
      </c>
      <c r="I419" s="94" t="str">
        <f>IF(PROGRAMA_DETALLE!P219="","",PROGRAMA_DETALLE!P219)</f>
        <v/>
      </c>
    </row>
    <row r="420" ht="15.75" customHeight="1">
      <c r="A420" s="87" t="s">
        <v>229</v>
      </c>
      <c r="B420" s="93" t="str">
        <f>IFERROR(VLOOKUP(PROGRAMA_DETALLE!A220,PROGRAMAS!$A$4:$B$103,2,FALSE()),"")</f>
        <v/>
      </c>
      <c r="C420" s="84" t="str">
        <f>IF(PROGRAMA_DETALLE!A220="","","Tejedora")</f>
        <v/>
      </c>
      <c r="D420" s="94" t="str">
        <f>IF(PROGRAMA_DETALLE!N220="","",PROGRAMA_DETALLE!N220)</f>
        <v/>
      </c>
      <c r="E420" s="84" t="str">
        <f>IF(PROGRAMA_DETALLE!A220="","","Tejido "&amp;PROGRAMA_DETALLE!A220&amp;" "&amp;PROGRAMA_DETALLE!B220)</f>
        <v/>
      </c>
      <c r="F420" s="95" t="str">
        <f>IF(PROGRAMA_DETALLE!M220=0,"",PROGRAMA_DETALLE!M220)</f>
        <v/>
      </c>
      <c r="G420" s="95">
        <f>IF(PROGRAMA_DETALLE!P220="PAGADO",PROGRAMA_DETALLE!M220,0)</f>
        <v>0</v>
      </c>
      <c r="H420" s="95">
        <f>IF(OR(PROGRAMA_DETALLE!P220="PENDIENTE",PROGRAMA_DETALLE!P220="PARCIAL"),PROGRAMA_DETALLE!M220,0)</f>
        <v>0</v>
      </c>
      <c r="I420" s="94" t="str">
        <f>IF(PROGRAMA_DETALLE!P220="","",PROGRAMA_DETALLE!P220)</f>
        <v/>
      </c>
    </row>
    <row r="421" ht="15.75" customHeight="1">
      <c r="A421" s="87" t="s">
        <v>229</v>
      </c>
      <c r="B421" s="93" t="str">
        <f>IFERROR(VLOOKUP(PROGRAMA_DETALLE!A221,PROGRAMAS!$A$4:$B$103,2,FALSE()),"")</f>
        <v/>
      </c>
      <c r="C421" s="84" t="str">
        <f>IF(PROGRAMA_DETALLE!A221="","","Tejedora")</f>
        <v/>
      </c>
      <c r="D421" s="94" t="str">
        <f>IF(PROGRAMA_DETALLE!N221="","",PROGRAMA_DETALLE!N221)</f>
        <v/>
      </c>
      <c r="E421" s="84" t="str">
        <f>IF(PROGRAMA_DETALLE!A221="","","Tejido "&amp;PROGRAMA_DETALLE!A221&amp;" "&amp;PROGRAMA_DETALLE!B221)</f>
        <v/>
      </c>
      <c r="F421" s="95" t="str">
        <f>IF(PROGRAMA_DETALLE!M221=0,"",PROGRAMA_DETALLE!M221)</f>
        <v/>
      </c>
      <c r="G421" s="95">
        <f>IF(PROGRAMA_DETALLE!P221="PAGADO",PROGRAMA_DETALLE!M221,0)</f>
        <v>0</v>
      </c>
      <c r="H421" s="95">
        <f>IF(OR(PROGRAMA_DETALLE!P221="PENDIENTE",PROGRAMA_DETALLE!P221="PARCIAL"),PROGRAMA_DETALLE!M221,0)</f>
        <v>0</v>
      </c>
      <c r="I421" s="94" t="str">
        <f>IF(PROGRAMA_DETALLE!P221="","",PROGRAMA_DETALLE!P221)</f>
        <v/>
      </c>
    </row>
    <row r="422" ht="15.75" customHeight="1">
      <c r="A422" s="87" t="s">
        <v>229</v>
      </c>
      <c r="B422" s="93" t="str">
        <f>IFERROR(VLOOKUP(PROGRAMA_DETALLE!A222,PROGRAMAS!$A$4:$B$103,2,FALSE()),"")</f>
        <v/>
      </c>
      <c r="C422" s="84" t="str">
        <f>IF(PROGRAMA_DETALLE!A222="","","Tejedora")</f>
        <v/>
      </c>
      <c r="D422" s="94" t="str">
        <f>IF(PROGRAMA_DETALLE!N222="","",PROGRAMA_DETALLE!N222)</f>
        <v/>
      </c>
      <c r="E422" s="84" t="str">
        <f>IF(PROGRAMA_DETALLE!A222="","","Tejido "&amp;PROGRAMA_DETALLE!A222&amp;" "&amp;PROGRAMA_DETALLE!B222)</f>
        <v/>
      </c>
      <c r="F422" s="95" t="str">
        <f>IF(PROGRAMA_DETALLE!M222=0,"",PROGRAMA_DETALLE!M222)</f>
        <v/>
      </c>
      <c r="G422" s="95">
        <f>IF(PROGRAMA_DETALLE!P222="PAGADO",PROGRAMA_DETALLE!M222,0)</f>
        <v>0</v>
      </c>
      <c r="H422" s="95">
        <f>IF(OR(PROGRAMA_DETALLE!P222="PENDIENTE",PROGRAMA_DETALLE!P222="PARCIAL"),PROGRAMA_DETALLE!M222,0)</f>
        <v>0</v>
      </c>
      <c r="I422" s="94" t="str">
        <f>IF(PROGRAMA_DETALLE!P222="","",PROGRAMA_DETALLE!P222)</f>
        <v/>
      </c>
    </row>
    <row r="423" ht="15.75" customHeight="1">
      <c r="A423" s="87" t="s">
        <v>229</v>
      </c>
      <c r="B423" s="93" t="str">
        <f>IFERROR(VLOOKUP(PROGRAMA_DETALLE!A223,PROGRAMAS!$A$4:$B$103,2,FALSE()),"")</f>
        <v/>
      </c>
      <c r="C423" s="84" t="str">
        <f>IF(PROGRAMA_DETALLE!A223="","","Tejedora")</f>
        <v/>
      </c>
      <c r="D423" s="94" t="str">
        <f>IF(PROGRAMA_DETALLE!N223="","",PROGRAMA_DETALLE!N223)</f>
        <v/>
      </c>
      <c r="E423" s="84" t="str">
        <f>IF(PROGRAMA_DETALLE!A223="","","Tejido "&amp;PROGRAMA_DETALLE!A223&amp;" "&amp;PROGRAMA_DETALLE!B223)</f>
        <v/>
      </c>
      <c r="F423" s="95" t="str">
        <f>IF(PROGRAMA_DETALLE!M223=0,"",PROGRAMA_DETALLE!M223)</f>
        <v/>
      </c>
      <c r="G423" s="95">
        <f>IF(PROGRAMA_DETALLE!P223="PAGADO",PROGRAMA_DETALLE!M223,0)</f>
        <v>0</v>
      </c>
      <c r="H423" s="95">
        <f>IF(OR(PROGRAMA_DETALLE!P223="PENDIENTE",PROGRAMA_DETALLE!P223="PARCIAL"),PROGRAMA_DETALLE!M223,0)</f>
        <v>0</v>
      </c>
      <c r="I423" s="94" t="str">
        <f>IF(PROGRAMA_DETALLE!P223="","",PROGRAMA_DETALLE!P223)</f>
        <v/>
      </c>
    </row>
    <row r="424" ht="15.75" customHeight="1">
      <c r="A424" s="87" t="s">
        <v>229</v>
      </c>
      <c r="B424" s="93" t="str">
        <f>IFERROR(VLOOKUP(PROGRAMA_DETALLE!A224,PROGRAMAS!$A$4:$B$103,2,FALSE()),"")</f>
        <v/>
      </c>
      <c r="C424" s="84" t="str">
        <f>IF(PROGRAMA_DETALLE!A224="","","Tejedora")</f>
        <v/>
      </c>
      <c r="D424" s="94" t="str">
        <f>IF(PROGRAMA_DETALLE!N224="","",PROGRAMA_DETALLE!N224)</f>
        <v/>
      </c>
      <c r="E424" s="84" t="str">
        <f>IF(PROGRAMA_DETALLE!A224="","","Tejido "&amp;PROGRAMA_DETALLE!A224&amp;" "&amp;PROGRAMA_DETALLE!B224)</f>
        <v/>
      </c>
      <c r="F424" s="95" t="str">
        <f>IF(PROGRAMA_DETALLE!M224=0,"",PROGRAMA_DETALLE!M224)</f>
        <v/>
      </c>
      <c r="G424" s="95">
        <f>IF(PROGRAMA_DETALLE!P224="PAGADO",PROGRAMA_DETALLE!M224,0)</f>
        <v>0</v>
      </c>
      <c r="H424" s="95">
        <f>IF(OR(PROGRAMA_DETALLE!P224="PENDIENTE",PROGRAMA_DETALLE!P224="PARCIAL"),PROGRAMA_DETALLE!M224,0)</f>
        <v>0</v>
      </c>
      <c r="I424" s="94" t="str">
        <f>IF(PROGRAMA_DETALLE!P224="","",PROGRAMA_DETALLE!P224)</f>
        <v/>
      </c>
    </row>
    <row r="425" ht="15.75" customHeight="1">
      <c r="A425" s="87" t="s">
        <v>229</v>
      </c>
      <c r="B425" s="93" t="str">
        <f>IFERROR(VLOOKUP(PROGRAMA_DETALLE!A225,PROGRAMAS!$A$4:$B$103,2,FALSE()),"")</f>
        <v/>
      </c>
      <c r="C425" s="84" t="str">
        <f>IF(PROGRAMA_DETALLE!A225="","","Tejedora")</f>
        <v/>
      </c>
      <c r="D425" s="94" t="str">
        <f>IF(PROGRAMA_DETALLE!N225="","",PROGRAMA_DETALLE!N225)</f>
        <v/>
      </c>
      <c r="E425" s="84" t="str">
        <f>IF(PROGRAMA_DETALLE!A225="","","Tejido "&amp;PROGRAMA_DETALLE!A225&amp;" "&amp;PROGRAMA_DETALLE!B225)</f>
        <v/>
      </c>
      <c r="F425" s="95" t="str">
        <f>IF(PROGRAMA_DETALLE!M225=0,"",PROGRAMA_DETALLE!M225)</f>
        <v/>
      </c>
      <c r="G425" s="95">
        <f>IF(PROGRAMA_DETALLE!P225="PAGADO",PROGRAMA_DETALLE!M225,0)</f>
        <v>0</v>
      </c>
      <c r="H425" s="95">
        <f>IF(OR(PROGRAMA_DETALLE!P225="PENDIENTE",PROGRAMA_DETALLE!P225="PARCIAL"),PROGRAMA_DETALLE!M225,0)</f>
        <v>0</v>
      </c>
      <c r="I425" s="94" t="str">
        <f>IF(PROGRAMA_DETALLE!P225="","",PROGRAMA_DETALLE!P225)</f>
        <v/>
      </c>
    </row>
    <row r="426" ht="15.75" customHeight="1">
      <c r="A426" s="87" t="s">
        <v>229</v>
      </c>
      <c r="B426" s="93" t="str">
        <f>IFERROR(VLOOKUP(PROGRAMA_DETALLE!A226,PROGRAMAS!$A$4:$B$103,2,FALSE()),"")</f>
        <v/>
      </c>
      <c r="C426" s="84" t="str">
        <f>IF(PROGRAMA_DETALLE!A226="","","Tejedora")</f>
        <v/>
      </c>
      <c r="D426" s="94" t="str">
        <f>IF(PROGRAMA_DETALLE!N226="","",PROGRAMA_DETALLE!N226)</f>
        <v/>
      </c>
      <c r="E426" s="84" t="str">
        <f>IF(PROGRAMA_DETALLE!A226="","","Tejido "&amp;PROGRAMA_DETALLE!A226&amp;" "&amp;PROGRAMA_DETALLE!B226)</f>
        <v/>
      </c>
      <c r="F426" s="95" t="str">
        <f>IF(PROGRAMA_DETALLE!M226=0,"",PROGRAMA_DETALLE!M226)</f>
        <v/>
      </c>
      <c r="G426" s="95">
        <f>IF(PROGRAMA_DETALLE!P226="PAGADO",PROGRAMA_DETALLE!M226,0)</f>
        <v>0</v>
      </c>
      <c r="H426" s="95">
        <f>IF(OR(PROGRAMA_DETALLE!P226="PENDIENTE",PROGRAMA_DETALLE!P226="PARCIAL"),PROGRAMA_DETALLE!M226,0)</f>
        <v>0</v>
      </c>
      <c r="I426" s="94" t="str">
        <f>IF(PROGRAMA_DETALLE!P226="","",PROGRAMA_DETALLE!P226)</f>
        <v/>
      </c>
    </row>
    <row r="427" ht="15.75" customHeight="1">
      <c r="A427" s="87" t="s">
        <v>229</v>
      </c>
      <c r="B427" s="93" t="str">
        <f>IFERROR(VLOOKUP(PROGRAMA_DETALLE!A227,PROGRAMAS!$A$4:$B$103,2,FALSE()),"")</f>
        <v/>
      </c>
      <c r="C427" s="84" t="str">
        <f>IF(PROGRAMA_DETALLE!A227="","","Tejedora")</f>
        <v/>
      </c>
      <c r="D427" s="94" t="str">
        <f>IF(PROGRAMA_DETALLE!N227="","",PROGRAMA_DETALLE!N227)</f>
        <v/>
      </c>
      <c r="E427" s="84" t="str">
        <f>IF(PROGRAMA_DETALLE!A227="","","Tejido "&amp;PROGRAMA_DETALLE!A227&amp;" "&amp;PROGRAMA_DETALLE!B227)</f>
        <v/>
      </c>
      <c r="F427" s="95" t="str">
        <f>IF(PROGRAMA_DETALLE!M227=0,"",PROGRAMA_DETALLE!M227)</f>
        <v/>
      </c>
      <c r="G427" s="95">
        <f>IF(PROGRAMA_DETALLE!P227="PAGADO",PROGRAMA_DETALLE!M227,0)</f>
        <v>0</v>
      </c>
      <c r="H427" s="95">
        <f>IF(OR(PROGRAMA_DETALLE!P227="PENDIENTE",PROGRAMA_DETALLE!P227="PARCIAL"),PROGRAMA_DETALLE!M227,0)</f>
        <v>0</v>
      </c>
      <c r="I427" s="94" t="str">
        <f>IF(PROGRAMA_DETALLE!P227="","",PROGRAMA_DETALLE!P227)</f>
        <v/>
      </c>
    </row>
    <row r="428" ht="15.75" customHeight="1">
      <c r="A428" s="87" t="s">
        <v>229</v>
      </c>
      <c r="B428" s="93" t="str">
        <f>IFERROR(VLOOKUP(PROGRAMA_DETALLE!A228,PROGRAMAS!$A$4:$B$103,2,FALSE()),"")</f>
        <v/>
      </c>
      <c r="C428" s="84" t="str">
        <f>IF(PROGRAMA_DETALLE!A228="","","Tejedora")</f>
        <v/>
      </c>
      <c r="D428" s="94" t="str">
        <f>IF(PROGRAMA_DETALLE!N228="","",PROGRAMA_DETALLE!N228)</f>
        <v/>
      </c>
      <c r="E428" s="84" t="str">
        <f>IF(PROGRAMA_DETALLE!A228="","","Tejido "&amp;PROGRAMA_DETALLE!A228&amp;" "&amp;PROGRAMA_DETALLE!B228)</f>
        <v/>
      </c>
      <c r="F428" s="95" t="str">
        <f>IF(PROGRAMA_DETALLE!M228=0,"",PROGRAMA_DETALLE!M228)</f>
        <v/>
      </c>
      <c r="G428" s="95">
        <f>IF(PROGRAMA_DETALLE!P228="PAGADO",PROGRAMA_DETALLE!M228,0)</f>
        <v>0</v>
      </c>
      <c r="H428" s="95">
        <f>IF(OR(PROGRAMA_DETALLE!P228="PENDIENTE",PROGRAMA_DETALLE!P228="PARCIAL"),PROGRAMA_DETALLE!M228,0)</f>
        <v>0</v>
      </c>
      <c r="I428" s="94" t="str">
        <f>IF(PROGRAMA_DETALLE!P228="","",PROGRAMA_DETALLE!P228)</f>
        <v/>
      </c>
    </row>
    <row r="429" ht="15.75" customHeight="1">
      <c r="A429" s="87" t="s">
        <v>229</v>
      </c>
      <c r="B429" s="93" t="str">
        <f>IFERROR(VLOOKUP(PROGRAMA_DETALLE!A229,PROGRAMAS!$A$4:$B$103,2,FALSE()),"")</f>
        <v/>
      </c>
      <c r="C429" s="84" t="str">
        <f>IF(PROGRAMA_DETALLE!A229="","","Tejedora")</f>
        <v/>
      </c>
      <c r="D429" s="94" t="str">
        <f>IF(PROGRAMA_DETALLE!N229="","",PROGRAMA_DETALLE!N229)</f>
        <v/>
      </c>
      <c r="E429" s="84" t="str">
        <f>IF(PROGRAMA_DETALLE!A229="","","Tejido "&amp;PROGRAMA_DETALLE!A229&amp;" "&amp;PROGRAMA_DETALLE!B229)</f>
        <v/>
      </c>
      <c r="F429" s="95" t="str">
        <f>IF(PROGRAMA_DETALLE!M229=0,"",PROGRAMA_DETALLE!M229)</f>
        <v/>
      </c>
      <c r="G429" s="95">
        <f>IF(PROGRAMA_DETALLE!P229="PAGADO",PROGRAMA_DETALLE!M229,0)</f>
        <v>0</v>
      </c>
      <c r="H429" s="95">
        <f>IF(OR(PROGRAMA_DETALLE!P229="PENDIENTE",PROGRAMA_DETALLE!P229="PARCIAL"),PROGRAMA_DETALLE!M229,0)</f>
        <v>0</v>
      </c>
      <c r="I429" s="94" t="str">
        <f>IF(PROGRAMA_DETALLE!P229="","",PROGRAMA_DETALLE!P229)</f>
        <v/>
      </c>
    </row>
    <row r="430" ht="15.75" customHeight="1">
      <c r="A430" s="87" t="s">
        <v>229</v>
      </c>
      <c r="B430" s="93" t="str">
        <f>IFERROR(VLOOKUP(PROGRAMA_DETALLE!A230,PROGRAMAS!$A$4:$B$103,2,FALSE()),"")</f>
        <v/>
      </c>
      <c r="C430" s="84" t="str">
        <f>IF(PROGRAMA_DETALLE!A230="","","Tejedora")</f>
        <v/>
      </c>
      <c r="D430" s="94" t="str">
        <f>IF(PROGRAMA_DETALLE!N230="","",PROGRAMA_DETALLE!N230)</f>
        <v/>
      </c>
      <c r="E430" s="84" t="str">
        <f>IF(PROGRAMA_DETALLE!A230="","","Tejido "&amp;PROGRAMA_DETALLE!A230&amp;" "&amp;PROGRAMA_DETALLE!B230)</f>
        <v/>
      </c>
      <c r="F430" s="95" t="str">
        <f>IF(PROGRAMA_DETALLE!M230=0,"",PROGRAMA_DETALLE!M230)</f>
        <v/>
      </c>
      <c r="G430" s="95">
        <f>IF(PROGRAMA_DETALLE!P230="PAGADO",PROGRAMA_DETALLE!M230,0)</f>
        <v>0</v>
      </c>
      <c r="H430" s="95">
        <f>IF(OR(PROGRAMA_DETALLE!P230="PENDIENTE",PROGRAMA_DETALLE!P230="PARCIAL"),PROGRAMA_DETALLE!M230,0)</f>
        <v>0</v>
      </c>
      <c r="I430" s="94" t="str">
        <f>IF(PROGRAMA_DETALLE!P230="","",PROGRAMA_DETALLE!P230)</f>
        <v/>
      </c>
    </row>
    <row r="431" ht="15.75" customHeight="1">
      <c r="A431" s="87" t="s">
        <v>229</v>
      </c>
      <c r="B431" s="93" t="str">
        <f>IFERROR(VLOOKUP(PROGRAMA_DETALLE!A231,PROGRAMAS!$A$4:$B$103,2,FALSE()),"")</f>
        <v/>
      </c>
      <c r="C431" s="84" t="str">
        <f>IF(PROGRAMA_DETALLE!A231="","","Tejedora")</f>
        <v/>
      </c>
      <c r="D431" s="94" t="str">
        <f>IF(PROGRAMA_DETALLE!N231="","",PROGRAMA_DETALLE!N231)</f>
        <v/>
      </c>
      <c r="E431" s="84" t="str">
        <f>IF(PROGRAMA_DETALLE!A231="","","Tejido "&amp;PROGRAMA_DETALLE!A231&amp;" "&amp;PROGRAMA_DETALLE!B231)</f>
        <v/>
      </c>
      <c r="F431" s="95" t="str">
        <f>IF(PROGRAMA_DETALLE!M231=0,"",PROGRAMA_DETALLE!M231)</f>
        <v/>
      </c>
      <c r="G431" s="95">
        <f>IF(PROGRAMA_DETALLE!P231="PAGADO",PROGRAMA_DETALLE!M231,0)</f>
        <v>0</v>
      </c>
      <c r="H431" s="95">
        <f>IF(OR(PROGRAMA_DETALLE!P231="PENDIENTE",PROGRAMA_DETALLE!P231="PARCIAL"),PROGRAMA_DETALLE!M231,0)</f>
        <v>0</v>
      </c>
      <c r="I431" s="94" t="str">
        <f>IF(PROGRAMA_DETALLE!P231="","",PROGRAMA_DETALLE!P231)</f>
        <v/>
      </c>
    </row>
    <row r="432" ht="15.75" customHeight="1">
      <c r="A432" s="87" t="s">
        <v>229</v>
      </c>
      <c r="B432" s="93" t="str">
        <f>IFERROR(VLOOKUP(PROGRAMA_DETALLE!A232,PROGRAMAS!$A$4:$B$103,2,FALSE()),"")</f>
        <v/>
      </c>
      <c r="C432" s="84" t="str">
        <f>IF(PROGRAMA_DETALLE!A232="","","Tejedora")</f>
        <v/>
      </c>
      <c r="D432" s="94" t="str">
        <f>IF(PROGRAMA_DETALLE!N232="","",PROGRAMA_DETALLE!N232)</f>
        <v/>
      </c>
      <c r="E432" s="84" t="str">
        <f>IF(PROGRAMA_DETALLE!A232="","","Tejido "&amp;PROGRAMA_DETALLE!A232&amp;" "&amp;PROGRAMA_DETALLE!B232)</f>
        <v/>
      </c>
      <c r="F432" s="95" t="str">
        <f>IF(PROGRAMA_DETALLE!M232=0,"",PROGRAMA_DETALLE!M232)</f>
        <v/>
      </c>
      <c r="G432" s="95">
        <f>IF(PROGRAMA_DETALLE!P232="PAGADO",PROGRAMA_DETALLE!M232,0)</f>
        <v>0</v>
      </c>
      <c r="H432" s="95">
        <f>IF(OR(PROGRAMA_DETALLE!P232="PENDIENTE",PROGRAMA_DETALLE!P232="PARCIAL"),PROGRAMA_DETALLE!M232,0)</f>
        <v>0</v>
      </c>
      <c r="I432" s="94" t="str">
        <f>IF(PROGRAMA_DETALLE!P232="","",PROGRAMA_DETALLE!P232)</f>
        <v/>
      </c>
    </row>
    <row r="433" ht="15.75" customHeight="1">
      <c r="A433" s="87" t="s">
        <v>229</v>
      </c>
      <c r="B433" s="93" t="str">
        <f>IFERROR(VLOOKUP(PROGRAMA_DETALLE!A233,PROGRAMAS!$A$4:$B$103,2,FALSE()),"")</f>
        <v/>
      </c>
      <c r="C433" s="84" t="str">
        <f>IF(PROGRAMA_DETALLE!A233="","","Tejedora")</f>
        <v/>
      </c>
      <c r="D433" s="94" t="str">
        <f>IF(PROGRAMA_DETALLE!N233="","",PROGRAMA_DETALLE!N233)</f>
        <v/>
      </c>
      <c r="E433" s="84" t="str">
        <f>IF(PROGRAMA_DETALLE!A233="","","Tejido "&amp;PROGRAMA_DETALLE!A233&amp;" "&amp;PROGRAMA_DETALLE!B233)</f>
        <v/>
      </c>
      <c r="F433" s="95" t="str">
        <f>IF(PROGRAMA_DETALLE!M233=0,"",PROGRAMA_DETALLE!M233)</f>
        <v/>
      </c>
      <c r="G433" s="95">
        <f>IF(PROGRAMA_DETALLE!P233="PAGADO",PROGRAMA_DETALLE!M233,0)</f>
        <v>0</v>
      </c>
      <c r="H433" s="95">
        <f>IF(OR(PROGRAMA_DETALLE!P233="PENDIENTE",PROGRAMA_DETALLE!P233="PARCIAL"),PROGRAMA_DETALLE!M233,0)</f>
        <v>0</v>
      </c>
      <c r="I433" s="94" t="str">
        <f>IF(PROGRAMA_DETALLE!P233="","",PROGRAMA_DETALLE!P233)</f>
        <v/>
      </c>
    </row>
    <row r="434" ht="15.75" customHeight="1">
      <c r="A434" s="87" t="s">
        <v>229</v>
      </c>
      <c r="B434" s="93" t="str">
        <f>IFERROR(VLOOKUP(PROGRAMA_DETALLE!A234,PROGRAMAS!$A$4:$B$103,2,FALSE()),"")</f>
        <v/>
      </c>
      <c r="C434" s="84" t="str">
        <f>IF(PROGRAMA_DETALLE!A234="","","Tejedora")</f>
        <v/>
      </c>
      <c r="D434" s="94" t="str">
        <f>IF(PROGRAMA_DETALLE!N234="","",PROGRAMA_DETALLE!N234)</f>
        <v/>
      </c>
      <c r="E434" s="84" t="str">
        <f>IF(PROGRAMA_DETALLE!A234="","","Tejido "&amp;PROGRAMA_DETALLE!A234&amp;" "&amp;PROGRAMA_DETALLE!B234)</f>
        <v/>
      </c>
      <c r="F434" s="95" t="str">
        <f>IF(PROGRAMA_DETALLE!M234=0,"",PROGRAMA_DETALLE!M234)</f>
        <v/>
      </c>
      <c r="G434" s="95">
        <f>IF(PROGRAMA_DETALLE!P234="PAGADO",PROGRAMA_DETALLE!M234,0)</f>
        <v>0</v>
      </c>
      <c r="H434" s="95">
        <f>IF(OR(PROGRAMA_DETALLE!P234="PENDIENTE",PROGRAMA_DETALLE!P234="PARCIAL"),PROGRAMA_DETALLE!M234,0)</f>
        <v>0</v>
      </c>
      <c r="I434" s="94" t="str">
        <f>IF(PROGRAMA_DETALLE!P234="","",PROGRAMA_DETALLE!P234)</f>
        <v/>
      </c>
    </row>
    <row r="435" ht="15.75" customHeight="1">
      <c r="A435" s="87" t="s">
        <v>229</v>
      </c>
      <c r="B435" s="93" t="str">
        <f>IFERROR(VLOOKUP(PROGRAMA_DETALLE!A235,PROGRAMAS!$A$4:$B$103,2,FALSE()),"")</f>
        <v/>
      </c>
      <c r="C435" s="84" t="str">
        <f>IF(PROGRAMA_DETALLE!A235="","","Tejedora")</f>
        <v/>
      </c>
      <c r="D435" s="94" t="str">
        <f>IF(PROGRAMA_DETALLE!N235="","",PROGRAMA_DETALLE!N235)</f>
        <v/>
      </c>
      <c r="E435" s="84" t="str">
        <f>IF(PROGRAMA_DETALLE!A235="","","Tejido "&amp;PROGRAMA_DETALLE!A235&amp;" "&amp;PROGRAMA_DETALLE!B235)</f>
        <v/>
      </c>
      <c r="F435" s="95" t="str">
        <f>IF(PROGRAMA_DETALLE!M235=0,"",PROGRAMA_DETALLE!M235)</f>
        <v/>
      </c>
      <c r="G435" s="95">
        <f>IF(PROGRAMA_DETALLE!P235="PAGADO",PROGRAMA_DETALLE!M235,0)</f>
        <v>0</v>
      </c>
      <c r="H435" s="95">
        <f>IF(OR(PROGRAMA_DETALLE!P235="PENDIENTE",PROGRAMA_DETALLE!P235="PARCIAL"),PROGRAMA_DETALLE!M235,0)</f>
        <v>0</v>
      </c>
      <c r="I435" s="94" t="str">
        <f>IF(PROGRAMA_DETALLE!P235="","",PROGRAMA_DETALLE!P235)</f>
        <v/>
      </c>
    </row>
    <row r="436" ht="15.75" customHeight="1">
      <c r="A436" s="87" t="s">
        <v>229</v>
      </c>
      <c r="B436" s="93" t="str">
        <f>IFERROR(VLOOKUP(PROGRAMA_DETALLE!A236,PROGRAMAS!$A$4:$B$103,2,FALSE()),"")</f>
        <v/>
      </c>
      <c r="C436" s="84" t="str">
        <f>IF(PROGRAMA_DETALLE!A236="","","Tejedora")</f>
        <v/>
      </c>
      <c r="D436" s="94" t="str">
        <f>IF(PROGRAMA_DETALLE!N236="","",PROGRAMA_DETALLE!N236)</f>
        <v/>
      </c>
      <c r="E436" s="84" t="str">
        <f>IF(PROGRAMA_DETALLE!A236="","","Tejido "&amp;PROGRAMA_DETALLE!A236&amp;" "&amp;PROGRAMA_DETALLE!B236)</f>
        <v/>
      </c>
      <c r="F436" s="95" t="str">
        <f>IF(PROGRAMA_DETALLE!M236=0,"",PROGRAMA_DETALLE!M236)</f>
        <v/>
      </c>
      <c r="G436" s="95">
        <f>IF(PROGRAMA_DETALLE!P236="PAGADO",PROGRAMA_DETALLE!M236,0)</f>
        <v>0</v>
      </c>
      <c r="H436" s="95">
        <f>IF(OR(PROGRAMA_DETALLE!P236="PENDIENTE",PROGRAMA_DETALLE!P236="PARCIAL"),PROGRAMA_DETALLE!M236,0)</f>
        <v>0</v>
      </c>
      <c r="I436" s="94" t="str">
        <f>IF(PROGRAMA_DETALLE!P236="","",PROGRAMA_DETALLE!P236)</f>
        <v/>
      </c>
    </row>
    <row r="437" ht="15.75" customHeight="1">
      <c r="A437" s="87" t="s">
        <v>229</v>
      </c>
      <c r="B437" s="93" t="str">
        <f>IFERROR(VLOOKUP(PROGRAMA_DETALLE!A237,PROGRAMAS!$A$4:$B$103,2,FALSE()),"")</f>
        <v/>
      </c>
      <c r="C437" s="84" t="str">
        <f>IF(PROGRAMA_DETALLE!A237="","","Tejedora")</f>
        <v/>
      </c>
      <c r="D437" s="94" t="str">
        <f>IF(PROGRAMA_DETALLE!N237="","",PROGRAMA_DETALLE!N237)</f>
        <v/>
      </c>
      <c r="E437" s="84" t="str">
        <f>IF(PROGRAMA_DETALLE!A237="","","Tejido "&amp;PROGRAMA_DETALLE!A237&amp;" "&amp;PROGRAMA_DETALLE!B237)</f>
        <v/>
      </c>
      <c r="F437" s="95" t="str">
        <f>IF(PROGRAMA_DETALLE!M237=0,"",PROGRAMA_DETALLE!M237)</f>
        <v/>
      </c>
      <c r="G437" s="95">
        <f>IF(PROGRAMA_DETALLE!P237="PAGADO",PROGRAMA_DETALLE!M237,0)</f>
        <v>0</v>
      </c>
      <c r="H437" s="95">
        <f>IF(OR(PROGRAMA_DETALLE!P237="PENDIENTE",PROGRAMA_DETALLE!P237="PARCIAL"),PROGRAMA_DETALLE!M237,0)</f>
        <v>0</v>
      </c>
      <c r="I437" s="94" t="str">
        <f>IF(PROGRAMA_DETALLE!P237="","",PROGRAMA_DETALLE!P237)</f>
        <v/>
      </c>
    </row>
    <row r="438" ht="15.75" customHeight="1">
      <c r="A438" s="87" t="s">
        <v>229</v>
      </c>
      <c r="B438" s="93" t="str">
        <f>IFERROR(VLOOKUP(PROGRAMA_DETALLE!A238,PROGRAMAS!$A$4:$B$103,2,FALSE()),"")</f>
        <v/>
      </c>
      <c r="C438" s="84" t="str">
        <f>IF(PROGRAMA_DETALLE!A238="","","Tejedora")</f>
        <v/>
      </c>
      <c r="D438" s="94" t="str">
        <f>IF(PROGRAMA_DETALLE!N238="","",PROGRAMA_DETALLE!N238)</f>
        <v/>
      </c>
      <c r="E438" s="84" t="str">
        <f>IF(PROGRAMA_DETALLE!A238="","","Tejido "&amp;PROGRAMA_DETALLE!A238&amp;" "&amp;PROGRAMA_DETALLE!B238)</f>
        <v/>
      </c>
      <c r="F438" s="95" t="str">
        <f>IF(PROGRAMA_DETALLE!M238=0,"",PROGRAMA_DETALLE!M238)</f>
        <v/>
      </c>
      <c r="G438" s="95">
        <f>IF(PROGRAMA_DETALLE!P238="PAGADO",PROGRAMA_DETALLE!M238,0)</f>
        <v>0</v>
      </c>
      <c r="H438" s="95">
        <f>IF(OR(PROGRAMA_DETALLE!P238="PENDIENTE",PROGRAMA_DETALLE!P238="PARCIAL"),PROGRAMA_DETALLE!M238,0)</f>
        <v>0</v>
      </c>
      <c r="I438" s="94" t="str">
        <f>IF(PROGRAMA_DETALLE!P238="","",PROGRAMA_DETALLE!P238)</f>
        <v/>
      </c>
    </row>
    <row r="439" ht="15.75" customHeight="1">
      <c r="A439" s="87" t="s">
        <v>229</v>
      </c>
      <c r="B439" s="93" t="str">
        <f>IFERROR(VLOOKUP(PROGRAMA_DETALLE!A239,PROGRAMAS!$A$4:$B$103,2,FALSE()),"")</f>
        <v/>
      </c>
      <c r="C439" s="84" t="str">
        <f>IF(PROGRAMA_DETALLE!A239="","","Tejedora")</f>
        <v/>
      </c>
      <c r="D439" s="94" t="str">
        <f>IF(PROGRAMA_DETALLE!N239="","",PROGRAMA_DETALLE!N239)</f>
        <v/>
      </c>
      <c r="E439" s="84" t="str">
        <f>IF(PROGRAMA_DETALLE!A239="","","Tejido "&amp;PROGRAMA_DETALLE!A239&amp;" "&amp;PROGRAMA_DETALLE!B239)</f>
        <v/>
      </c>
      <c r="F439" s="95" t="str">
        <f>IF(PROGRAMA_DETALLE!M239=0,"",PROGRAMA_DETALLE!M239)</f>
        <v/>
      </c>
      <c r="G439" s="95">
        <f>IF(PROGRAMA_DETALLE!P239="PAGADO",PROGRAMA_DETALLE!M239,0)</f>
        <v>0</v>
      </c>
      <c r="H439" s="95">
        <f>IF(OR(PROGRAMA_DETALLE!P239="PENDIENTE",PROGRAMA_DETALLE!P239="PARCIAL"),PROGRAMA_DETALLE!M239,0)</f>
        <v>0</v>
      </c>
      <c r="I439" s="94" t="str">
        <f>IF(PROGRAMA_DETALLE!P239="","",PROGRAMA_DETALLE!P239)</f>
        <v/>
      </c>
    </row>
    <row r="440" ht="15.75" customHeight="1">
      <c r="A440" s="87" t="s">
        <v>229</v>
      </c>
      <c r="B440" s="93" t="str">
        <f>IFERROR(VLOOKUP(PROGRAMA_DETALLE!A240,PROGRAMAS!$A$4:$B$103,2,FALSE()),"")</f>
        <v/>
      </c>
      <c r="C440" s="84" t="str">
        <f>IF(PROGRAMA_DETALLE!A240="","","Tejedora")</f>
        <v/>
      </c>
      <c r="D440" s="94" t="str">
        <f>IF(PROGRAMA_DETALLE!N240="","",PROGRAMA_DETALLE!N240)</f>
        <v/>
      </c>
      <c r="E440" s="84" t="str">
        <f>IF(PROGRAMA_DETALLE!A240="","","Tejido "&amp;PROGRAMA_DETALLE!A240&amp;" "&amp;PROGRAMA_DETALLE!B240)</f>
        <v/>
      </c>
      <c r="F440" s="95" t="str">
        <f>IF(PROGRAMA_DETALLE!M240=0,"",PROGRAMA_DETALLE!M240)</f>
        <v/>
      </c>
      <c r="G440" s="95">
        <f>IF(PROGRAMA_DETALLE!P240="PAGADO",PROGRAMA_DETALLE!M240,0)</f>
        <v>0</v>
      </c>
      <c r="H440" s="95">
        <f>IF(OR(PROGRAMA_DETALLE!P240="PENDIENTE",PROGRAMA_DETALLE!P240="PARCIAL"),PROGRAMA_DETALLE!M240,0)</f>
        <v>0</v>
      </c>
      <c r="I440" s="94" t="str">
        <f>IF(PROGRAMA_DETALLE!P240="","",PROGRAMA_DETALLE!P240)</f>
        <v/>
      </c>
    </row>
    <row r="441" ht="15.75" customHeight="1">
      <c r="A441" s="87" t="s">
        <v>229</v>
      </c>
      <c r="B441" s="93" t="str">
        <f>IFERROR(VLOOKUP(PROGRAMA_DETALLE!A241,PROGRAMAS!$A$4:$B$103,2,FALSE()),"")</f>
        <v/>
      </c>
      <c r="C441" s="84" t="str">
        <f>IF(PROGRAMA_DETALLE!A241="","","Tejedora")</f>
        <v/>
      </c>
      <c r="D441" s="94" t="str">
        <f>IF(PROGRAMA_DETALLE!N241="","",PROGRAMA_DETALLE!N241)</f>
        <v/>
      </c>
      <c r="E441" s="84" t="str">
        <f>IF(PROGRAMA_DETALLE!A241="","","Tejido "&amp;PROGRAMA_DETALLE!A241&amp;" "&amp;PROGRAMA_DETALLE!B241)</f>
        <v/>
      </c>
      <c r="F441" s="95" t="str">
        <f>IF(PROGRAMA_DETALLE!M241=0,"",PROGRAMA_DETALLE!M241)</f>
        <v/>
      </c>
      <c r="G441" s="95">
        <f>IF(PROGRAMA_DETALLE!P241="PAGADO",PROGRAMA_DETALLE!M241,0)</f>
        <v>0</v>
      </c>
      <c r="H441" s="95">
        <f>IF(OR(PROGRAMA_DETALLE!P241="PENDIENTE",PROGRAMA_DETALLE!P241="PARCIAL"),PROGRAMA_DETALLE!M241,0)</f>
        <v>0</v>
      </c>
      <c r="I441" s="94" t="str">
        <f>IF(PROGRAMA_DETALLE!P241="","",PROGRAMA_DETALLE!P241)</f>
        <v/>
      </c>
    </row>
    <row r="442" ht="15.75" customHeight="1">
      <c r="A442" s="87" t="s">
        <v>229</v>
      </c>
      <c r="B442" s="93" t="str">
        <f>IFERROR(VLOOKUP(PROGRAMA_DETALLE!A242,PROGRAMAS!$A$4:$B$103,2,FALSE()),"")</f>
        <v/>
      </c>
      <c r="C442" s="84" t="str">
        <f>IF(PROGRAMA_DETALLE!A242="","","Tejedora")</f>
        <v/>
      </c>
      <c r="D442" s="94" t="str">
        <f>IF(PROGRAMA_DETALLE!N242="","",PROGRAMA_DETALLE!N242)</f>
        <v/>
      </c>
      <c r="E442" s="84" t="str">
        <f>IF(PROGRAMA_DETALLE!A242="","","Tejido "&amp;PROGRAMA_DETALLE!A242&amp;" "&amp;PROGRAMA_DETALLE!B242)</f>
        <v/>
      </c>
      <c r="F442" s="95" t="str">
        <f>IF(PROGRAMA_DETALLE!M242=0,"",PROGRAMA_DETALLE!M242)</f>
        <v/>
      </c>
      <c r="G442" s="95">
        <f>IF(PROGRAMA_DETALLE!P242="PAGADO",PROGRAMA_DETALLE!M242,0)</f>
        <v>0</v>
      </c>
      <c r="H442" s="95">
        <f>IF(OR(PROGRAMA_DETALLE!P242="PENDIENTE",PROGRAMA_DETALLE!P242="PARCIAL"),PROGRAMA_DETALLE!M242,0)</f>
        <v>0</v>
      </c>
      <c r="I442" s="94" t="str">
        <f>IF(PROGRAMA_DETALLE!P242="","",PROGRAMA_DETALLE!P242)</f>
        <v/>
      </c>
    </row>
    <row r="443" ht="15.75" customHeight="1">
      <c r="A443" s="87" t="s">
        <v>229</v>
      </c>
      <c r="B443" s="93" t="str">
        <f>IFERROR(VLOOKUP(PROGRAMA_DETALLE!A243,PROGRAMAS!$A$4:$B$103,2,FALSE()),"")</f>
        <v/>
      </c>
      <c r="C443" s="84" t="str">
        <f>IF(PROGRAMA_DETALLE!A243="","","Tejedora")</f>
        <v/>
      </c>
      <c r="D443" s="94" t="str">
        <f>IF(PROGRAMA_DETALLE!N243="","",PROGRAMA_DETALLE!N243)</f>
        <v/>
      </c>
      <c r="E443" s="84" t="str">
        <f>IF(PROGRAMA_DETALLE!A243="","","Tejido "&amp;PROGRAMA_DETALLE!A243&amp;" "&amp;PROGRAMA_DETALLE!B243)</f>
        <v/>
      </c>
      <c r="F443" s="95" t="str">
        <f>IF(PROGRAMA_DETALLE!M243=0,"",PROGRAMA_DETALLE!M243)</f>
        <v/>
      </c>
      <c r="G443" s="95">
        <f>IF(PROGRAMA_DETALLE!P243="PAGADO",PROGRAMA_DETALLE!M243,0)</f>
        <v>0</v>
      </c>
      <c r="H443" s="95">
        <f>IF(OR(PROGRAMA_DETALLE!P243="PENDIENTE",PROGRAMA_DETALLE!P243="PARCIAL"),PROGRAMA_DETALLE!M243,0)</f>
        <v>0</v>
      </c>
      <c r="I443" s="94" t="str">
        <f>IF(PROGRAMA_DETALLE!P243="","",PROGRAMA_DETALLE!P243)</f>
        <v/>
      </c>
    </row>
    <row r="444" ht="15.75" customHeight="1">
      <c r="A444" s="87" t="s">
        <v>229</v>
      </c>
      <c r="B444" s="93" t="str">
        <f>IFERROR(VLOOKUP(PROGRAMA_DETALLE!A244,PROGRAMAS!$A$4:$B$103,2,FALSE()),"")</f>
        <v/>
      </c>
      <c r="C444" s="84" t="str">
        <f>IF(PROGRAMA_DETALLE!A244="","","Tejedora")</f>
        <v/>
      </c>
      <c r="D444" s="94" t="str">
        <f>IF(PROGRAMA_DETALLE!N244="","",PROGRAMA_DETALLE!N244)</f>
        <v/>
      </c>
      <c r="E444" s="84" t="str">
        <f>IF(PROGRAMA_DETALLE!A244="","","Tejido "&amp;PROGRAMA_DETALLE!A244&amp;" "&amp;PROGRAMA_DETALLE!B244)</f>
        <v/>
      </c>
      <c r="F444" s="95" t="str">
        <f>IF(PROGRAMA_DETALLE!M244=0,"",PROGRAMA_DETALLE!M244)</f>
        <v/>
      </c>
      <c r="G444" s="95">
        <f>IF(PROGRAMA_DETALLE!P244="PAGADO",PROGRAMA_DETALLE!M244,0)</f>
        <v>0</v>
      </c>
      <c r="H444" s="95">
        <f>IF(OR(PROGRAMA_DETALLE!P244="PENDIENTE",PROGRAMA_DETALLE!P244="PARCIAL"),PROGRAMA_DETALLE!M244,0)</f>
        <v>0</v>
      </c>
      <c r="I444" s="94" t="str">
        <f>IF(PROGRAMA_DETALLE!P244="","",PROGRAMA_DETALLE!P244)</f>
        <v/>
      </c>
    </row>
    <row r="445" ht="15.75" customHeight="1">
      <c r="A445" s="87" t="s">
        <v>229</v>
      </c>
      <c r="B445" s="93" t="str">
        <f>IFERROR(VLOOKUP(PROGRAMA_DETALLE!A245,PROGRAMAS!$A$4:$B$103,2,FALSE()),"")</f>
        <v/>
      </c>
      <c r="C445" s="84" t="str">
        <f>IF(PROGRAMA_DETALLE!A245="","","Tejedora")</f>
        <v/>
      </c>
      <c r="D445" s="94" t="str">
        <f>IF(PROGRAMA_DETALLE!N245="","",PROGRAMA_DETALLE!N245)</f>
        <v/>
      </c>
      <c r="E445" s="84" t="str">
        <f>IF(PROGRAMA_DETALLE!A245="","","Tejido "&amp;PROGRAMA_DETALLE!A245&amp;" "&amp;PROGRAMA_DETALLE!B245)</f>
        <v/>
      </c>
      <c r="F445" s="95" t="str">
        <f>IF(PROGRAMA_DETALLE!M245=0,"",PROGRAMA_DETALLE!M245)</f>
        <v/>
      </c>
      <c r="G445" s="95">
        <f>IF(PROGRAMA_DETALLE!P245="PAGADO",PROGRAMA_DETALLE!M245,0)</f>
        <v>0</v>
      </c>
      <c r="H445" s="95">
        <f>IF(OR(PROGRAMA_DETALLE!P245="PENDIENTE",PROGRAMA_DETALLE!P245="PARCIAL"),PROGRAMA_DETALLE!M245,0)</f>
        <v>0</v>
      </c>
      <c r="I445" s="94" t="str">
        <f>IF(PROGRAMA_DETALLE!P245="","",PROGRAMA_DETALLE!P245)</f>
        <v/>
      </c>
    </row>
    <row r="446" ht="15.75" customHeight="1">
      <c r="A446" s="87" t="s">
        <v>229</v>
      </c>
      <c r="B446" s="93" t="str">
        <f>IFERROR(VLOOKUP(PROGRAMA_DETALLE!A246,PROGRAMAS!$A$4:$B$103,2,FALSE()),"")</f>
        <v/>
      </c>
      <c r="C446" s="84" t="str">
        <f>IF(PROGRAMA_DETALLE!A246="","","Tejedora")</f>
        <v/>
      </c>
      <c r="D446" s="94" t="str">
        <f>IF(PROGRAMA_DETALLE!N246="","",PROGRAMA_DETALLE!N246)</f>
        <v/>
      </c>
      <c r="E446" s="84" t="str">
        <f>IF(PROGRAMA_DETALLE!A246="","","Tejido "&amp;PROGRAMA_DETALLE!A246&amp;" "&amp;PROGRAMA_DETALLE!B246)</f>
        <v/>
      </c>
      <c r="F446" s="95" t="str">
        <f>IF(PROGRAMA_DETALLE!M246=0,"",PROGRAMA_DETALLE!M246)</f>
        <v/>
      </c>
      <c r="G446" s="95">
        <f>IF(PROGRAMA_DETALLE!P246="PAGADO",PROGRAMA_DETALLE!M246,0)</f>
        <v>0</v>
      </c>
      <c r="H446" s="95">
        <f>IF(OR(PROGRAMA_DETALLE!P246="PENDIENTE",PROGRAMA_DETALLE!P246="PARCIAL"),PROGRAMA_DETALLE!M246,0)</f>
        <v>0</v>
      </c>
      <c r="I446" s="94" t="str">
        <f>IF(PROGRAMA_DETALLE!P246="","",PROGRAMA_DETALLE!P246)</f>
        <v/>
      </c>
    </row>
    <row r="447" ht="15.75" customHeight="1">
      <c r="A447" s="87" t="s">
        <v>229</v>
      </c>
      <c r="B447" s="93" t="str">
        <f>IFERROR(VLOOKUP(PROGRAMA_DETALLE!A247,PROGRAMAS!$A$4:$B$103,2,FALSE()),"")</f>
        <v/>
      </c>
      <c r="C447" s="84" t="str">
        <f>IF(PROGRAMA_DETALLE!A247="","","Tejedora")</f>
        <v/>
      </c>
      <c r="D447" s="94" t="str">
        <f>IF(PROGRAMA_DETALLE!N247="","",PROGRAMA_DETALLE!N247)</f>
        <v/>
      </c>
      <c r="E447" s="84" t="str">
        <f>IF(PROGRAMA_DETALLE!A247="","","Tejido "&amp;PROGRAMA_DETALLE!A247&amp;" "&amp;PROGRAMA_DETALLE!B247)</f>
        <v/>
      </c>
      <c r="F447" s="95" t="str">
        <f>IF(PROGRAMA_DETALLE!M247=0,"",PROGRAMA_DETALLE!M247)</f>
        <v/>
      </c>
      <c r="G447" s="95">
        <f>IF(PROGRAMA_DETALLE!P247="PAGADO",PROGRAMA_DETALLE!M247,0)</f>
        <v>0</v>
      </c>
      <c r="H447" s="95">
        <f>IF(OR(PROGRAMA_DETALLE!P247="PENDIENTE",PROGRAMA_DETALLE!P247="PARCIAL"),PROGRAMA_DETALLE!M247,0)</f>
        <v>0</v>
      </c>
      <c r="I447" s="94" t="str">
        <f>IF(PROGRAMA_DETALLE!P247="","",PROGRAMA_DETALLE!P247)</f>
        <v/>
      </c>
    </row>
    <row r="448" ht="15.75" customHeight="1">
      <c r="A448" s="87" t="s">
        <v>229</v>
      </c>
      <c r="B448" s="93" t="str">
        <f>IFERROR(VLOOKUP(PROGRAMA_DETALLE!A248,PROGRAMAS!$A$4:$B$103,2,FALSE()),"")</f>
        <v/>
      </c>
      <c r="C448" s="84" t="str">
        <f>IF(PROGRAMA_DETALLE!A248="","","Tejedora")</f>
        <v/>
      </c>
      <c r="D448" s="94" t="str">
        <f>IF(PROGRAMA_DETALLE!N248="","",PROGRAMA_DETALLE!N248)</f>
        <v/>
      </c>
      <c r="E448" s="84" t="str">
        <f>IF(PROGRAMA_DETALLE!A248="","","Tejido "&amp;PROGRAMA_DETALLE!A248&amp;" "&amp;PROGRAMA_DETALLE!B248)</f>
        <v/>
      </c>
      <c r="F448" s="95" t="str">
        <f>IF(PROGRAMA_DETALLE!M248=0,"",PROGRAMA_DETALLE!M248)</f>
        <v/>
      </c>
      <c r="G448" s="95">
        <f>IF(PROGRAMA_DETALLE!P248="PAGADO",PROGRAMA_DETALLE!M248,0)</f>
        <v>0</v>
      </c>
      <c r="H448" s="95">
        <f>IF(OR(PROGRAMA_DETALLE!P248="PENDIENTE",PROGRAMA_DETALLE!P248="PARCIAL"),PROGRAMA_DETALLE!M248,0)</f>
        <v>0</v>
      </c>
      <c r="I448" s="94" t="str">
        <f>IF(PROGRAMA_DETALLE!P248="","",PROGRAMA_DETALLE!P248)</f>
        <v/>
      </c>
    </row>
    <row r="449" ht="15.75" customHeight="1">
      <c r="A449" s="87" t="s">
        <v>229</v>
      </c>
      <c r="B449" s="93" t="str">
        <f>IFERROR(VLOOKUP(PROGRAMA_DETALLE!A249,PROGRAMAS!$A$4:$B$103,2,FALSE()),"")</f>
        <v/>
      </c>
      <c r="C449" s="84" t="str">
        <f>IF(PROGRAMA_DETALLE!A249="","","Tejedora")</f>
        <v/>
      </c>
      <c r="D449" s="94" t="str">
        <f>IF(PROGRAMA_DETALLE!N249="","",PROGRAMA_DETALLE!N249)</f>
        <v/>
      </c>
      <c r="E449" s="84" t="str">
        <f>IF(PROGRAMA_DETALLE!A249="","","Tejido "&amp;PROGRAMA_DETALLE!A249&amp;" "&amp;PROGRAMA_DETALLE!B249)</f>
        <v/>
      </c>
      <c r="F449" s="95" t="str">
        <f>IF(PROGRAMA_DETALLE!M249=0,"",PROGRAMA_DETALLE!M249)</f>
        <v/>
      </c>
      <c r="G449" s="95">
        <f>IF(PROGRAMA_DETALLE!P249="PAGADO",PROGRAMA_DETALLE!M249,0)</f>
        <v>0</v>
      </c>
      <c r="H449" s="95">
        <f>IF(OR(PROGRAMA_DETALLE!P249="PENDIENTE",PROGRAMA_DETALLE!P249="PARCIAL"),PROGRAMA_DETALLE!M249,0)</f>
        <v>0</v>
      </c>
      <c r="I449" s="94" t="str">
        <f>IF(PROGRAMA_DETALLE!P249="","",PROGRAMA_DETALLE!P249)</f>
        <v/>
      </c>
    </row>
    <row r="450" ht="15.75" customHeight="1">
      <c r="A450" s="87" t="s">
        <v>229</v>
      </c>
      <c r="B450" s="93" t="str">
        <f>IFERROR(VLOOKUP(PROGRAMA_DETALLE!A250,PROGRAMAS!$A$4:$B$103,2,FALSE()),"")</f>
        <v/>
      </c>
      <c r="C450" s="84" t="str">
        <f>IF(PROGRAMA_DETALLE!A250="","","Tejedora")</f>
        <v/>
      </c>
      <c r="D450" s="94" t="str">
        <f>IF(PROGRAMA_DETALLE!N250="","",PROGRAMA_DETALLE!N250)</f>
        <v/>
      </c>
      <c r="E450" s="84" t="str">
        <f>IF(PROGRAMA_DETALLE!A250="","","Tejido "&amp;PROGRAMA_DETALLE!A250&amp;" "&amp;PROGRAMA_DETALLE!B250)</f>
        <v/>
      </c>
      <c r="F450" s="95" t="str">
        <f>IF(PROGRAMA_DETALLE!M250=0,"",PROGRAMA_DETALLE!M250)</f>
        <v/>
      </c>
      <c r="G450" s="95">
        <f>IF(PROGRAMA_DETALLE!P250="PAGADO",PROGRAMA_DETALLE!M250,0)</f>
        <v>0</v>
      </c>
      <c r="H450" s="95">
        <f>IF(OR(PROGRAMA_DETALLE!P250="PENDIENTE",PROGRAMA_DETALLE!P250="PARCIAL"),PROGRAMA_DETALLE!M250,0)</f>
        <v>0</v>
      </c>
      <c r="I450" s="94" t="str">
        <f>IF(PROGRAMA_DETALLE!P250="","",PROGRAMA_DETALLE!P250)</f>
        <v/>
      </c>
    </row>
    <row r="451" ht="15.75" customHeight="1">
      <c r="A451" s="87" t="s">
        <v>229</v>
      </c>
      <c r="B451" s="93" t="str">
        <f>IFERROR(VLOOKUP(PROGRAMA_DETALLE!A251,PROGRAMAS!$A$4:$B$103,2,FALSE()),"")</f>
        <v/>
      </c>
      <c r="C451" s="84" t="str">
        <f>IF(PROGRAMA_DETALLE!A251="","","Tejedora")</f>
        <v/>
      </c>
      <c r="D451" s="94" t="str">
        <f>IF(PROGRAMA_DETALLE!N251="","",PROGRAMA_DETALLE!N251)</f>
        <v/>
      </c>
      <c r="E451" s="84" t="str">
        <f>IF(PROGRAMA_DETALLE!A251="","","Tejido "&amp;PROGRAMA_DETALLE!A251&amp;" "&amp;PROGRAMA_DETALLE!B251)</f>
        <v/>
      </c>
      <c r="F451" s="95" t="str">
        <f>IF(PROGRAMA_DETALLE!M251=0,"",PROGRAMA_DETALLE!M251)</f>
        <v/>
      </c>
      <c r="G451" s="95">
        <f>IF(PROGRAMA_DETALLE!P251="PAGADO",PROGRAMA_DETALLE!M251,0)</f>
        <v>0</v>
      </c>
      <c r="H451" s="95">
        <f>IF(OR(PROGRAMA_DETALLE!P251="PENDIENTE",PROGRAMA_DETALLE!P251="PARCIAL"),PROGRAMA_DETALLE!M251,0)</f>
        <v>0</v>
      </c>
      <c r="I451" s="94" t="str">
        <f>IF(PROGRAMA_DETALLE!P251="","",PROGRAMA_DETALLE!P251)</f>
        <v/>
      </c>
    </row>
    <row r="452" ht="15.75" customHeight="1">
      <c r="A452" s="87" t="s">
        <v>229</v>
      </c>
      <c r="B452" s="93" t="str">
        <f>IFERROR(VLOOKUP(PROGRAMA_DETALLE!A252,PROGRAMAS!$A$4:$B$103,2,FALSE()),"")</f>
        <v/>
      </c>
      <c r="C452" s="84" t="str">
        <f>IF(PROGRAMA_DETALLE!A252="","","Tejedora")</f>
        <v/>
      </c>
      <c r="D452" s="94" t="str">
        <f>IF(PROGRAMA_DETALLE!N252="","",PROGRAMA_DETALLE!N252)</f>
        <v/>
      </c>
      <c r="E452" s="84" t="str">
        <f>IF(PROGRAMA_DETALLE!A252="","","Tejido "&amp;PROGRAMA_DETALLE!A252&amp;" "&amp;PROGRAMA_DETALLE!B252)</f>
        <v/>
      </c>
      <c r="F452" s="95" t="str">
        <f>IF(PROGRAMA_DETALLE!M252=0,"",PROGRAMA_DETALLE!M252)</f>
        <v/>
      </c>
      <c r="G452" s="95">
        <f>IF(PROGRAMA_DETALLE!P252="PAGADO",PROGRAMA_DETALLE!M252,0)</f>
        <v>0</v>
      </c>
      <c r="H452" s="95">
        <f>IF(OR(PROGRAMA_DETALLE!P252="PENDIENTE",PROGRAMA_DETALLE!P252="PARCIAL"),PROGRAMA_DETALLE!M252,0)</f>
        <v>0</v>
      </c>
      <c r="I452" s="94" t="str">
        <f>IF(PROGRAMA_DETALLE!P252="","",PROGRAMA_DETALLE!P252)</f>
        <v/>
      </c>
    </row>
    <row r="453" ht="15.75" customHeight="1">
      <c r="A453" s="87" t="s">
        <v>229</v>
      </c>
      <c r="B453" s="93" t="str">
        <f>IFERROR(VLOOKUP(PROGRAMA_DETALLE!A253,PROGRAMAS!$A$4:$B$103,2,FALSE()),"")</f>
        <v/>
      </c>
      <c r="C453" s="84" t="str">
        <f>IF(PROGRAMA_DETALLE!A253="","","Tejedora")</f>
        <v/>
      </c>
      <c r="D453" s="94" t="str">
        <f>IF(PROGRAMA_DETALLE!N253="","",PROGRAMA_DETALLE!N253)</f>
        <v/>
      </c>
      <c r="E453" s="84" t="str">
        <f>IF(PROGRAMA_DETALLE!A253="","","Tejido "&amp;PROGRAMA_DETALLE!A253&amp;" "&amp;PROGRAMA_DETALLE!B253)</f>
        <v/>
      </c>
      <c r="F453" s="95" t="str">
        <f>IF(PROGRAMA_DETALLE!M253=0,"",PROGRAMA_DETALLE!M253)</f>
        <v/>
      </c>
      <c r="G453" s="95">
        <f>IF(PROGRAMA_DETALLE!P253="PAGADO",PROGRAMA_DETALLE!M253,0)</f>
        <v>0</v>
      </c>
      <c r="H453" s="95">
        <f>IF(OR(PROGRAMA_DETALLE!P253="PENDIENTE",PROGRAMA_DETALLE!P253="PARCIAL"),PROGRAMA_DETALLE!M253,0)</f>
        <v>0</v>
      </c>
      <c r="I453" s="94" t="str">
        <f>IF(PROGRAMA_DETALLE!P253="","",PROGRAMA_DETALLE!P253)</f>
        <v/>
      </c>
    </row>
    <row r="454" ht="15.75" customHeight="1">
      <c r="A454" s="87" t="s">
        <v>229</v>
      </c>
      <c r="B454" s="93" t="str">
        <f>IFERROR(VLOOKUP(PROGRAMA_DETALLE!A254,PROGRAMAS!$A$4:$B$103,2,FALSE()),"")</f>
        <v/>
      </c>
      <c r="C454" s="84" t="str">
        <f>IF(PROGRAMA_DETALLE!A254="","","Tejedora")</f>
        <v/>
      </c>
      <c r="D454" s="94" t="str">
        <f>IF(PROGRAMA_DETALLE!N254="","",PROGRAMA_DETALLE!N254)</f>
        <v/>
      </c>
      <c r="E454" s="84" t="str">
        <f>IF(PROGRAMA_DETALLE!A254="","","Tejido "&amp;PROGRAMA_DETALLE!A254&amp;" "&amp;PROGRAMA_DETALLE!B254)</f>
        <v/>
      </c>
      <c r="F454" s="95" t="str">
        <f>IF(PROGRAMA_DETALLE!M254=0,"",PROGRAMA_DETALLE!M254)</f>
        <v/>
      </c>
      <c r="G454" s="95">
        <f>IF(PROGRAMA_DETALLE!P254="PAGADO",PROGRAMA_DETALLE!M254,0)</f>
        <v>0</v>
      </c>
      <c r="H454" s="95">
        <f>IF(OR(PROGRAMA_DETALLE!P254="PENDIENTE",PROGRAMA_DETALLE!P254="PARCIAL"),PROGRAMA_DETALLE!M254,0)</f>
        <v>0</v>
      </c>
      <c r="I454" s="94" t="str">
        <f>IF(PROGRAMA_DETALLE!P254="","",PROGRAMA_DETALLE!P254)</f>
        <v/>
      </c>
    </row>
    <row r="455" ht="15.75" customHeight="1">
      <c r="A455" s="87" t="s">
        <v>229</v>
      </c>
      <c r="B455" s="93" t="str">
        <f>IFERROR(VLOOKUP(PROGRAMA_DETALLE!A255,PROGRAMAS!$A$4:$B$103,2,FALSE()),"")</f>
        <v/>
      </c>
      <c r="C455" s="84" t="str">
        <f>IF(PROGRAMA_DETALLE!A255="","","Tejedora")</f>
        <v/>
      </c>
      <c r="D455" s="94" t="str">
        <f>IF(PROGRAMA_DETALLE!N255="","",PROGRAMA_DETALLE!N255)</f>
        <v/>
      </c>
      <c r="E455" s="84" t="str">
        <f>IF(PROGRAMA_DETALLE!A255="","","Tejido "&amp;PROGRAMA_DETALLE!A255&amp;" "&amp;PROGRAMA_DETALLE!B255)</f>
        <v/>
      </c>
      <c r="F455" s="95" t="str">
        <f>IF(PROGRAMA_DETALLE!M255=0,"",PROGRAMA_DETALLE!M255)</f>
        <v/>
      </c>
      <c r="G455" s="95">
        <f>IF(PROGRAMA_DETALLE!P255="PAGADO",PROGRAMA_DETALLE!M255,0)</f>
        <v>0</v>
      </c>
      <c r="H455" s="95">
        <f>IF(OR(PROGRAMA_DETALLE!P255="PENDIENTE",PROGRAMA_DETALLE!P255="PARCIAL"),PROGRAMA_DETALLE!M255,0)</f>
        <v>0</v>
      </c>
      <c r="I455" s="94" t="str">
        <f>IF(PROGRAMA_DETALLE!P255="","",PROGRAMA_DETALLE!P255)</f>
        <v/>
      </c>
    </row>
    <row r="456" ht="15.75" customHeight="1">
      <c r="A456" s="87" t="s">
        <v>229</v>
      </c>
      <c r="B456" s="93" t="str">
        <f>IFERROR(VLOOKUP(PROGRAMA_DETALLE!A256,PROGRAMAS!$A$4:$B$103,2,FALSE()),"")</f>
        <v/>
      </c>
      <c r="C456" s="84" t="str">
        <f>IF(PROGRAMA_DETALLE!A256="","","Tejedora")</f>
        <v/>
      </c>
      <c r="D456" s="94" t="str">
        <f>IF(PROGRAMA_DETALLE!N256="","",PROGRAMA_DETALLE!N256)</f>
        <v/>
      </c>
      <c r="E456" s="84" t="str">
        <f>IF(PROGRAMA_DETALLE!A256="","","Tejido "&amp;PROGRAMA_DETALLE!A256&amp;" "&amp;PROGRAMA_DETALLE!B256)</f>
        <v/>
      </c>
      <c r="F456" s="95" t="str">
        <f>IF(PROGRAMA_DETALLE!M256=0,"",PROGRAMA_DETALLE!M256)</f>
        <v/>
      </c>
      <c r="G456" s="95">
        <f>IF(PROGRAMA_DETALLE!P256="PAGADO",PROGRAMA_DETALLE!M256,0)</f>
        <v>0</v>
      </c>
      <c r="H456" s="95">
        <f>IF(OR(PROGRAMA_DETALLE!P256="PENDIENTE",PROGRAMA_DETALLE!P256="PARCIAL"),PROGRAMA_DETALLE!M256,0)</f>
        <v>0</v>
      </c>
      <c r="I456" s="94" t="str">
        <f>IF(PROGRAMA_DETALLE!P256="","",PROGRAMA_DETALLE!P256)</f>
        <v/>
      </c>
    </row>
    <row r="457" ht="15.75" customHeight="1">
      <c r="A457" s="87" t="s">
        <v>229</v>
      </c>
      <c r="B457" s="93" t="str">
        <f>IFERROR(VLOOKUP(PROGRAMA_DETALLE!A257,PROGRAMAS!$A$4:$B$103,2,FALSE()),"")</f>
        <v/>
      </c>
      <c r="C457" s="84" t="str">
        <f>IF(PROGRAMA_DETALLE!A257="","","Tejedora")</f>
        <v/>
      </c>
      <c r="D457" s="94" t="str">
        <f>IF(PROGRAMA_DETALLE!N257="","",PROGRAMA_DETALLE!N257)</f>
        <v/>
      </c>
      <c r="E457" s="84" t="str">
        <f>IF(PROGRAMA_DETALLE!A257="","","Tejido "&amp;PROGRAMA_DETALLE!A257&amp;" "&amp;PROGRAMA_DETALLE!B257)</f>
        <v/>
      </c>
      <c r="F457" s="95" t="str">
        <f>IF(PROGRAMA_DETALLE!M257=0,"",PROGRAMA_DETALLE!M257)</f>
        <v/>
      </c>
      <c r="G457" s="95">
        <f>IF(PROGRAMA_DETALLE!P257="PAGADO",PROGRAMA_DETALLE!M257,0)</f>
        <v>0</v>
      </c>
      <c r="H457" s="95">
        <f>IF(OR(PROGRAMA_DETALLE!P257="PENDIENTE",PROGRAMA_DETALLE!P257="PARCIAL"),PROGRAMA_DETALLE!M257,0)</f>
        <v>0</v>
      </c>
      <c r="I457" s="94" t="str">
        <f>IF(PROGRAMA_DETALLE!P257="","",PROGRAMA_DETALLE!P257)</f>
        <v/>
      </c>
    </row>
    <row r="458" ht="15.75" customHeight="1">
      <c r="A458" s="87" t="s">
        <v>229</v>
      </c>
      <c r="B458" s="93" t="str">
        <f>IFERROR(VLOOKUP(PROGRAMA_DETALLE!A258,PROGRAMAS!$A$4:$B$103,2,FALSE()),"")</f>
        <v/>
      </c>
      <c r="C458" s="84" t="str">
        <f>IF(PROGRAMA_DETALLE!A258="","","Tejedora")</f>
        <v/>
      </c>
      <c r="D458" s="94" t="str">
        <f>IF(PROGRAMA_DETALLE!N258="","",PROGRAMA_DETALLE!N258)</f>
        <v/>
      </c>
      <c r="E458" s="84" t="str">
        <f>IF(PROGRAMA_DETALLE!A258="","","Tejido "&amp;PROGRAMA_DETALLE!A258&amp;" "&amp;PROGRAMA_DETALLE!B258)</f>
        <v/>
      </c>
      <c r="F458" s="95" t="str">
        <f>IF(PROGRAMA_DETALLE!M258=0,"",PROGRAMA_DETALLE!M258)</f>
        <v/>
      </c>
      <c r="G458" s="95">
        <f>IF(PROGRAMA_DETALLE!P258="PAGADO",PROGRAMA_DETALLE!M258,0)</f>
        <v>0</v>
      </c>
      <c r="H458" s="95">
        <f>IF(OR(PROGRAMA_DETALLE!P258="PENDIENTE",PROGRAMA_DETALLE!P258="PARCIAL"),PROGRAMA_DETALLE!M258,0)</f>
        <v>0</v>
      </c>
      <c r="I458" s="94" t="str">
        <f>IF(PROGRAMA_DETALLE!P258="","",PROGRAMA_DETALLE!P258)</f>
        <v/>
      </c>
    </row>
    <row r="459" ht="15.75" customHeight="1">
      <c r="A459" s="87" t="s">
        <v>229</v>
      </c>
      <c r="B459" s="93" t="str">
        <f>IFERROR(VLOOKUP(PROGRAMA_DETALLE!A259,PROGRAMAS!$A$4:$B$103,2,FALSE()),"")</f>
        <v/>
      </c>
      <c r="C459" s="84" t="str">
        <f>IF(PROGRAMA_DETALLE!A259="","","Tejedora")</f>
        <v/>
      </c>
      <c r="D459" s="94" t="str">
        <f>IF(PROGRAMA_DETALLE!N259="","",PROGRAMA_DETALLE!N259)</f>
        <v/>
      </c>
      <c r="E459" s="84" t="str">
        <f>IF(PROGRAMA_DETALLE!A259="","","Tejido "&amp;PROGRAMA_DETALLE!A259&amp;" "&amp;PROGRAMA_DETALLE!B259)</f>
        <v/>
      </c>
      <c r="F459" s="95" t="str">
        <f>IF(PROGRAMA_DETALLE!M259=0,"",PROGRAMA_DETALLE!M259)</f>
        <v/>
      </c>
      <c r="G459" s="95">
        <f>IF(PROGRAMA_DETALLE!P259="PAGADO",PROGRAMA_DETALLE!M259,0)</f>
        <v>0</v>
      </c>
      <c r="H459" s="95">
        <f>IF(OR(PROGRAMA_DETALLE!P259="PENDIENTE",PROGRAMA_DETALLE!P259="PARCIAL"),PROGRAMA_DETALLE!M259,0)</f>
        <v>0</v>
      </c>
      <c r="I459" s="94" t="str">
        <f>IF(PROGRAMA_DETALLE!P259="","",PROGRAMA_DETALLE!P259)</f>
        <v/>
      </c>
    </row>
    <row r="460" ht="15.75" customHeight="1">
      <c r="A460" s="87" t="s">
        <v>229</v>
      </c>
      <c r="B460" s="93" t="str">
        <f>IFERROR(VLOOKUP(PROGRAMA_DETALLE!A260,PROGRAMAS!$A$4:$B$103,2,FALSE()),"")</f>
        <v/>
      </c>
      <c r="C460" s="84" t="str">
        <f>IF(PROGRAMA_DETALLE!A260="","","Tejedora")</f>
        <v/>
      </c>
      <c r="D460" s="94" t="str">
        <f>IF(PROGRAMA_DETALLE!N260="","",PROGRAMA_DETALLE!N260)</f>
        <v/>
      </c>
      <c r="E460" s="84" t="str">
        <f>IF(PROGRAMA_DETALLE!A260="","","Tejido "&amp;PROGRAMA_DETALLE!A260&amp;" "&amp;PROGRAMA_DETALLE!B260)</f>
        <v/>
      </c>
      <c r="F460" s="95" t="str">
        <f>IF(PROGRAMA_DETALLE!M260=0,"",PROGRAMA_DETALLE!M260)</f>
        <v/>
      </c>
      <c r="G460" s="95">
        <f>IF(PROGRAMA_DETALLE!P260="PAGADO",PROGRAMA_DETALLE!M260,0)</f>
        <v>0</v>
      </c>
      <c r="H460" s="95">
        <f>IF(OR(PROGRAMA_DETALLE!P260="PENDIENTE",PROGRAMA_DETALLE!P260="PARCIAL"),PROGRAMA_DETALLE!M260,0)</f>
        <v>0</v>
      </c>
      <c r="I460" s="94" t="str">
        <f>IF(PROGRAMA_DETALLE!P260="","",PROGRAMA_DETALLE!P260)</f>
        <v/>
      </c>
    </row>
    <row r="461" ht="15.75" customHeight="1">
      <c r="A461" s="87" t="s">
        <v>229</v>
      </c>
      <c r="B461" s="93" t="str">
        <f>IFERROR(VLOOKUP(PROGRAMA_DETALLE!A261,PROGRAMAS!$A$4:$B$103,2,FALSE()),"")</f>
        <v/>
      </c>
      <c r="C461" s="84" t="str">
        <f>IF(PROGRAMA_DETALLE!A261="","","Tejedora")</f>
        <v/>
      </c>
      <c r="D461" s="94" t="str">
        <f>IF(PROGRAMA_DETALLE!N261="","",PROGRAMA_DETALLE!N261)</f>
        <v/>
      </c>
      <c r="E461" s="84" t="str">
        <f>IF(PROGRAMA_DETALLE!A261="","","Tejido "&amp;PROGRAMA_DETALLE!A261&amp;" "&amp;PROGRAMA_DETALLE!B261)</f>
        <v/>
      </c>
      <c r="F461" s="95" t="str">
        <f>IF(PROGRAMA_DETALLE!M261=0,"",PROGRAMA_DETALLE!M261)</f>
        <v/>
      </c>
      <c r="G461" s="95">
        <f>IF(PROGRAMA_DETALLE!P261="PAGADO",PROGRAMA_DETALLE!M261,0)</f>
        <v>0</v>
      </c>
      <c r="H461" s="95">
        <f>IF(OR(PROGRAMA_DETALLE!P261="PENDIENTE",PROGRAMA_DETALLE!P261="PARCIAL"),PROGRAMA_DETALLE!M261,0)</f>
        <v>0</v>
      </c>
      <c r="I461" s="94" t="str">
        <f>IF(PROGRAMA_DETALLE!P261="","",PROGRAMA_DETALLE!P261)</f>
        <v/>
      </c>
    </row>
    <row r="462" ht="15.75" customHeight="1">
      <c r="A462" s="87" t="s">
        <v>229</v>
      </c>
      <c r="B462" s="93" t="str">
        <f>IFERROR(VLOOKUP(PROGRAMA_DETALLE!A262,PROGRAMAS!$A$4:$B$103,2,FALSE()),"")</f>
        <v/>
      </c>
      <c r="C462" s="84" t="str">
        <f>IF(PROGRAMA_DETALLE!A262="","","Tejedora")</f>
        <v/>
      </c>
      <c r="D462" s="94" t="str">
        <f>IF(PROGRAMA_DETALLE!N262="","",PROGRAMA_DETALLE!N262)</f>
        <v/>
      </c>
      <c r="E462" s="84" t="str">
        <f>IF(PROGRAMA_DETALLE!A262="","","Tejido "&amp;PROGRAMA_DETALLE!A262&amp;" "&amp;PROGRAMA_DETALLE!B262)</f>
        <v/>
      </c>
      <c r="F462" s="95" t="str">
        <f>IF(PROGRAMA_DETALLE!M262=0,"",PROGRAMA_DETALLE!M262)</f>
        <v/>
      </c>
      <c r="G462" s="95">
        <f>IF(PROGRAMA_DETALLE!P262="PAGADO",PROGRAMA_DETALLE!M262,0)</f>
        <v>0</v>
      </c>
      <c r="H462" s="95">
        <f>IF(OR(PROGRAMA_DETALLE!P262="PENDIENTE",PROGRAMA_DETALLE!P262="PARCIAL"),PROGRAMA_DETALLE!M262,0)</f>
        <v>0</v>
      </c>
      <c r="I462" s="94" t="str">
        <f>IF(PROGRAMA_DETALLE!P262="","",PROGRAMA_DETALLE!P262)</f>
        <v/>
      </c>
    </row>
    <row r="463" ht="15.75" customHeight="1">
      <c r="A463" s="87" t="s">
        <v>229</v>
      </c>
      <c r="B463" s="93" t="str">
        <f>IFERROR(VLOOKUP(PROGRAMA_DETALLE!A263,PROGRAMAS!$A$4:$B$103,2,FALSE()),"")</f>
        <v/>
      </c>
      <c r="C463" s="84" t="str">
        <f>IF(PROGRAMA_DETALLE!A263="","","Tejedora")</f>
        <v/>
      </c>
      <c r="D463" s="94" t="str">
        <f>IF(PROGRAMA_DETALLE!N263="","",PROGRAMA_DETALLE!N263)</f>
        <v/>
      </c>
      <c r="E463" s="84" t="str">
        <f>IF(PROGRAMA_DETALLE!A263="","","Tejido "&amp;PROGRAMA_DETALLE!A263&amp;" "&amp;PROGRAMA_DETALLE!B263)</f>
        <v/>
      </c>
      <c r="F463" s="95" t="str">
        <f>IF(PROGRAMA_DETALLE!M263=0,"",PROGRAMA_DETALLE!M263)</f>
        <v/>
      </c>
      <c r="G463" s="95">
        <f>IF(PROGRAMA_DETALLE!P263="PAGADO",PROGRAMA_DETALLE!M263,0)</f>
        <v>0</v>
      </c>
      <c r="H463" s="95">
        <f>IF(OR(PROGRAMA_DETALLE!P263="PENDIENTE",PROGRAMA_DETALLE!P263="PARCIAL"),PROGRAMA_DETALLE!M263,0)</f>
        <v>0</v>
      </c>
      <c r="I463" s="94" t="str">
        <f>IF(PROGRAMA_DETALLE!P263="","",PROGRAMA_DETALLE!P263)</f>
        <v/>
      </c>
    </row>
    <row r="464" ht="15.75" customHeight="1">
      <c r="A464" s="87" t="s">
        <v>229</v>
      </c>
      <c r="B464" s="93" t="str">
        <f>IFERROR(VLOOKUP(PROGRAMA_DETALLE!A264,PROGRAMAS!$A$4:$B$103,2,FALSE()),"")</f>
        <v/>
      </c>
      <c r="C464" s="84" t="str">
        <f>IF(PROGRAMA_DETALLE!A264="","","Tejedora")</f>
        <v/>
      </c>
      <c r="D464" s="94" t="str">
        <f>IF(PROGRAMA_DETALLE!N264="","",PROGRAMA_DETALLE!N264)</f>
        <v/>
      </c>
      <c r="E464" s="84" t="str">
        <f>IF(PROGRAMA_DETALLE!A264="","","Tejido "&amp;PROGRAMA_DETALLE!A264&amp;" "&amp;PROGRAMA_DETALLE!B264)</f>
        <v/>
      </c>
      <c r="F464" s="95" t="str">
        <f>IF(PROGRAMA_DETALLE!M264=0,"",PROGRAMA_DETALLE!M264)</f>
        <v/>
      </c>
      <c r="G464" s="95">
        <f>IF(PROGRAMA_DETALLE!P264="PAGADO",PROGRAMA_DETALLE!M264,0)</f>
        <v>0</v>
      </c>
      <c r="H464" s="95">
        <f>IF(OR(PROGRAMA_DETALLE!P264="PENDIENTE",PROGRAMA_DETALLE!P264="PARCIAL"),PROGRAMA_DETALLE!M264,0)</f>
        <v>0</v>
      </c>
      <c r="I464" s="94" t="str">
        <f>IF(PROGRAMA_DETALLE!P264="","",PROGRAMA_DETALLE!P264)</f>
        <v/>
      </c>
    </row>
    <row r="465" ht="15.75" customHeight="1">
      <c r="A465" s="87" t="s">
        <v>229</v>
      </c>
      <c r="B465" s="93" t="str">
        <f>IFERROR(VLOOKUP(PROGRAMA_DETALLE!A265,PROGRAMAS!$A$4:$B$103,2,FALSE()),"")</f>
        <v/>
      </c>
      <c r="C465" s="84" t="str">
        <f>IF(PROGRAMA_DETALLE!A265="","","Tejedora")</f>
        <v/>
      </c>
      <c r="D465" s="94" t="str">
        <f>IF(PROGRAMA_DETALLE!N265="","",PROGRAMA_DETALLE!N265)</f>
        <v/>
      </c>
      <c r="E465" s="84" t="str">
        <f>IF(PROGRAMA_DETALLE!A265="","","Tejido "&amp;PROGRAMA_DETALLE!A265&amp;" "&amp;PROGRAMA_DETALLE!B265)</f>
        <v/>
      </c>
      <c r="F465" s="95" t="str">
        <f>IF(PROGRAMA_DETALLE!M265=0,"",PROGRAMA_DETALLE!M265)</f>
        <v/>
      </c>
      <c r="G465" s="95">
        <f>IF(PROGRAMA_DETALLE!P265="PAGADO",PROGRAMA_DETALLE!M265,0)</f>
        <v>0</v>
      </c>
      <c r="H465" s="95">
        <f>IF(OR(PROGRAMA_DETALLE!P265="PENDIENTE",PROGRAMA_DETALLE!P265="PARCIAL"),PROGRAMA_DETALLE!M265,0)</f>
        <v>0</v>
      </c>
      <c r="I465" s="94" t="str">
        <f>IF(PROGRAMA_DETALLE!P265="","",PROGRAMA_DETALLE!P265)</f>
        <v/>
      </c>
    </row>
    <row r="466" ht="15.75" customHeight="1">
      <c r="A466" s="87" t="s">
        <v>229</v>
      </c>
      <c r="B466" s="93" t="str">
        <f>IFERROR(VLOOKUP(PROGRAMA_DETALLE!A266,PROGRAMAS!$A$4:$B$103,2,FALSE()),"")</f>
        <v/>
      </c>
      <c r="C466" s="84" t="str">
        <f>IF(PROGRAMA_DETALLE!A266="","","Tejedora")</f>
        <v/>
      </c>
      <c r="D466" s="94" t="str">
        <f>IF(PROGRAMA_DETALLE!N266="","",PROGRAMA_DETALLE!N266)</f>
        <v/>
      </c>
      <c r="E466" s="84" t="str">
        <f>IF(PROGRAMA_DETALLE!A266="","","Tejido "&amp;PROGRAMA_DETALLE!A266&amp;" "&amp;PROGRAMA_DETALLE!B266)</f>
        <v/>
      </c>
      <c r="F466" s="95" t="str">
        <f>IF(PROGRAMA_DETALLE!M266=0,"",PROGRAMA_DETALLE!M266)</f>
        <v/>
      </c>
      <c r="G466" s="95">
        <f>IF(PROGRAMA_DETALLE!P266="PAGADO",PROGRAMA_DETALLE!M266,0)</f>
        <v>0</v>
      </c>
      <c r="H466" s="95">
        <f>IF(OR(PROGRAMA_DETALLE!P266="PENDIENTE",PROGRAMA_DETALLE!P266="PARCIAL"),PROGRAMA_DETALLE!M266,0)</f>
        <v>0</v>
      </c>
      <c r="I466" s="94" t="str">
        <f>IF(PROGRAMA_DETALLE!P266="","",PROGRAMA_DETALLE!P266)</f>
        <v/>
      </c>
    </row>
    <row r="467" ht="15.75" customHeight="1">
      <c r="A467" s="87" t="s">
        <v>229</v>
      </c>
      <c r="B467" s="93" t="str">
        <f>IFERROR(VLOOKUP(PROGRAMA_DETALLE!A267,PROGRAMAS!$A$4:$B$103,2,FALSE()),"")</f>
        <v/>
      </c>
      <c r="C467" s="84" t="str">
        <f>IF(PROGRAMA_DETALLE!A267="","","Tejedora")</f>
        <v/>
      </c>
      <c r="D467" s="94" t="str">
        <f>IF(PROGRAMA_DETALLE!N267="","",PROGRAMA_DETALLE!N267)</f>
        <v/>
      </c>
      <c r="E467" s="84" t="str">
        <f>IF(PROGRAMA_DETALLE!A267="","","Tejido "&amp;PROGRAMA_DETALLE!A267&amp;" "&amp;PROGRAMA_DETALLE!B267)</f>
        <v/>
      </c>
      <c r="F467" s="95" t="str">
        <f>IF(PROGRAMA_DETALLE!M267=0,"",PROGRAMA_DETALLE!M267)</f>
        <v/>
      </c>
      <c r="G467" s="95">
        <f>IF(PROGRAMA_DETALLE!P267="PAGADO",PROGRAMA_DETALLE!M267,0)</f>
        <v>0</v>
      </c>
      <c r="H467" s="95">
        <f>IF(OR(PROGRAMA_DETALLE!P267="PENDIENTE",PROGRAMA_DETALLE!P267="PARCIAL"),PROGRAMA_DETALLE!M267,0)</f>
        <v>0</v>
      </c>
      <c r="I467" s="94" t="str">
        <f>IF(PROGRAMA_DETALLE!P267="","",PROGRAMA_DETALLE!P267)</f>
        <v/>
      </c>
    </row>
    <row r="468" ht="15.75" customHeight="1">
      <c r="A468" s="87" t="s">
        <v>229</v>
      </c>
      <c r="B468" s="93" t="str">
        <f>IFERROR(VLOOKUP(PROGRAMA_DETALLE!A268,PROGRAMAS!$A$4:$B$103,2,FALSE()),"")</f>
        <v/>
      </c>
      <c r="C468" s="84" t="str">
        <f>IF(PROGRAMA_DETALLE!A268="","","Tejedora")</f>
        <v/>
      </c>
      <c r="D468" s="94" t="str">
        <f>IF(PROGRAMA_DETALLE!N268="","",PROGRAMA_DETALLE!N268)</f>
        <v/>
      </c>
      <c r="E468" s="84" t="str">
        <f>IF(PROGRAMA_DETALLE!A268="","","Tejido "&amp;PROGRAMA_DETALLE!A268&amp;" "&amp;PROGRAMA_DETALLE!B268)</f>
        <v/>
      </c>
      <c r="F468" s="95" t="str">
        <f>IF(PROGRAMA_DETALLE!M268=0,"",PROGRAMA_DETALLE!M268)</f>
        <v/>
      </c>
      <c r="G468" s="95">
        <f>IF(PROGRAMA_DETALLE!P268="PAGADO",PROGRAMA_DETALLE!M268,0)</f>
        <v>0</v>
      </c>
      <c r="H468" s="95">
        <f>IF(OR(PROGRAMA_DETALLE!P268="PENDIENTE",PROGRAMA_DETALLE!P268="PARCIAL"),PROGRAMA_DETALLE!M268,0)</f>
        <v>0</v>
      </c>
      <c r="I468" s="94" t="str">
        <f>IF(PROGRAMA_DETALLE!P268="","",PROGRAMA_DETALLE!P268)</f>
        <v/>
      </c>
    </row>
    <row r="469" ht="15.75" customHeight="1">
      <c r="A469" s="87" t="s">
        <v>229</v>
      </c>
      <c r="B469" s="93" t="str">
        <f>IFERROR(VLOOKUP(PROGRAMA_DETALLE!A269,PROGRAMAS!$A$4:$B$103,2,FALSE()),"")</f>
        <v/>
      </c>
      <c r="C469" s="84" t="str">
        <f>IF(PROGRAMA_DETALLE!A269="","","Tejedora")</f>
        <v/>
      </c>
      <c r="D469" s="94" t="str">
        <f>IF(PROGRAMA_DETALLE!N269="","",PROGRAMA_DETALLE!N269)</f>
        <v/>
      </c>
      <c r="E469" s="84" t="str">
        <f>IF(PROGRAMA_DETALLE!A269="","","Tejido "&amp;PROGRAMA_DETALLE!A269&amp;" "&amp;PROGRAMA_DETALLE!B269)</f>
        <v/>
      </c>
      <c r="F469" s="95" t="str">
        <f>IF(PROGRAMA_DETALLE!M269=0,"",PROGRAMA_DETALLE!M269)</f>
        <v/>
      </c>
      <c r="G469" s="95">
        <f>IF(PROGRAMA_DETALLE!P269="PAGADO",PROGRAMA_DETALLE!M269,0)</f>
        <v>0</v>
      </c>
      <c r="H469" s="95">
        <f>IF(OR(PROGRAMA_DETALLE!P269="PENDIENTE",PROGRAMA_DETALLE!P269="PARCIAL"),PROGRAMA_DETALLE!M269,0)</f>
        <v>0</v>
      </c>
      <c r="I469" s="94" t="str">
        <f>IF(PROGRAMA_DETALLE!P269="","",PROGRAMA_DETALLE!P269)</f>
        <v/>
      </c>
    </row>
    <row r="470" ht="15.75" customHeight="1">
      <c r="A470" s="87" t="s">
        <v>229</v>
      </c>
      <c r="B470" s="93" t="str">
        <f>IFERROR(VLOOKUP(PROGRAMA_DETALLE!A270,PROGRAMAS!$A$4:$B$103,2,FALSE()),"")</f>
        <v/>
      </c>
      <c r="C470" s="84" t="str">
        <f>IF(PROGRAMA_DETALLE!A270="","","Tejedora")</f>
        <v/>
      </c>
      <c r="D470" s="94" t="str">
        <f>IF(PROGRAMA_DETALLE!N270="","",PROGRAMA_DETALLE!N270)</f>
        <v/>
      </c>
      <c r="E470" s="84" t="str">
        <f>IF(PROGRAMA_DETALLE!A270="","","Tejido "&amp;PROGRAMA_DETALLE!A270&amp;" "&amp;PROGRAMA_DETALLE!B270)</f>
        <v/>
      </c>
      <c r="F470" s="95" t="str">
        <f>IF(PROGRAMA_DETALLE!M270=0,"",PROGRAMA_DETALLE!M270)</f>
        <v/>
      </c>
      <c r="G470" s="95">
        <f>IF(PROGRAMA_DETALLE!P270="PAGADO",PROGRAMA_DETALLE!M270,0)</f>
        <v>0</v>
      </c>
      <c r="H470" s="95">
        <f>IF(OR(PROGRAMA_DETALLE!P270="PENDIENTE",PROGRAMA_DETALLE!P270="PARCIAL"),PROGRAMA_DETALLE!M270,0)</f>
        <v>0</v>
      </c>
      <c r="I470" s="94" t="str">
        <f>IF(PROGRAMA_DETALLE!P270="","",PROGRAMA_DETALLE!P270)</f>
        <v/>
      </c>
    </row>
    <row r="471" ht="15.75" customHeight="1">
      <c r="A471" s="87" t="s">
        <v>229</v>
      </c>
      <c r="B471" s="93" t="str">
        <f>IFERROR(VLOOKUP(PROGRAMA_DETALLE!A271,PROGRAMAS!$A$4:$B$103,2,FALSE()),"")</f>
        <v/>
      </c>
      <c r="C471" s="84" t="str">
        <f>IF(PROGRAMA_DETALLE!A271="","","Tejedora")</f>
        <v/>
      </c>
      <c r="D471" s="94" t="str">
        <f>IF(PROGRAMA_DETALLE!N271="","",PROGRAMA_DETALLE!N271)</f>
        <v/>
      </c>
      <c r="E471" s="84" t="str">
        <f>IF(PROGRAMA_DETALLE!A271="","","Tejido "&amp;PROGRAMA_DETALLE!A271&amp;" "&amp;PROGRAMA_DETALLE!B271)</f>
        <v/>
      </c>
      <c r="F471" s="95" t="str">
        <f>IF(PROGRAMA_DETALLE!M271=0,"",PROGRAMA_DETALLE!M271)</f>
        <v/>
      </c>
      <c r="G471" s="95">
        <f>IF(PROGRAMA_DETALLE!P271="PAGADO",PROGRAMA_DETALLE!M271,0)</f>
        <v>0</v>
      </c>
      <c r="H471" s="95">
        <f>IF(OR(PROGRAMA_DETALLE!P271="PENDIENTE",PROGRAMA_DETALLE!P271="PARCIAL"),PROGRAMA_DETALLE!M271,0)</f>
        <v>0</v>
      </c>
      <c r="I471" s="94" t="str">
        <f>IF(PROGRAMA_DETALLE!P271="","",PROGRAMA_DETALLE!P271)</f>
        <v/>
      </c>
    </row>
    <row r="472" ht="15.75" customHeight="1">
      <c r="A472" s="87" t="s">
        <v>229</v>
      </c>
      <c r="B472" s="93" t="str">
        <f>IFERROR(VLOOKUP(PROGRAMA_DETALLE!A272,PROGRAMAS!$A$4:$B$103,2,FALSE()),"")</f>
        <v/>
      </c>
      <c r="C472" s="84" t="str">
        <f>IF(PROGRAMA_DETALLE!A272="","","Tejedora")</f>
        <v/>
      </c>
      <c r="D472" s="94" t="str">
        <f>IF(PROGRAMA_DETALLE!N272="","",PROGRAMA_DETALLE!N272)</f>
        <v/>
      </c>
      <c r="E472" s="84" t="str">
        <f>IF(PROGRAMA_DETALLE!A272="","","Tejido "&amp;PROGRAMA_DETALLE!A272&amp;" "&amp;PROGRAMA_DETALLE!B272)</f>
        <v/>
      </c>
      <c r="F472" s="95" t="str">
        <f>IF(PROGRAMA_DETALLE!M272=0,"",PROGRAMA_DETALLE!M272)</f>
        <v/>
      </c>
      <c r="G472" s="95">
        <f>IF(PROGRAMA_DETALLE!P272="PAGADO",PROGRAMA_DETALLE!M272,0)</f>
        <v>0</v>
      </c>
      <c r="H472" s="95">
        <f>IF(OR(PROGRAMA_DETALLE!P272="PENDIENTE",PROGRAMA_DETALLE!P272="PARCIAL"),PROGRAMA_DETALLE!M272,0)</f>
        <v>0</v>
      </c>
      <c r="I472" s="94" t="str">
        <f>IF(PROGRAMA_DETALLE!P272="","",PROGRAMA_DETALLE!P272)</f>
        <v/>
      </c>
    </row>
    <row r="473" ht="15.75" customHeight="1">
      <c r="A473" s="87" t="s">
        <v>229</v>
      </c>
      <c r="B473" s="93" t="str">
        <f>IFERROR(VLOOKUP(PROGRAMA_DETALLE!A273,PROGRAMAS!$A$4:$B$103,2,FALSE()),"")</f>
        <v/>
      </c>
      <c r="C473" s="84" t="str">
        <f>IF(PROGRAMA_DETALLE!A273="","","Tejedora")</f>
        <v/>
      </c>
      <c r="D473" s="94" t="str">
        <f>IF(PROGRAMA_DETALLE!N273="","",PROGRAMA_DETALLE!N273)</f>
        <v/>
      </c>
      <c r="E473" s="84" t="str">
        <f>IF(PROGRAMA_DETALLE!A273="","","Tejido "&amp;PROGRAMA_DETALLE!A273&amp;" "&amp;PROGRAMA_DETALLE!B273)</f>
        <v/>
      </c>
      <c r="F473" s="95" t="str">
        <f>IF(PROGRAMA_DETALLE!M273=0,"",PROGRAMA_DETALLE!M273)</f>
        <v/>
      </c>
      <c r="G473" s="95">
        <f>IF(PROGRAMA_DETALLE!P273="PAGADO",PROGRAMA_DETALLE!M273,0)</f>
        <v>0</v>
      </c>
      <c r="H473" s="95">
        <f>IF(OR(PROGRAMA_DETALLE!P273="PENDIENTE",PROGRAMA_DETALLE!P273="PARCIAL"),PROGRAMA_DETALLE!M273,0)</f>
        <v>0</v>
      </c>
      <c r="I473" s="94" t="str">
        <f>IF(PROGRAMA_DETALLE!P273="","",PROGRAMA_DETALLE!P273)</f>
        <v/>
      </c>
    </row>
    <row r="474" ht="15.75" customHeight="1">
      <c r="A474" s="87" t="s">
        <v>229</v>
      </c>
      <c r="B474" s="93" t="str">
        <f>IFERROR(VLOOKUP(PROGRAMA_DETALLE!A274,PROGRAMAS!$A$4:$B$103,2,FALSE()),"")</f>
        <v/>
      </c>
      <c r="C474" s="84" t="str">
        <f>IF(PROGRAMA_DETALLE!A274="","","Tejedora")</f>
        <v/>
      </c>
      <c r="D474" s="94" t="str">
        <f>IF(PROGRAMA_DETALLE!N274="","",PROGRAMA_DETALLE!N274)</f>
        <v/>
      </c>
      <c r="E474" s="84" t="str">
        <f>IF(PROGRAMA_DETALLE!A274="","","Tejido "&amp;PROGRAMA_DETALLE!A274&amp;" "&amp;PROGRAMA_DETALLE!B274)</f>
        <v/>
      </c>
      <c r="F474" s="95" t="str">
        <f>IF(PROGRAMA_DETALLE!M274=0,"",PROGRAMA_DETALLE!M274)</f>
        <v/>
      </c>
      <c r="G474" s="95">
        <f>IF(PROGRAMA_DETALLE!P274="PAGADO",PROGRAMA_DETALLE!M274,0)</f>
        <v>0</v>
      </c>
      <c r="H474" s="95">
        <f>IF(OR(PROGRAMA_DETALLE!P274="PENDIENTE",PROGRAMA_DETALLE!P274="PARCIAL"),PROGRAMA_DETALLE!M274,0)</f>
        <v>0</v>
      </c>
      <c r="I474" s="94" t="str">
        <f>IF(PROGRAMA_DETALLE!P274="","",PROGRAMA_DETALLE!P274)</f>
        <v/>
      </c>
    </row>
    <row r="475" ht="15.75" customHeight="1">
      <c r="A475" s="87" t="s">
        <v>229</v>
      </c>
      <c r="B475" s="93" t="str">
        <f>IFERROR(VLOOKUP(PROGRAMA_DETALLE!A275,PROGRAMAS!$A$4:$B$103,2,FALSE()),"")</f>
        <v/>
      </c>
      <c r="C475" s="84" t="str">
        <f>IF(PROGRAMA_DETALLE!A275="","","Tejedora")</f>
        <v/>
      </c>
      <c r="D475" s="94" t="str">
        <f>IF(PROGRAMA_DETALLE!N275="","",PROGRAMA_DETALLE!N275)</f>
        <v/>
      </c>
      <c r="E475" s="84" t="str">
        <f>IF(PROGRAMA_DETALLE!A275="","","Tejido "&amp;PROGRAMA_DETALLE!A275&amp;" "&amp;PROGRAMA_DETALLE!B275)</f>
        <v/>
      </c>
      <c r="F475" s="95" t="str">
        <f>IF(PROGRAMA_DETALLE!M275=0,"",PROGRAMA_DETALLE!M275)</f>
        <v/>
      </c>
      <c r="G475" s="95">
        <f>IF(PROGRAMA_DETALLE!P275="PAGADO",PROGRAMA_DETALLE!M275,0)</f>
        <v>0</v>
      </c>
      <c r="H475" s="95">
        <f>IF(OR(PROGRAMA_DETALLE!P275="PENDIENTE",PROGRAMA_DETALLE!P275="PARCIAL"),PROGRAMA_DETALLE!M275,0)</f>
        <v>0</v>
      </c>
      <c r="I475" s="94" t="str">
        <f>IF(PROGRAMA_DETALLE!P275="","",PROGRAMA_DETALLE!P275)</f>
        <v/>
      </c>
    </row>
    <row r="476" ht="15.75" customHeight="1">
      <c r="A476" s="87" t="s">
        <v>229</v>
      </c>
      <c r="B476" s="93" t="str">
        <f>IFERROR(VLOOKUP(PROGRAMA_DETALLE!A276,PROGRAMAS!$A$4:$B$103,2,FALSE()),"")</f>
        <v/>
      </c>
      <c r="C476" s="84" t="str">
        <f>IF(PROGRAMA_DETALLE!A276="","","Tejedora")</f>
        <v/>
      </c>
      <c r="D476" s="94" t="str">
        <f>IF(PROGRAMA_DETALLE!N276="","",PROGRAMA_DETALLE!N276)</f>
        <v/>
      </c>
      <c r="E476" s="84" t="str">
        <f>IF(PROGRAMA_DETALLE!A276="","","Tejido "&amp;PROGRAMA_DETALLE!A276&amp;" "&amp;PROGRAMA_DETALLE!B276)</f>
        <v/>
      </c>
      <c r="F476" s="95" t="str">
        <f>IF(PROGRAMA_DETALLE!M276=0,"",PROGRAMA_DETALLE!M276)</f>
        <v/>
      </c>
      <c r="G476" s="95">
        <f>IF(PROGRAMA_DETALLE!P276="PAGADO",PROGRAMA_DETALLE!M276,0)</f>
        <v>0</v>
      </c>
      <c r="H476" s="95">
        <f>IF(OR(PROGRAMA_DETALLE!P276="PENDIENTE",PROGRAMA_DETALLE!P276="PARCIAL"),PROGRAMA_DETALLE!M276,0)</f>
        <v>0</v>
      </c>
      <c r="I476" s="94" t="str">
        <f>IF(PROGRAMA_DETALLE!P276="","",PROGRAMA_DETALLE!P276)</f>
        <v/>
      </c>
    </row>
    <row r="477" ht="15.75" customHeight="1">
      <c r="A477" s="87" t="s">
        <v>229</v>
      </c>
      <c r="B477" s="93" t="str">
        <f>IFERROR(VLOOKUP(PROGRAMA_DETALLE!A277,PROGRAMAS!$A$4:$B$103,2,FALSE()),"")</f>
        <v/>
      </c>
      <c r="C477" s="84" t="str">
        <f>IF(PROGRAMA_DETALLE!A277="","","Tejedora")</f>
        <v/>
      </c>
      <c r="D477" s="94" t="str">
        <f>IF(PROGRAMA_DETALLE!N277="","",PROGRAMA_DETALLE!N277)</f>
        <v/>
      </c>
      <c r="E477" s="84" t="str">
        <f>IF(PROGRAMA_DETALLE!A277="","","Tejido "&amp;PROGRAMA_DETALLE!A277&amp;" "&amp;PROGRAMA_DETALLE!B277)</f>
        <v/>
      </c>
      <c r="F477" s="95" t="str">
        <f>IF(PROGRAMA_DETALLE!M277=0,"",PROGRAMA_DETALLE!M277)</f>
        <v/>
      </c>
      <c r="G477" s="95">
        <f>IF(PROGRAMA_DETALLE!P277="PAGADO",PROGRAMA_DETALLE!M277,0)</f>
        <v>0</v>
      </c>
      <c r="H477" s="95">
        <f>IF(OR(PROGRAMA_DETALLE!P277="PENDIENTE",PROGRAMA_DETALLE!P277="PARCIAL"),PROGRAMA_DETALLE!M277,0)</f>
        <v>0</v>
      </c>
      <c r="I477" s="94" t="str">
        <f>IF(PROGRAMA_DETALLE!P277="","",PROGRAMA_DETALLE!P277)</f>
        <v/>
      </c>
    </row>
    <row r="478" ht="15.75" customHeight="1">
      <c r="A478" s="87" t="s">
        <v>229</v>
      </c>
      <c r="B478" s="93" t="str">
        <f>IFERROR(VLOOKUP(PROGRAMA_DETALLE!A278,PROGRAMAS!$A$4:$B$103,2,FALSE()),"")</f>
        <v/>
      </c>
      <c r="C478" s="84" t="str">
        <f>IF(PROGRAMA_DETALLE!A278="","","Tejedora")</f>
        <v/>
      </c>
      <c r="D478" s="94" t="str">
        <f>IF(PROGRAMA_DETALLE!N278="","",PROGRAMA_DETALLE!N278)</f>
        <v/>
      </c>
      <c r="E478" s="84" t="str">
        <f>IF(PROGRAMA_DETALLE!A278="","","Tejido "&amp;PROGRAMA_DETALLE!A278&amp;" "&amp;PROGRAMA_DETALLE!B278)</f>
        <v/>
      </c>
      <c r="F478" s="95" t="str">
        <f>IF(PROGRAMA_DETALLE!M278=0,"",PROGRAMA_DETALLE!M278)</f>
        <v/>
      </c>
      <c r="G478" s="95">
        <f>IF(PROGRAMA_DETALLE!P278="PAGADO",PROGRAMA_DETALLE!M278,0)</f>
        <v>0</v>
      </c>
      <c r="H478" s="95">
        <f>IF(OR(PROGRAMA_DETALLE!P278="PENDIENTE",PROGRAMA_DETALLE!P278="PARCIAL"),PROGRAMA_DETALLE!M278,0)</f>
        <v>0</v>
      </c>
      <c r="I478" s="94" t="str">
        <f>IF(PROGRAMA_DETALLE!P278="","",PROGRAMA_DETALLE!P278)</f>
        <v/>
      </c>
    </row>
    <row r="479" ht="15.75" customHeight="1">
      <c r="A479" s="87" t="s">
        <v>229</v>
      </c>
      <c r="B479" s="93" t="str">
        <f>IFERROR(VLOOKUP(PROGRAMA_DETALLE!A279,PROGRAMAS!$A$4:$B$103,2,FALSE()),"")</f>
        <v/>
      </c>
      <c r="C479" s="84" t="str">
        <f>IF(PROGRAMA_DETALLE!A279="","","Tejedora")</f>
        <v/>
      </c>
      <c r="D479" s="94" t="str">
        <f>IF(PROGRAMA_DETALLE!N279="","",PROGRAMA_DETALLE!N279)</f>
        <v/>
      </c>
      <c r="E479" s="84" t="str">
        <f>IF(PROGRAMA_DETALLE!A279="","","Tejido "&amp;PROGRAMA_DETALLE!A279&amp;" "&amp;PROGRAMA_DETALLE!B279)</f>
        <v/>
      </c>
      <c r="F479" s="95" t="str">
        <f>IF(PROGRAMA_DETALLE!M279=0,"",PROGRAMA_DETALLE!M279)</f>
        <v/>
      </c>
      <c r="G479" s="95">
        <f>IF(PROGRAMA_DETALLE!P279="PAGADO",PROGRAMA_DETALLE!M279,0)</f>
        <v>0</v>
      </c>
      <c r="H479" s="95">
        <f>IF(OR(PROGRAMA_DETALLE!P279="PENDIENTE",PROGRAMA_DETALLE!P279="PARCIAL"),PROGRAMA_DETALLE!M279,0)</f>
        <v>0</v>
      </c>
      <c r="I479" s="94" t="str">
        <f>IF(PROGRAMA_DETALLE!P279="","",PROGRAMA_DETALLE!P279)</f>
        <v/>
      </c>
    </row>
    <row r="480" ht="15.75" customHeight="1">
      <c r="A480" s="87" t="s">
        <v>229</v>
      </c>
      <c r="B480" s="93" t="str">
        <f>IFERROR(VLOOKUP(PROGRAMA_DETALLE!A280,PROGRAMAS!$A$4:$B$103,2,FALSE()),"")</f>
        <v/>
      </c>
      <c r="C480" s="84" t="str">
        <f>IF(PROGRAMA_DETALLE!A280="","","Tejedora")</f>
        <v/>
      </c>
      <c r="D480" s="94" t="str">
        <f>IF(PROGRAMA_DETALLE!N280="","",PROGRAMA_DETALLE!N280)</f>
        <v/>
      </c>
      <c r="E480" s="84" t="str">
        <f>IF(PROGRAMA_DETALLE!A280="","","Tejido "&amp;PROGRAMA_DETALLE!A280&amp;" "&amp;PROGRAMA_DETALLE!B280)</f>
        <v/>
      </c>
      <c r="F480" s="95" t="str">
        <f>IF(PROGRAMA_DETALLE!M280=0,"",PROGRAMA_DETALLE!M280)</f>
        <v/>
      </c>
      <c r="G480" s="95">
        <f>IF(PROGRAMA_DETALLE!P280="PAGADO",PROGRAMA_DETALLE!M280,0)</f>
        <v>0</v>
      </c>
      <c r="H480" s="95">
        <f>IF(OR(PROGRAMA_DETALLE!P280="PENDIENTE",PROGRAMA_DETALLE!P280="PARCIAL"),PROGRAMA_DETALLE!M280,0)</f>
        <v>0</v>
      </c>
      <c r="I480" s="94" t="str">
        <f>IF(PROGRAMA_DETALLE!P280="","",PROGRAMA_DETALLE!P280)</f>
        <v/>
      </c>
    </row>
    <row r="481" ht="15.75" customHeight="1">
      <c r="A481" s="87" t="s">
        <v>229</v>
      </c>
      <c r="B481" s="93" t="str">
        <f>IFERROR(VLOOKUP(PROGRAMA_DETALLE!A281,PROGRAMAS!$A$4:$B$103,2,FALSE()),"")</f>
        <v/>
      </c>
      <c r="C481" s="84" t="str">
        <f>IF(PROGRAMA_DETALLE!A281="","","Tejedora")</f>
        <v/>
      </c>
      <c r="D481" s="94" t="str">
        <f>IF(PROGRAMA_DETALLE!N281="","",PROGRAMA_DETALLE!N281)</f>
        <v/>
      </c>
      <c r="E481" s="84" t="str">
        <f>IF(PROGRAMA_DETALLE!A281="","","Tejido "&amp;PROGRAMA_DETALLE!A281&amp;" "&amp;PROGRAMA_DETALLE!B281)</f>
        <v/>
      </c>
      <c r="F481" s="95" t="str">
        <f>IF(PROGRAMA_DETALLE!M281=0,"",PROGRAMA_DETALLE!M281)</f>
        <v/>
      </c>
      <c r="G481" s="95">
        <f>IF(PROGRAMA_DETALLE!P281="PAGADO",PROGRAMA_DETALLE!M281,0)</f>
        <v>0</v>
      </c>
      <c r="H481" s="95">
        <f>IF(OR(PROGRAMA_DETALLE!P281="PENDIENTE",PROGRAMA_DETALLE!P281="PARCIAL"),PROGRAMA_DETALLE!M281,0)</f>
        <v>0</v>
      </c>
      <c r="I481" s="94" t="str">
        <f>IF(PROGRAMA_DETALLE!P281="","",PROGRAMA_DETALLE!P281)</f>
        <v/>
      </c>
    </row>
    <row r="482" ht="15.75" customHeight="1">
      <c r="A482" s="87" t="s">
        <v>229</v>
      </c>
      <c r="B482" s="93" t="str">
        <f>IFERROR(VLOOKUP(PROGRAMA_DETALLE!A282,PROGRAMAS!$A$4:$B$103,2,FALSE()),"")</f>
        <v/>
      </c>
      <c r="C482" s="84" t="str">
        <f>IF(PROGRAMA_DETALLE!A282="","","Tejedora")</f>
        <v/>
      </c>
      <c r="D482" s="94" t="str">
        <f>IF(PROGRAMA_DETALLE!N282="","",PROGRAMA_DETALLE!N282)</f>
        <v/>
      </c>
      <c r="E482" s="84" t="str">
        <f>IF(PROGRAMA_DETALLE!A282="","","Tejido "&amp;PROGRAMA_DETALLE!A282&amp;" "&amp;PROGRAMA_DETALLE!B282)</f>
        <v/>
      </c>
      <c r="F482" s="95" t="str">
        <f>IF(PROGRAMA_DETALLE!M282=0,"",PROGRAMA_DETALLE!M282)</f>
        <v/>
      </c>
      <c r="G482" s="95">
        <f>IF(PROGRAMA_DETALLE!P282="PAGADO",PROGRAMA_DETALLE!M282,0)</f>
        <v>0</v>
      </c>
      <c r="H482" s="95">
        <f>IF(OR(PROGRAMA_DETALLE!P282="PENDIENTE",PROGRAMA_DETALLE!P282="PARCIAL"),PROGRAMA_DETALLE!M282,0)</f>
        <v>0</v>
      </c>
      <c r="I482" s="94" t="str">
        <f>IF(PROGRAMA_DETALLE!P282="","",PROGRAMA_DETALLE!P282)</f>
        <v/>
      </c>
    </row>
    <row r="483" ht="15.75" customHeight="1">
      <c r="A483" s="87" t="s">
        <v>229</v>
      </c>
      <c r="B483" s="93" t="str">
        <f>IFERROR(VLOOKUP(PROGRAMA_DETALLE!A283,PROGRAMAS!$A$4:$B$103,2,FALSE()),"")</f>
        <v/>
      </c>
      <c r="C483" s="84" t="str">
        <f>IF(PROGRAMA_DETALLE!A283="","","Tejedora")</f>
        <v/>
      </c>
      <c r="D483" s="94" t="str">
        <f>IF(PROGRAMA_DETALLE!N283="","",PROGRAMA_DETALLE!N283)</f>
        <v/>
      </c>
      <c r="E483" s="84" t="str">
        <f>IF(PROGRAMA_DETALLE!A283="","","Tejido "&amp;PROGRAMA_DETALLE!A283&amp;" "&amp;PROGRAMA_DETALLE!B283)</f>
        <v/>
      </c>
      <c r="F483" s="95" t="str">
        <f>IF(PROGRAMA_DETALLE!M283=0,"",PROGRAMA_DETALLE!M283)</f>
        <v/>
      </c>
      <c r="G483" s="95">
        <f>IF(PROGRAMA_DETALLE!P283="PAGADO",PROGRAMA_DETALLE!M283,0)</f>
        <v>0</v>
      </c>
      <c r="H483" s="95">
        <f>IF(OR(PROGRAMA_DETALLE!P283="PENDIENTE",PROGRAMA_DETALLE!P283="PARCIAL"),PROGRAMA_DETALLE!M283,0)</f>
        <v>0</v>
      </c>
      <c r="I483" s="94" t="str">
        <f>IF(PROGRAMA_DETALLE!P283="","",PROGRAMA_DETALLE!P283)</f>
        <v/>
      </c>
    </row>
    <row r="484" ht="15.75" customHeight="1">
      <c r="A484" s="87" t="s">
        <v>229</v>
      </c>
      <c r="B484" s="93" t="str">
        <f>IFERROR(VLOOKUP(PROGRAMA_DETALLE!A284,PROGRAMAS!$A$4:$B$103,2,FALSE()),"")</f>
        <v/>
      </c>
      <c r="C484" s="84" t="str">
        <f>IF(PROGRAMA_DETALLE!A284="","","Tejedora")</f>
        <v/>
      </c>
      <c r="D484" s="94" t="str">
        <f>IF(PROGRAMA_DETALLE!N284="","",PROGRAMA_DETALLE!N284)</f>
        <v/>
      </c>
      <c r="E484" s="84" t="str">
        <f>IF(PROGRAMA_DETALLE!A284="","","Tejido "&amp;PROGRAMA_DETALLE!A284&amp;" "&amp;PROGRAMA_DETALLE!B284)</f>
        <v/>
      </c>
      <c r="F484" s="95" t="str">
        <f>IF(PROGRAMA_DETALLE!M284=0,"",PROGRAMA_DETALLE!M284)</f>
        <v/>
      </c>
      <c r="G484" s="95">
        <f>IF(PROGRAMA_DETALLE!P284="PAGADO",PROGRAMA_DETALLE!M284,0)</f>
        <v>0</v>
      </c>
      <c r="H484" s="95">
        <f>IF(OR(PROGRAMA_DETALLE!P284="PENDIENTE",PROGRAMA_DETALLE!P284="PARCIAL"),PROGRAMA_DETALLE!M284,0)</f>
        <v>0</v>
      </c>
      <c r="I484" s="94" t="str">
        <f>IF(PROGRAMA_DETALLE!P284="","",PROGRAMA_DETALLE!P284)</f>
        <v/>
      </c>
    </row>
    <row r="485" ht="15.75" customHeight="1">
      <c r="A485" s="87" t="s">
        <v>229</v>
      </c>
      <c r="B485" s="93" t="str">
        <f>IFERROR(VLOOKUP(PROGRAMA_DETALLE!A285,PROGRAMAS!$A$4:$B$103,2,FALSE()),"")</f>
        <v/>
      </c>
      <c r="C485" s="84" t="str">
        <f>IF(PROGRAMA_DETALLE!A285="","","Tejedora")</f>
        <v/>
      </c>
      <c r="D485" s="94" t="str">
        <f>IF(PROGRAMA_DETALLE!N285="","",PROGRAMA_DETALLE!N285)</f>
        <v/>
      </c>
      <c r="E485" s="84" t="str">
        <f>IF(PROGRAMA_DETALLE!A285="","","Tejido "&amp;PROGRAMA_DETALLE!A285&amp;" "&amp;PROGRAMA_DETALLE!B285)</f>
        <v/>
      </c>
      <c r="F485" s="95" t="str">
        <f>IF(PROGRAMA_DETALLE!M285=0,"",PROGRAMA_DETALLE!M285)</f>
        <v/>
      </c>
      <c r="G485" s="95">
        <f>IF(PROGRAMA_DETALLE!P285="PAGADO",PROGRAMA_DETALLE!M285,0)</f>
        <v>0</v>
      </c>
      <c r="H485" s="95">
        <f>IF(OR(PROGRAMA_DETALLE!P285="PENDIENTE",PROGRAMA_DETALLE!P285="PARCIAL"),PROGRAMA_DETALLE!M285,0)</f>
        <v>0</v>
      </c>
      <c r="I485" s="94" t="str">
        <f>IF(PROGRAMA_DETALLE!P285="","",PROGRAMA_DETALLE!P285)</f>
        <v/>
      </c>
    </row>
    <row r="486" ht="15.75" customHeight="1">
      <c r="A486" s="87" t="s">
        <v>229</v>
      </c>
      <c r="B486" s="93" t="str">
        <f>IFERROR(VLOOKUP(PROGRAMA_DETALLE!A286,PROGRAMAS!$A$4:$B$103,2,FALSE()),"")</f>
        <v/>
      </c>
      <c r="C486" s="84" t="str">
        <f>IF(PROGRAMA_DETALLE!A286="","","Tejedora")</f>
        <v/>
      </c>
      <c r="D486" s="94" t="str">
        <f>IF(PROGRAMA_DETALLE!N286="","",PROGRAMA_DETALLE!N286)</f>
        <v/>
      </c>
      <c r="E486" s="84" t="str">
        <f>IF(PROGRAMA_DETALLE!A286="","","Tejido "&amp;PROGRAMA_DETALLE!A286&amp;" "&amp;PROGRAMA_DETALLE!B286)</f>
        <v/>
      </c>
      <c r="F486" s="95" t="str">
        <f>IF(PROGRAMA_DETALLE!M286=0,"",PROGRAMA_DETALLE!M286)</f>
        <v/>
      </c>
      <c r="G486" s="95">
        <f>IF(PROGRAMA_DETALLE!P286="PAGADO",PROGRAMA_DETALLE!M286,0)</f>
        <v>0</v>
      </c>
      <c r="H486" s="95">
        <f>IF(OR(PROGRAMA_DETALLE!P286="PENDIENTE",PROGRAMA_DETALLE!P286="PARCIAL"),PROGRAMA_DETALLE!M286,0)</f>
        <v>0</v>
      </c>
      <c r="I486" s="94" t="str">
        <f>IF(PROGRAMA_DETALLE!P286="","",PROGRAMA_DETALLE!P286)</f>
        <v/>
      </c>
    </row>
    <row r="487" ht="15.75" customHeight="1">
      <c r="A487" s="87" t="s">
        <v>229</v>
      </c>
      <c r="B487" s="93" t="str">
        <f>IFERROR(VLOOKUP(PROGRAMA_DETALLE!A287,PROGRAMAS!$A$4:$B$103,2,FALSE()),"")</f>
        <v/>
      </c>
      <c r="C487" s="84" t="str">
        <f>IF(PROGRAMA_DETALLE!A287="","","Tejedora")</f>
        <v/>
      </c>
      <c r="D487" s="94" t="str">
        <f>IF(PROGRAMA_DETALLE!N287="","",PROGRAMA_DETALLE!N287)</f>
        <v/>
      </c>
      <c r="E487" s="84" t="str">
        <f>IF(PROGRAMA_DETALLE!A287="","","Tejido "&amp;PROGRAMA_DETALLE!A287&amp;" "&amp;PROGRAMA_DETALLE!B287)</f>
        <v/>
      </c>
      <c r="F487" s="95" t="str">
        <f>IF(PROGRAMA_DETALLE!M287=0,"",PROGRAMA_DETALLE!M287)</f>
        <v/>
      </c>
      <c r="G487" s="95">
        <f>IF(PROGRAMA_DETALLE!P287="PAGADO",PROGRAMA_DETALLE!M287,0)</f>
        <v>0</v>
      </c>
      <c r="H487" s="95">
        <f>IF(OR(PROGRAMA_DETALLE!P287="PENDIENTE",PROGRAMA_DETALLE!P287="PARCIAL"),PROGRAMA_DETALLE!M287,0)</f>
        <v>0</v>
      </c>
      <c r="I487" s="94" t="str">
        <f>IF(PROGRAMA_DETALLE!P287="","",PROGRAMA_DETALLE!P287)</f>
        <v/>
      </c>
    </row>
    <row r="488" ht="15.75" customHeight="1">
      <c r="A488" s="87" t="s">
        <v>229</v>
      </c>
      <c r="B488" s="93" t="str">
        <f>IFERROR(VLOOKUP(PROGRAMA_DETALLE!A288,PROGRAMAS!$A$4:$B$103,2,FALSE()),"")</f>
        <v/>
      </c>
      <c r="C488" s="84" t="str">
        <f>IF(PROGRAMA_DETALLE!A288="","","Tejedora")</f>
        <v/>
      </c>
      <c r="D488" s="94" t="str">
        <f>IF(PROGRAMA_DETALLE!N288="","",PROGRAMA_DETALLE!N288)</f>
        <v/>
      </c>
      <c r="E488" s="84" t="str">
        <f>IF(PROGRAMA_DETALLE!A288="","","Tejido "&amp;PROGRAMA_DETALLE!A288&amp;" "&amp;PROGRAMA_DETALLE!B288)</f>
        <v/>
      </c>
      <c r="F488" s="95" t="str">
        <f>IF(PROGRAMA_DETALLE!M288=0,"",PROGRAMA_DETALLE!M288)</f>
        <v/>
      </c>
      <c r="G488" s="95">
        <f>IF(PROGRAMA_DETALLE!P288="PAGADO",PROGRAMA_DETALLE!M288,0)</f>
        <v>0</v>
      </c>
      <c r="H488" s="95">
        <f>IF(OR(PROGRAMA_DETALLE!P288="PENDIENTE",PROGRAMA_DETALLE!P288="PARCIAL"),PROGRAMA_DETALLE!M288,0)</f>
        <v>0</v>
      </c>
      <c r="I488" s="94" t="str">
        <f>IF(PROGRAMA_DETALLE!P288="","",PROGRAMA_DETALLE!P288)</f>
        <v/>
      </c>
    </row>
    <row r="489" ht="15.75" customHeight="1">
      <c r="A489" s="87" t="s">
        <v>229</v>
      </c>
      <c r="B489" s="93" t="str">
        <f>IFERROR(VLOOKUP(PROGRAMA_DETALLE!A289,PROGRAMAS!$A$4:$B$103,2,FALSE()),"")</f>
        <v/>
      </c>
      <c r="C489" s="84" t="str">
        <f>IF(PROGRAMA_DETALLE!A289="","","Tejedora")</f>
        <v/>
      </c>
      <c r="D489" s="94" t="str">
        <f>IF(PROGRAMA_DETALLE!N289="","",PROGRAMA_DETALLE!N289)</f>
        <v/>
      </c>
      <c r="E489" s="84" t="str">
        <f>IF(PROGRAMA_DETALLE!A289="","","Tejido "&amp;PROGRAMA_DETALLE!A289&amp;" "&amp;PROGRAMA_DETALLE!B289)</f>
        <v/>
      </c>
      <c r="F489" s="95" t="str">
        <f>IF(PROGRAMA_DETALLE!M289=0,"",PROGRAMA_DETALLE!M289)</f>
        <v/>
      </c>
      <c r="G489" s="95">
        <f>IF(PROGRAMA_DETALLE!P289="PAGADO",PROGRAMA_DETALLE!M289,0)</f>
        <v>0</v>
      </c>
      <c r="H489" s="95">
        <f>IF(OR(PROGRAMA_DETALLE!P289="PENDIENTE",PROGRAMA_DETALLE!P289="PARCIAL"),PROGRAMA_DETALLE!M289,0)</f>
        <v>0</v>
      </c>
      <c r="I489" s="94" t="str">
        <f>IF(PROGRAMA_DETALLE!P289="","",PROGRAMA_DETALLE!P289)</f>
        <v/>
      </c>
    </row>
    <row r="490" ht="15.75" customHeight="1">
      <c r="A490" s="87" t="s">
        <v>229</v>
      </c>
      <c r="B490" s="93" t="str">
        <f>IFERROR(VLOOKUP(PROGRAMA_DETALLE!A290,PROGRAMAS!$A$4:$B$103,2,FALSE()),"")</f>
        <v/>
      </c>
      <c r="C490" s="84" t="str">
        <f>IF(PROGRAMA_DETALLE!A290="","","Tejedora")</f>
        <v/>
      </c>
      <c r="D490" s="94" t="str">
        <f>IF(PROGRAMA_DETALLE!N290="","",PROGRAMA_DETALLE!N290)</f>
        <v/>
      </c>
      <c r="E490" s="84" t="str">
        <f>IF(PROGRAMA_DETALLE!A290="","","Tejido "&amp;PROGRAMA_DETALLE!A290&amp;" "&amp;PROGRAMA_DETALLE!B290)</f>
        <v/>
      </c>
      <c r="F490" s="95" t="str">
        <f>IF(PROGRAMA_DETALLE!M290=0,"",PROGRAMA_DETALLE!M290)</f>
        <v/>
      </c>
      <c r="G490" s="95">
        <f>IF(PROGRAMA_DETALLE!P290="PAGADO",PROGRAMA_DETALLE!M290,0)</f>
        <v>0</v>
      </c>
      <c r="H490" s="95">
        <f>IF(OR(PROGRAMA_DETALLE!P290="PENDIENTE",PROGRAMA_DETALLE!P290="PARCIAL"),PROGRAMA_DETALLE!M290,0)</f>
        <v>0</v>
      </c>
      <c r="I490" s="94" t="str">
        <f>IF(PROGRAMA_DETALLE!P290="","",PROGRAMA_DETALLE!P290)</f>
        <v/>
      </c>
    </row>
    <row r="491" ht="15.75" customHeight="1">
      <c r="A491" s="87" t="s">
        <v>229</v>
      </c>
      <c r="B491" s="93" t="str">
        <f>IFERROR(VLOOKUP(PROGRAMA_DETALLE!A291,PROGRAMAS!$A$4:$B$103,2,FALSE()),"")</f>
        <v/>
      </c>
      <c r="C491" s="84" t="str">
        <f>IF(PROGRAMA_DETALLE!A291="","","Tejedora")</f>
        <v/>
      </c>
      <c r="D491" s="94" t="str">
        <f>IF(PROGRAMA_DETALLE!N291="","",PROGRAMA_DETALLE!N291)</f>
        <v/>
      </c>
      <c r="E491" s="84" t="str">
        <f>IF(PROGRAMA_DETALLE!A291="","","Tejido "&amp;PROGRAMA_DETALLE!A291&amp;" "&amp;PROGRAMA_DETALLE!B291)</f>
        <v/>
      </c>
      <c r="F491" s="95" t="str">
        <f>IF(PROGRAMA_DETALLE!M291=0,"",PROGRAMA_DETALLE!M291)</f>
        <v/>
      </c>
      <c r="G491" s="95">
        <f>IF(PROGRAMA_DETALLE!P291="PAGADO",PROGRAMA_DETALLE!M291,0)</f>
        <v>0</v>
      </c>
      <c r="H491" s="95">
        <f>IF(OR(PROGRAMA_DETALLE!P291="PENDIENTE",PROGRAMA_DETALLE!P291="PARCIAL"),PROGRAMA_DETALLE!M291,0)</f>
        <v>0</v>
      </c>
      <c r="I491" s="94" t="str">
        <f>IF(PROGRAMA_DETALLE!P291="","",PROGRAMA_DETALLE!P291)</f>
        <v/>
      </c>
    </row>
    <row r="492" ht="15.75" customHeight="1">
      <c r="A492" s="87" t="s">
        <v>229</v>
      </c>
      <c r="B492" s="93" t="str">
        <f>IFERROR(VLOOKUP(PROGRAMA_DETALLE!A292,PROGRAMAS!$A$4:$B$103,2,FALSE()),"")</f>
        <v/>
      </c>
      <c r="C492" s="84" t="str">
        <f>IF(PROGRAMA_DETALLE!A292="","","Tejedora")</f>
        <v/>
      </c>
      <c r="D492" s="94" t="str">
        <f>IF(PROGRAMA_DETALLE!N292="","",PROGRAMA_DETALLE!N292)</f>
        <v/>
      </c>
      <c r="E492" s="84" t="str">
        <f>IF(PROGRAMA_DETALLE!A292="","","Tejido "&amp;PROGRAMA_DETALLE!A292&amp;" "&amp;PROGRAMA_DETALLE!B292)</f>
        <v/>
      </c>
      <c r="F492" s="95" t="str">
        <f>IF(PROGRAMA_DETALLE!M292=0,"",PROGRAMA_DETALLE!M292)</f>
        <v/>
      </c>
      <c r="G492" s="95">
        <f>IF(PROGRAMA_DETALLE!P292="PAGADO",PROGRAMA_DETALLE!M292,0)</f>
        <v>0</v>
      </c>
      <c r="H492" s="95">
        <f>IF(OR(PROGRAMA_DETALLE!P292="PENDIENTE",PROGRAMA_DETALLE!P292="PARCIAL"),PROGRAMA_DETALLE!M292,0)</f>
        <v>0</v>
      </c>
      <c r="I492" s="94" t="str">
        <f>IF(PROGRAMA_DETALLE!P292="","",PROGRAMA_DETALLE!P292)</f>
        <v/>
      </c>
    </row>
    <row r="493" ht="15.75" customHeight="1">
      <c r="A493" s="87" t="s">
        <v>229</v>
      </c>
      <c r="B493" s="93" t="str">
        <f>IFERROR(VLOOKUP(PROGRAMA_DETALLE!A293,PROGRAMAS!$A$4:$B$103,2,FALSE()),"")</f>
        <v/>
      </c>
      <c r="C493" s="84" t="str">
        <f>IF(PROGRAMA_DETALLE!A293="","","Tejedora")</f>
        <v/>
      </c>
      <c r="D493" s="94" t="str">
        <f>IF(PROGRAMA_DETALLE!N293="","",PROGRAMA_DETALLE!N293)</f>
        <v/>
      </c>
      <c r="E493" s="84" t="str">
        <f>IF(PROGRAMA_DETALLE!A293="","","Tejido "&amp;PROGRAMA_DETALLE!A293&amp;" "&amp;PROGRAMA_DETALLE!B293)</f>
        <v/>
      </c>
      <c r="F493" s="95" t="str">
        <f>IF(PROGRAMA_DETALLE!M293=0,"",PROGRAMA_DETALLE!M293)</f>
        <v/>
      </c>
      <c r="G493" s="95">
        <f>IF(PROGRAMA_DETALLE!P293="PAGADO",PROGRAMA_DETALLE!M293,0)</f>
        <v>0</v>
      </c>
      <c r="H493" s="95">
        <f>IF(OR(PROGRAMA_DETALLE!P293="PENDIENTE",PROGRAMA_DETALLE!P293="PARCIAL"),PROGRAMA_DETALLE!M293,0)</f>
        <v>0</v>
      </c>
      <c r="I493" s="94" t="str">
        <f>IF(PROGRAMA_DETALLE!P293="","",PROGRAMA_DETALLE!P293)</f>
        <v/>
      </c>
    </row>
    <row r="494" ht="15.75" customHeight="1">
      <c r="A494" s="87" t="s">
        <v>229</v>
      </c>
      <c r="B494" s="93" t="str">
        <f>IFERROR(VLOOKUP(PROGRAMA_DETALLE!A294,PROGRAMAS!$A$4:$B$103,2,FALSE()),"")</f>
        <v/>
      </c>
      <c r="C494" s="84" t="str">
        <f>IF(PROGRAMA_DETALLE!A294="","","Tejedora")</f>
        <v/>
      </c>
      <c r="D494" s="94" t="str">
        <f>IF(PROGRAMA_DETALLE!N294="","",PROGRAMA_DETALLE!N294)</f>
        <v/>
      </c>
      <c r="E494" s="84" t="str">
        <f>IF(PROGRAMA_DETALLE!A294="","","Tejido "&amp;PROGRAMA_DETALLE!A294&amp;" "&amp;PROGRAMA_DETALLE!B294)</f>
        <v/>
      </c>
      <c r="F494" s="95" t="str">
        <f>IF(PROGRAMA_DETALLE!M294=0,"",PROGRAMA_DETALLE!M294)</f>
        <v/>
      </c>
      <c r="G494" s="95">
        <f>IF(PROGRAMA_DETALLE!P294="PAGADO",PROGRAMA_DETALLE!M294,0)</f>
        <v>0</v>
      </c>
      <c r="H494" s="95">
        <f>IF(OR(PROGRAMA_DETALLE!P294="PENDIENTE",PROGRAMA_DETALLE!P294="PARCIAL"),PROGRAMA_DETALLE!M294,0)</f>
        <v>0</v>
      </c>
      <c r="I494" s="94" t="str">
        <f>IF(PROGRAMA_DETALLE!P294="","",PROGRAMA_DETALLE!P294)</f>
        <v/>
      </c>
    </row>
    <row r="495" ht="15.75" customHeight="1">
      <c r="A495" s="87" t="s">
        <v>229</v>
      </c>
      <c r="B495" s="93" t="str">
        <f>IFERROR(VLOOKUP(PROGRAMA_DETALLE!A295,PROGRAMAS!$A$4:$B$103,2,FALSE()),"")</f>
        <v/>
      </c>
      <c r="C495" s="84" t="str">
        <f>IF(PROGRAMA_DETALLE!A295="","","Tejedora")</f>
        <v/>
      </c>
      <c r="D495" s="94" t="str">
        <f>IF(PROGRAMA_DETALLE!N295="","",PROGRAMA_DETALLE!N295)</f>
        <v/>
      </c>
      <c r="E495" s="84" t="str">
        <f>IF(PROGRAMA_DETALLE!A295="","","Tejido "&amp;PROGRAMA_DETALLE!A295&amp;" "&amp;PROGRAMA_DETALLE!B295)</f>
        <v/>
      </c>
      <c r="F495" s="95" t="str">
        <f>IF(PROGRAMA_DETALLE!M295=0,"",PROGRAMA_DETALLE!M295)</f>
        <v/>
      </c>
      <c r="G495" s="95">
        <f>IF(PROGRAMA_DETALLE!P295="PAGADO",PROGRAMA_DETALLE!M295,0)</f>
        <v>0</v>
      </c>
      <c r="H495" s="95">
        <f>IF(OR(PROGRAMA_DETALLE!P295="PENDIENTE",PROGRAMA_DETALLE!P295="PARCIAL"),PROGRAMA_DETALLE!M295,0)</f>
        <v>0</v>
      </c>
      <c r="I495" s="94" t="str">
        <f>IF(PROGRAMA_DETALLE!P295="","",PROGRAMA_DETALLE!P295)</f>
        <v/>
      </c>
    </row>
    <row r="496" ht="15.75" customHeight="1">
      <c r="A496" s="87" t="s">
        <v>229</v>
      </c>
      <c r="B496" s="93" t="str">
        <f>IFERROR(VLOOKUP(PROGRAMA_DETALLE!A296,PROGRAMAS!$A$4:$B$103,2,FALSE()),"")</f>
        <v/>
      </c>
      <c r="C496" s="84" t="str">
        <f>IF(PROGRAMA_DETALLE!A296="","","Tejedora")</f>
        <v/>
      </c>
      <c r="D496" s="94" t="str">
        <f>IF(PROGRAMA_DETALLE!N296="","",PROGRAMA_DETALLE!N296)</f>
        <v/>
      </c>
      <c r="E496" s="84" t="str">
        <f>IF(PROGRAMA_DETALLE!A296="","","Tejido "&amp;PROGRAMA_DETALLE!A296&amp;" "&amp;PROGRAMA_DETALLE!B296)</f>
        <v/>
      </c>
      <c r="F496" s="95" t="str">
        <f>IF(PROGRAMA_DETALLE!M296=0,"",PROGRAMA_DETALLE!M296)</f>
        <v/>
      </c>
      <c r="G496" s="95">
        <f>IF(PROGRAMA_DETALLE!P296="PAGADO",PROGRAMA_DETALLE!M296,0)</f>
        <v>0</v>
      </c>
      <c r="H496" s="95">
        <f>IF(OR(PROGRAMA_DETALLE!P296="PENDIENTE",PROGRAMA_DETALLE!P296="PARCIAL"),PROGRAMA_DETALLE!M296,0)</f>
        <v>0</v>
      </c>
      <c r="I496" s="94" t="str">
        <f>IF(PROGRAMA_DETALLE!P296="","",PROGRAMA_DETALLE!P296)</f>
        <v/>
      </c>
    </row>
    <row r="497" ht="15.75" customHeight="1">
      <c r="A497" s="87" t="s">
        <v>229</v>
      </c>
      <c r="B497" s="93" t="str">
        <f>IFERROR(VLOOKUP(PROGRAMA_DETALLE!A297,PROGRAMAS!$A$4:$B$103,2,FALSE()),"")</f>
        <v/>
      </c>
      <c r="C497" s="84" t="str">
        <f>IF(PROGRAMA_DETALLE!A297="","","Tejedora")</f>
        <v/>
      </c>
      <c r="D497" s="94" t="str">
        <f>IF(PROGRAMA_DETALLE!N297="","",PROGRAMA_DETALLE!N297)</f>
        <v/>
      </c>
      <c r="E497" s="84" t="str">
        <f>IF(PROGRAMA_DETALLE!A297="","","Tejido "&amp;PROGRAMA_DETALLE!A297&amp;" "&amp;PROGRAMA_DETALLE!B297)</f>
        <v/>
      </c>
      <c r="F497" s="95" t="str">
        <f>IF(PROGRAMA_DETALLE!M297=0,"",PROGRAMA_DETALLE!M297)</f>
        <v/>
      </c>
      <c r="G497" s="95">
        <f>IF(PROGRAMA_DETALLE!P297="PAGADO",PROGRAMA_DETALLE!M297,0)</f>
        <v>0</v>
      </c>
      <c r="H497" s="95">
        <f>IF(OR(PROGRAMA_DETALLE!P297="PENDIENTE",PROGRAMA_DETALLE!P297="PARCIAL"),PROGRAMA_DETALLE!M297,0)</f>
        <v>0</v>
      </c>
      <c r="I497" s="94" t="str">
        <f>IF(PROGRAMA_DETALLE!P297="","",PROGRAMA_DETALLE!P297)</f>
        <v/>
      </c>
    </row>
    <row r="498" ht="15.75" customHeight="1">
      <c r="A498" s="87" t="s">
        <v>229</v>
      </c>
      <c r="B498" s="93" t="str">
        <f>IFERROR(VLOOKUP(PROGRAMA_DETALLE!A298,PROGRAMAS!$A$4:$B$103,2,FALSE()),"")</f>
        <v/>
      </c>
      <c r="C498" s="84" t="str">
        <f>IF(PROGRAMA_DETALLE!A298="","","Tejedora")</f>
        <v/>
      </c>
      <c r="D498" s="94" t="str">
        <f>IF(PROGRAMA_DETALLE!N298="","",PROGRAMA_DETALLE!N298)</f>
        <v/>
      </c>
      <c r="E498" s="84" t="str">
        <f>IF(PROGRAMA_DETALLE!A298="","","Tejido "&amp;PROGRAMA_DETALLE!A298&amp;" "&amp;PROGRAMA_DETALLE!B298)</f>
        <v/>
      </c>
      <c r="F498" s="95" t="str">
        <f>IF(PROGRAMA_DETALLE!M298=0,"",PROGRAMA_DETALLE!M298)</f>
        <v/>
      </c>
      <c r="G498" s="95">
        <f>IF(PROGRAMA_DETALLE!P298="PAGADO",PROGRAMA_DETALLE!M298,0)</f>
        <v>0</v>
      </c>
      <c r="H498" s="95">
        <f>IF(OR(PROGRAMA_DETALLE!P298="PENDIENTE",PROGRAMA_DETALLE!P298="PARCIAL"),PROGRAMA_DETALLE!M298,0)</f>
        <v>0</v>
      </c>
      <c r="I498" s="94" t="str">
        <f>IF(PROGRAMA_DETALLE!P298="","",PROGRAMA_DETALLE!P298)</f>
        <v/>
      </c>
    </row>
    <row r="499" ht="15.75" customHeight="1">
      <c r="A499" s="87" t="s">
        <v>229</v>
      </c>
      <c r="B499" s="93" t="str">
        <f>IFERROR(VLOOKUP(PROGRAMA_DETALLE!A299,PROGRAMAS!$A$4:$B$103,2,FALSE()),"")</f>
        <v/>
      </c>
      <c r="C499" s="84" t="str">
        <f>IF(PROGRAMA_DETALLE!A299="","","Tejedora")</f>
        <v/>
      </c>
      <c r="D499" s="94" t="str">
        <f>IF(PROGRAMA_DETALLE!N299="","",PROGRAMA_DETALLE!N299)</f>
        <v/>
      </c>
      <c r="E499" s="84" t="str">
        <f>IF(PROGRAMA_DETALLE!A299="","","Tejido "&amp;PROGRAMA_DETALLE!A299&amp;" "&amp;PROGRAMA_DETALLE!B299)</f>
        <v/>
      </c>
      <c r="F499" s="95" t="str">
        <f>IF(PROGRAMA_DETALLE!M299=0,"",PROGRAMA_DETALLE!M299)</f>
        <v/>
      </c>
      <c r="G499" s="95">
        <f>IF(PROGRAMA_DETALLE!P299="PAGADO",PROGRAMA_DETALLE!M299,0)</f>
        <v>0</v>
      </c>
      <c r="H499" s="95">
        <f>IF(OR(PROGRAMA_DETALLE!P299="PENDIENTE",PROGRAMA_DETALLE!P299="PARCIAL"),PROGRAMA_DETALLE!M299,0)</f>
        <v>0</v>
      </c>
      <c r="I499" s="94" t="str">
        <f>IF(PROGRAMA_DETALLE!P299="","",PROGRAMA_DETALLE!P299)</f>
        <v/>
      </c>
    </row>
    <row r="500" ht="15.75" customHeight="1">
      <c r="A500" s="87" t="s">
        <v>229</v>
      </c>
      <c r="B500" s="93" t="str">
        <f>IFERROR(VLOOKUP(PROGRAMA_DETALLE!A300,PROGRAMAS!$A$4:$B$103,2,FALSE()),"")</f>
        <v/>
      </c>
      <c r="C500" s="84" t="str">
        <f>IF(PROGRAMA_DETALLE!A300="","","Tejedora")</f>
        <v/>
      </c>
      <c r="D500" s="94" t="str">
        <f>IF(PROGRAMA_DETALLE!N300="","",PROGRAMA_DETALLE!N300)</f>
        <v/>
      </c>
      <c r="E500" s="84" t="str">
        <f>IF(PROGRAMA_DETALLE!A300="","","Tejido "&amp;PROGRAMA_DETALLE!A300&amp;" "&amp;PROGRAMA_DETALLE!B300)</f>
        <v/>
      </c>
      <c r="F500" s="95" t="str">
        <f>IF(PROGRAMA_DETALLE!M300=0,"",PROGRAMA_DETALLE!M300)</f>
        <v/>
      </c>
      <c r="G500" s="95">
        <f>IF(PROGRAMA_DETALLE!P300="PAGADO",PROGRAMA_DETALLE!M300,0)</f>
        <v>0</v>
      </c>
      <c r="H500" s="95">
        <f>IF(OR(PROGRAMA_DETALLE!P300="PENDIENTE",PROGRAMA_DETALLE!P300="PARCIAL"),PROGRAMA_DETALLE!M300,0)</f>
        <v>0</v>
      </c>
      <c r="I500" s="94" t="str">
        <f>IF(PROGRAMA_DETALLE!P300="","",PROGRAMA_DETALLE!P300)</f>
        <v/>
      </c>
    </row>
    <row r="501" ht="15.75" customHeight="1">
      <c r="A501" s="87" t="s">
        <v>229</v>
      </c>
      <c r="B501" s="93" t="str">
        <f>IFERROR(VLOOKUP(PROGRAMA_DETALLE!A301,PROGRAMAS!$A$4:$B$103,2,FALSE()),"")</f>
        <v/>
      </c>
      <c r="C501" s="84" t="str">
        <f>IF(PROGRAMA_DETALLE!A301="","","Tejedora")</f>
        <v/>
      </c>
      <c r="D501" s="94" t="str">
        <f>IF(PROGRAMA_DETALLE!N301="","",PROGRAMA_DETALLE!N301)</f>
        <v/>
      </c>
      <c r="E501" s="84" t="str">
        <f>IF(PROGRAMA_DETALLE!A301="","","Tejido "&amp;PROGRAMA_DETALLE!A301&amp;" "&amp;PROGRAMA_DETALLE!B301)</f>
        <v/>
      </c>
      <c r="F501" s="95" t="str">
        <f>IF(PROGRAMA_DETALLE!M301=0,"",PROGRAMA_DETALLE!M301)</f>
        <v/>
      </c>
      <c r="G501" s="95">
        <f>IF(PROGRAMA_DETALLE!P301="PAGADO",PROGRAMA_DETALLE!M301,0)</f>
        <v>0</v>
      </c>
      <c r="H501" s="95">
        <f>IF(OR(PROGRAMA_DETALLE!P301="PENDIENTE",PROGRAMA_DETALLE!P301="PARCIAL"),PROGRAMA_DETALLE!M301,0)</f>
        <v>0</v>
      </c>
      <c r="I501" s="94" t="str">
        <f>IF(PROGRAMA_DETALLE!P301="","",PROGRAMA_DETALLE!P301)</f>
        <v/>
      </c>
    </row>
    <row r="502" ht="15.75" customHeight="1">
      <c r="A502" s="87" t="s">
        <v>229</v>
      </c>
      <c r="B502" s="93" t="str">
        <f>IFERROR(VLOOKUP(PROGRAMA_DETALLE!A302,PROGRAMAS!$A$4:$B$103,2,FALSE()),"")</f>
        <v/>
      </c>
      <c r="C502" s="84" t="str">
        <f>IF(PROGRAMA_DETALLE!A302="","","Tejedora")</f>
        <v/>
      </c>
      <c r="D502" s="94" t="str">
        <f>IF(PROGRAMA_DETALLE!N302="","",PROGRAMA_DETALLE!N302)</f>
        <v/>
      </c>
      <c r="E502" s="84" t="str">
        <f>IF(PROGRAMA_DETALLE!A302="","","Tejido "&amp;PROGRAMA_DETALLE!A302&amp;" "&amp;PROGRAMA_DETALLE!B302)</f>
        <v/>
      </c>
      <c r="F502" s="95" t="str">
        <f>IF(PROGRAMA_DETALLE!M302=0,"",PROGRAMA_DETALLE!M302)</f>
        <v/>
      </c>
      <c r="G502" s="95">
        <f>IF(PROGRAMA_DETALLE!P302="PAGADO",PROGRAMA_DETALLE!M302,0)</f>
        <v>0</v>
      </c>
      <c r="H502" s="95">
        <f>IF(OR(PROGRAMA_DETALLE!P302="PENDIENTE",PROGRAMA_DETALLE!P302="PARCIAL"),PROGRAMA_DETALLE!M302,0)</f>
        <v>0</v>
      </c>
      <c r="I502" s="94" t="str">
        <f>IF(PROGRAMA_DETALLE!P302="","",PROGRAMA_DETALLE!P302)</f>
        <v/>
      </c>
    </row>
    <row r="503" ht="15.75" customHeight="1">
      <c r="A503" s="87" t="s">
        <v>229</v>
      </c>
      <c r="B503" s="93" t="str">
        <f>IFERROR(VLOOKUP(PROGRAMA_DETALLE!A303,PROGRAMAS!$A$4:$B$103,2,FALSE()),"")</f>
        <v/>
      </c>
      <c r="C503" s="84" t="str">
        <f>IF(PROGRAMA_DETALLE!A303="","","Tejedora")</f>
        <v/>
      </c>
      <c r="D503" s="94" t="str">
        <f>IF(PROGRAMA_DETALLE!N303="","",PROGRAMA_DETALLE!N303)</f>
        <v/>
      </c>
      <c r="E503" s="84" t="str">
        <f>IF(PROGRAMA_DETALLE!A303="","","Tejido "&amp;PROGRAMA_DETALLE!A303&amp;" "&amp;PROGRAMA_DETALLE!B303)</f>
        <v/>
      </c>
      <c r="F503" s="95" t="str">
        <f>IF(PROGRAMA_DETALLE!M303=0,"",PROGRAMA_DETALLE!M303)</f>
        <v/>
      </c>
      <c r="G503" s="95">
        <f>IF(PROGRAMA_DETALLE!P303="PAGADO",PROGRAMA_DETALLE!M303,0)</f>
        <v>0</v>
      </c>
      <c r="H503" s="95">
        <f>IF(OR(PROGRAMA_DETALLE!P303="PENDIENTE",PROGRAMA_DETALLE!P303="PARCIAL"),PROGRAMA_DETALLE!M303,0)</f>
        <v>0</v>
      </c>
      <c r="I503" s="94" t="str">
        <f>IF(PROGRAMA_DETALLE!P303="","",PROGRAMA_DETALLE!P303)</f>
        <v/>
      </c>
    </row>
    <row r="504" ht="15.75" customHeight="1">
      <c r="A504" s="87" t="s">
        <v>229</v>
      </c>
      <c r="B504" s="93" t="str">
        <f>IFERROR(VLOOKUP(PROGRAMA_DETALLE!A304,PROGRAMAS!$A$4:$B$103,2,FALSE()),"")</f>
        <v/>
      </c>
      <c r="C504" s="84" t="str">
        <f>IF(PROGRAMA_DETALLE!A304="","","Tejedora")</f>
        <v/>
      </c>
      <c r="D504" s="94" t="str">
        <f>IF(PROGRAMA_DETALLE!N304="","",PROGRAMA_DETALLE!N304)</f>
        <v/>
      </c>
      <c r="E504" s="84" t="str">
        <f>IF(PROGRAMA_DETALLE!A304="","","Tejido "&amp;PROGRAMA_DETALLE!A304&amp;" "&amp;PROGRAMA_DETALLE!B304)</f>
        <v/>
      </c>
      <c r="F504" s="95" t="str">
        <f>IF(PROGRAMA_DETALLE!M304=0,"",PROGRAMA_DETALLE!M304)</f>
        <v/>
      </c>
      <c r="G504" s="95">
        <f>IF(PROGRAMA_DETALLE!P304="PAGADO",PROGRAMA_DETALLE!M304,0)</f>
        <v>0</v>
      </c>
      <c r="H504" s="95">
        <f>IF(OR(PROGRAMA_DETALLE!P304="PENDIENTE",PROGRAMA_DETALLE!P304="PARCIAL"),PROGRAMA_DETALLE!M304,0)</f>
        <v>0</v>
      </c>
      <c r="I504" s="94" t="str">
        <f>IF(PROGRAMA_DETALLE!P304="","",PROGRAMA_DETALLE!P304)</f>
        <v/>
      </c>
    </row>
    <row r="505" ht="15.75" customHeight="1">
      <c r="A505" s="87" t="s">
        <v>229</v>
      </c>
      <c r="B505" s="93" t="str">
        <f>IFERROR(VLOOKUP(PROGRAMA_DETALLE!A305,PROGRAMAS!$A$4:$B$103,2,FALSE()),"")</f>
        <v/>
      </c>
      <c r="C505" s="84" t="str">
        <f>IF(PROGRAMA_DETALLE!A305="","","Tejedora")</f>
        <v/>
      </c>
      <c r="D505" s="94" t="str">
        <f>IF(PROGRAMA_DETALLE!N305="","",PROGRAMA_DETALLE!N305)</f>
        <v/>
      </c>
      <c r="E505" s="84" t="str">
        <f>IF(PROGRAMA_DETALLE!A305="","","Tejido "&amp;PROGRAMA_DETALLE!A305&amp;" "&amp;PROGRAMA_DETALLE!B305)</f>
        <v/>
      </c>
      <c r="F505" s="95" t="str">
        <f>IF(PROGRAMA_DETALLE!M305=0,"",PROGRAMA_DETALLE!M305)</f>
        <v/>
      </c>
      <c r="G505" s="95">
        <f>IF(PROGRAMA_DETALLE!P305="PAGADO",PROGRAMA_DETALLE!M305,0)</f>
        <v>0</v>
      </c>
      <c r="H505" s="95">
        <f>IF(OR(PROGRAMA_DETALLE!P305="PENDIENTE",PROGRAMA_DETALLE!P305="PARCIAL"),PROGRAMA_DETALLE!M305,0)</f>
        <v>0</v>
      </c>
      <c r="I505" s="94" t="str">
        <f>IF(PROGRAMA_DETALLE!P305="","",PROGRAMA_DETALLE!P305)</f>
        <v/>
      </c>
    </row>
    <row r="506" ht="15.75" customHeight="1">
      <c r="A506" s="87" t="s">
        <v>229</v>
      </c>
      <c r="B506" s="93" t="str">
        <f>IFERROR(VLOOKUP(PROGRAMA_DETALLE!A306,PROGRAMAS!$A$4:$B$103,2,FALSE()),"")</f>
        <v/>
      </c>
      <c r="C506" s="84" t="str">
        <f>IF(PROGRAMA_DETALLE!A306="","","Tejedora")</f>
        <v/>
      </c>
      <c r="D506" s="94" t="str">
        <f>IF(PROGRAMA_DETALLE!N306="","",PROGRAMA_DETALLE!N306)</f>
        <v/>
      </c>
      <c r="E506" s="84" t="str">
        <f>IF(PROGRAMA_DETALLE!A306="","","Tejido "&amp;PROGRAMA_DETALLE!A306&amp;" "&amp;PROGRAMA_DETALLE!B306)</f>
        <v/>
      </c>
      <c r="F506" s="95" t="str">
        <f>IF(PROGRAMA_DETALLE!M306=0,"",PROGRAMA_DETALLE!M306)</f>
        <v/>
      </c>
      <c r="G506" s="95">
        <f>IF(PROGRAMA_DETALLE!P306="PAGADO",PROGRAMA_DETALLE!M306,0)</f>
        <v>0</v>
      </c>
      <c r="H506" s="95">
        <f>IF(OR(PROGRAMA_DETALLE!P306="PENDIENTE",PROGRAMA_DETALLE!P306="PARCIAL"),PROGRAMA_DETALLE!M306,0)</f>
        <v>0</v>
      </c>
      <c r="I506" s="94" t="str">
        <f>IF(PROGRAMA_DETALLE!P306="","",PROGRAMA_DETALLE!P306)</f>
        <v/>
      </c>
    </row>
    <row r="507" ht="15.75" customHeight="1">
      <c r="A507" s="87" t="s">
        <v>229</v>
      </c>
      <c r="B507" s="93" t="str">
        <f>IFERROR(VLOOKUP(PROGRAMA_DETALLE!A307,PROGRAMAS!$A$4:$B$103,2,FALSE()),"")</f>
        <v/>
      </c>
      <c r="C507" s="84" t="str">
        <f>IF(PROGRAMA_DETALLE!A307="","","Tejedora")</f>
        <v/>
      </c>
      <c r="D507" s="94" t="str">
        <f>IF(PROGRAMA_DETALLE!N307="","",PROGRAMA_DETALLE!N307)</f>
        <v/>
      </c>
      <c r="E507" s="84" t="str">
        <f>IF(PROGRAMA_DETALLE!A307="","","Tejido "&amp;PROGRAMA_DETALLE!A307&amp;" "&amp;PROGRAMA_DETALLE!B307)</f>
        <v/>
      </c>
      <c r="F507" s="95" t="str">
        <f>IF(PROGRAMA_DETALLE!M307=0,"",PROGRAMA_DETALLE!M307)</f>
        <v/>
      </c>
      <c r="G507" s="95">
        <f>IF(PROGRAMA_DETALLE!P307="PAGADO",PROGRAMA_DETALLE!M307,0)</f>
        <v>0</v>
      </c>
      <c r="H507" s="95">
        <f>IF(OR(PROGRAMA_DETALLE!P307="PENDIENTE",PROGRAMA_DETALLE!P307="PARCIAL"),PROGRAMA_DETALLE!M307,0)</f>
        <v>0</v>
      </c>
      <c r="I507" s="94" t="str">
        <f>IF(PROGRAMA_DETALLE!P307="","",PROGRAMA_DETALLE!P307)</f>
        <v/>
      </c>
    </row>
    <row r="508" ht="15.75" customHeight="1">
      <c r="A508" s="87" t="s">
        <v>229</v>
      </c>
      <c r="B508" s="93" t="str">
        <f>IFERROR(VLOOKUP(PROGRAMA_DETALLE!A308,PROGRAMAS!$A$4:$B$103,2,FALSE()),"")</f>
        <v/>
      </c>
      <c r="C508" s="84" t="str">
        <f>IF(PROGRAMA_DETALLE!A308="","","Tejedora")</f>
        <v/>
      </c>
      <c r="D508" s="94" t="str">
        <f>IF(PROGRAMA_DETALLE!N308="","",PROGRAMA_DETALLE!N308)</f>
        <v/>
      </c>
      <c r="E508" s="84" t="str">
        <f>IF(PROGRAMA_DETALLE!A308="","","Tejido "&amp;PROGRAMA_DETALLE!A308&amp;" "&amp;PROGRAMA_DETALLE!B308)</f>
        <v/>
      </c>
      <c r="F508" s="95" t="str">
        <f>IF(PROGRAMA_DETALLE!M308=0,"",PROGRAMA_DETALLE!M308)</f>
        <v/>
      </c>
      <c r="G508" s="95">
        <f>IF(PROGRAMA_DETALLE!P308="PAGADO",PROGRAMA_DETALLE!M308,0)</f>
        <v>0</v>
      </c>
      <c r="H508" s="95">
        <f>IF(OR(PROGRAMA_DETALLE!P308="PENDIENTE",PROGRAMA_DETALLE!P308="PARCIAL"),PROGRAMA_DETALLE!M308,0)</f>
        <v>0</v>
      </c>
      <c r="I508" s="94" t="str">
        <f>IF(PROGRAMA_DETALLE!P308="","",PROGRAMA_DETALLE!P308)</f>
        <v/>
      </c>
    </row>
    <row r="509" ht="15.75" customHeight="1">
      <c r="A509" s="87" t="s">
        <v>229</v>
      </c>
      <c r="B509" s="93" t="str">
        <f>IFERROR(VLOOKUP(PROGRAMA_DETALLE!A309,PROGRAMAS!$A$4:$B$103,2,FALSE()),"")</f>
        <v/>
      </c>
      <c r="C509" s="84" t="str">
        <f>IF(PROGRAMA_DETALLE!A309="","","Tejedora")</f>
        <v/>
      </c>
      <c r="D509" s="94" t="str">
        <f>IF(PROGRAMA_DETALLE!N309="","",PROGRAMA_DETALLE!N309)</f>
        <v/>
      </c>
      <c r="E509" s="84" t="str">
        <f>IF(PROGRAMA_DETALLE!A309="","","Tejido "&amp;PROGRAMA_DETALLE!A309&amp;" "&amp;PROGRAMA_DETALLE!B309)</f>
        <v/>
      </c>
      <c r="F509" s="95" t="str">
        <f>IF(PROGRAMA_DETALLE!M309=0,"",PROGRAMA_DETALLE!M309)</f>
        <v/>
      </c>
      <c r="G509" s="95">
        <f>IF(PROGRAMA_DETALLE!P309="PAGADO",PROGRAMA_DETALLE!M309,0)</f>
        <v>0</v>
      </c>
      <c r="H509" s="95">
        <f>IF(OR(PROGRAMA_DETALLE!P309="PENDIENTE",PROGRAMA_DETALLE!P309="PARCIAL"),PROGRAMA_DETALLE!M309,0)</f>
        <v>0</v>
      </c>
      <c r="I509" s="94" t="str">
        <f>IF(PROGRAMA_DETALLE!P309="","",PROGRAMA_DETALLE!P309)</f>
        <v/>
      </c>
    </row>
    <row r="510" ht="15.75" customHeight="1">
      <c r="A510" s="87" t="s">
        <v>229</v>
      </c>
      <c r="B510" s="93" t="str">
        <f>IFERROR(VLOOKUP(PROGRAMA_DETALLE!A310,PROGRAMAS!$A$4:$B$103,2,FALSE()),"")</f>
        <v/>
      </c>
      <c r="C510" s="84" t="str">
        <f>IF(PROGRAMA_DETALLE!A310="","","Tejedora")</f>
        <v/>
      </c>
      <c r="D510" s="94" t="str">
        <f>IF(PROGRAMA_DETALLE!N310="","",PROGRAMA_DETALLE!N310)</f>
        <v/>
      </c>
      <c r="E510" s="84" t="str">
        <f>IF(PROGRAMA_DETALLE!A310="","","Tejido "&amp;PROGRAMA_DETALLE!A310&amp;" "&amp;PROGRAMA_DETALLE!B310)</f>
        <v/>
      </c>
      <c r="F510" s="95" t="str">
        <f>IF(PROGRAMA_DETALLE!M310=0,"",PROGRAMA_DETALLE!M310)</f>
        <v/>
      </c>
      <c r="G510" s="95">
        <f>IF(PROGRAMA_DETALLE!P310="PAGADO",PROGRAMA_DETALLE!M310,0)</f>
        <v>0</v>
      </c>
      <c r="H510" s="95">
        <f>IF(OR(PROGRAMA_DETALLE!P310="PENDIENTE",PROGRAMA_DETALLE!P310="PARCIAL"),PROGRAMA_DETALLE!M310,0)</f>
        <v>0</v>
      </c>
      <c r="I510" s="94" t="str">
        <f>IF(PROGRAMA_DETALLE!P310="","",PROGRAMA_DETALLE!P310)</f>
        <v/>
      </c>
    </row>
    <row r="511" ht="15.75" customHeight="1">
      <c r="A511" s="87" t="s">
        <v>229</v>
      </c>
      <c r="B511" s="93" t="str">
        <f>IFERROR(VLOOKUP(PROGRAMA_DETALLE!A311,PROGRAMAS!$A$4:$B$103,2,FALSE()),"")</f>
        <v/>
      </c>
      <c r="C511" s="84" t="str">
        <f>IF(PROGRAMA_DETALLE!A311="","","Tejedora")</f>
        <v/>
      </c>
      <c r="D511" s="94" t="str">
        <f>IF(PROGRAMA_DETALLE!N311="","",PROGRAMA_DETALLE!N311)</f>
        <v/>
      </c>
      <c r="E511" s="84" t="str">
        <f>IF(PROGRAMA_DETALLE!A311="","","Tejido "&amp;PROGRAMA_DETALLE!A311&amp;" "&amp;PROGRAMA_DETALLE!B311)</f>
        <v/>
      </c>
      <c r="F511" s="95" t="str">
        <f>IF(PROGRAMA_DETALLE!M311=0,"",PROGRAMA_DETALLE!M311)</f>
        <v/>
      </c>
      <c r="G511" s="95">
        <f>IF(PROGRAMA_DETALLE!P311="PAGADO",PROGRAMA_DETALLE!M311,0)</f>
        <v>0</v>
      </c>
      <c r="H511" s="95">
        <f>IF(OR(PROGRAMA_DETALLE!P311="PENDIENTE",PROGRAMA_DETALLE!P311="PARCIAL"),PROGRAMA_DETALLE!M311,0)</f>
        <v>0</v>
      </c>
      <c r="I511" s="94" t="str">
        <f>IF(PROGRAMA_DETALLE!P311="","",PROGRAMA_DETALLE!P311)</f>
        <v/>
      </c>
    </row>
    <row r="512" ht="15.75" customHeight="1">
      <c r="A512" s="87" t="s">
        <v>229</v>
      </c>
      <c r="B512" s="93" t="str">
        <f>IFERROR(VLOOKUP(PROGRAMA_DETALLE!A312,PROGRAMAS!$A$4:$B$103,2,FALSE()),"")</f>
        <v/>
      </c>
      <c r="C512" s="84" t="str">
        <f>IF(PROGRAMA_DETALLE!A312="","","Tejedora")</f>
        <v/>
      </c>
      <c r="D512" s="94" t="str">
        <f>IF(PROGRAMA_DETALLE!N312="","",PROGRAMA_DETALLE!N312)</f>
        <v/>
      </c>
      <c r="E512" s="84" t="str">
        <f>IF(PROGRAMA_DETALLE!A312="","","Tejido "&amp;PROGRAMA_DETALLE!A312&amp;" "&amp;PROGRAMA_DETALLE!B312)</f>
        <v/>
      </c>
      <c r="F512" s="95" t="str">
        <f>IF(PROGRAMA_DETALLE!M312=0,"",PROGRAMA_DETALLE!M312)</f>
        <v/>
      </c>
      <c r="G512" s="95">
        <f>IF(PROGRAMA_DETALLE!P312="PAGADO",PROGRAMA_DETALLE!M312,0)</f>
        <v>0</v>
      </c>
      <c r="H512" s="95">
        <f>IF(OR(PROGRAMA_DETALLE!P312="PENDIENTE",PROGRAMA_DETALLE!P312="PARCIAL"),PROGRAMA_DETALLE!M312,0)</f>
        <v>0</v>
      </c>
      <c r="I512" s="94" t="str">
        <f>IF(PROGRAMA_DETALLE!P312="","",PROGRAMA_DETALLE!P312)</f>
        <v/>
      </c>
    </row>
    <row r="513" ht="15.75" customHeight="1">
      <c r="A513" s="87" t="s">
        <v>229</v>
      </c>
      <c r="B513" s="93" t="str">
        <f>IFERROR(VLOOKUP(PROGRAMA_DETALLE!A313,PROGRAMAS!$A$4:$B$103,2,FALSE()),"")</f>
        <v/>
      </c>
      <c r="C513" s="84" t="str">
        <f>IF(PROGRAMA_DETALLE!A313="","","Tejedora")</f>
        <v/>
      </c>
      <c r="D513" s="94" t="str">
        <f>IF(PROGRAMA_DETALLE!N313="","",PROGRAMA_DETALLE!N313)</f>
        <v/>
      </c>
      <c r="E513" s="84" t="str">
        <f>IF(PROGRAMA_DETALLE!A313="","","Tejido "&amp;PROGRAMA_DETALLE!A313&amp;" "&amp;PROGRAMA_DETALLE!B313)</f>
        <v/>
      </c>
      <c r="F513" s="95" t="str">
        <f>IF(PROGRAMA_DETALLE!M313=0,"",PROGRAMA_DETALLE!M313)</f>
        <v/>
      </c>
      <c r="G513" s="95">
        <f>IF(PROGRAMA_DETALLE!P313="PAGADO",PROGRAMA_DETALLE!M313,0)</f>
        <v>0</v>
      </c>
      <c r="H513" s="95">
        <f>IF(OR(PROGRAMA_DETALLE!P313="PENDIENTE",PROGRAMA_DETALLE!P313="PARCIAL"),PROGRAMA_DETALLE!M313,0)</f>
        <v>0</v>
      </c>
      <c r="I513" s="94" t="str">
        <f>IF(PROGRAMA_DETALLE!P313="","",PROGRAMA_DETALLE!P313)</f>
        <v/>
      </c>
    </row>
    <row r="514" ht="15.75" customHeight="1">
      <c r="A514" s="87" t="s">
        <v>229</v>
      </c>
      <c r="B514" s="93" t="str">
        <f>IFERROR(VLOOKUP(PROGRAMA_DETALLE!A314,PROGRAMAS!$A$4:$B$103,2,FALSE()),"")</f>
        <v/>
      </c>
      <c r="C514" s="84" t="str">
        <f>IF(PROGRAMA_DETALLE!A314="","","Tejedora")</f>
        <v/>
      </c>
      <c r="D514" s="94" t="str">
        <f>IF(PROGRAMA_DETALLE!N314="","",PROGRAMA_DETALLE!N314)</f>
        <v/>
      </c>
      <c r="E514" s="84" t="str">
        <f>IF(PROGRAMA_DETALLE!A314="","","Tejido "&amp;PROGRAMA_DETALLE!A314&amp;" "&amp;PROGRAMA_DETALLE!B314)</f>
        <v/>
      </c>
      <c r="F514" s="95" t="str">
        <f>IF(PROGRAMA_DETALLE!M314=0,"",PROGRAMA_DETALLE!M314)</f>
        <v/>
      </c>
      <c r="G514" s="95">
        <f>IF(PROGRAMA_DETALLE!P314="PAGADO",PROGRAMA_DETALLE!M314,0)</f>
        <v>0</v>
      </c>
      <c r="H514" s="95">
        <f>IF(OR(PROGRAMA_DETALLE!P314="PENDIENTE",PROGRAMA_DETALLE!P314="PARCIAL"),PROGRAMA_DETALLE!M314,0)</f>
        <v>0</v>
      </c>
      <c r="I514" s="94" t="str">
        <f>IF(PROGRAMA_DETALLE!P314="","",PROGRAMA_DETALLE!P314)</f>
        <v/>
      </c>
    </row>
    <row r="515" ht="15.75" customHeight="1">
      <c r="A515" s="87" t="s">
        <v>229</v>
      </c>
      <c r="B515" s="93" t="str">
        <f>IFERROR(VLOOKUP(PROGRAMA_DETALLE!A315,PROGRAMAS!$A$4:$B$103,2,FALSE()),"")</f>
        <v/>
      </c>
      <c r="C515" s="84" t="str">
        <f>IF(PROGRAMA_DETALLE!A315="","","Tejedora")</f>
        <v/>
      </c>
      <c r="D515" s="94" t="str">
        <f>IF(PROGRAMA_DETALLE!N315="","",PROGRAMA_DETALLE!N315)</f>
        <v/>
      </c>
      <c r="E515" s="84" t="str">
        <f>IF(PROGRAMA_DETALLE!A315="","","Tejido "&amp;PROGRAMA_DETALLE!A315&amp;" "&amp;PROGRAMA_DETALLE!B315)</f>
        <v/>
      </c>
      <c r="F515" s="95" t="str">
        <f>IF(PROGRAMA_DETALLE!M315=0,"",PROGRAMA_DETALLE!M315)</f>
        <v/>
      </c>
      <c r="G515" s="95">
        <f>IF(PROGRAMA_DETALLE!P315="PAGADO",PROGRAMA_DETALLE!M315,0)</f>
        <v>0</v>
      </c>
      <c r="H515" s="95">
        <f>IF(OR(PROGRAMA_DETALLE!P315="PENDIENTE",PROGRAMA_DETALLE!P315="PARCIAL"),PROGRAMA_DETALLE!M315,0)</f>
        <v>0</v>
      </c>
      <c r="I515" s="94" t="str">
        <f>IF(PROGRAMA_DETALLE!P315="","",PROGRAMA_DETALLE!P315)</f>
        <v/>
      </c>
    </row>
    <row r="516" ht="15.75" customHeight="1">
      <c r="A516" s="87" t="s">
        <v>229</v>
      </c>
      <c r="B516" s="93" t="str">
        <f>IFERROR(VLOOKUP(PROGRAMA_DETALLE!A316,PROGRAMAS!$A$4:$B$103,2,FALSE()),"")</f>
        <v/>
      </c>
      <c r="C516" s="84" t="str">
        <f>IF(PROGRAMA_DETALLE!A316="","","Tejedora")</f>
        <v/>
      </c>
      <c r="D516" s="94" t="str">
        <f>IF(PROGRAMA_DETALLE!N316="","",PROGRAMA_DETALLE!N316)</f>
        <v/>
      </c>
      <c r="E516" s="84" t="str">
        <f>IF(PROGRAMA_DETALLE!A316="","","Tejido "&amp;PROGRAMA_DETALLE!A316&amp;" "&amp;PROGRAMA_DETALLE!B316)</f>
        <v/>
      </c>
      <c r="F516" s="95" t="str">
        <f>IF(PROGRAMA_DETALLE!M316=0,"",PROGRAMA_DETALLE!M316)</f>
        <v/>
      </c>
      <c r="G516" s="95">
        <f>IF(PROGRAMA_DETALLE!P316="PAGADO",PROGRAMA_DETALLE!M316,0)</f>
        <v>0</v>
      </c>
      <c r="H516" s="95">
        <f>IF(OR(PROGRAMA_DETALLE!P316="PENDIENTE",PROGRAMA_DETALLE!P316="PARCIAL"),PROGRAMA_DETALLE!M316,0)</f>
        <v>0</v>
      </c>
      <c r="I516" s="94" t="str">
        <f>IF(PROGRAMA_DETALLE!P316="","",PROGRAMA_DETALLE!P316)</f>
        <v/>
      </c>
    </row>
    <row r="517" ht="15.75" customHeight="1">
      <c r="A517" s="87" t="s">
        <v>229</v>
      </c>
      <c r="B517" s="93" t="str">
        <f>IFERROR(VLOOKUP(PROGRAMA_DETALLE!A317,PROGRAMAS!$A$4:$B$103,2,FALSE()),"")</f>
        <v/>
      </c>
      <c r="C517" s="84" t="str">
        <f>IF(PROGRAMA_DETALLE!A317="","","Tejedora")</f>
        <v/>
      </c>
      <c r="D517" s="94" t="str">
        <f>IF(PROGRAMA_DETALLE!N317="","",PROGRAMA_DETALLE!N317)</f>
        <v/>
      </c>
      <c r="E517" s="84" t="str">
        <f>IF(PROGRAMA_DETALLE!A317="","","Tejido "&amp;PROGRAMA_DETALLE!A317&amp;" "&amp;PROGRAMA_DETALLE!B317)</f>
        <v/>
      </c>
      <c r="F517" s="95" t="str">
        <f>IF(PROGRAMA_DETALLE!M317=0,"",PROGRAMA_DETALLE!M317)</f>
        <v/>
      </c>
      <c r="G517" s="95">
        <f>IF(PROGRAMA_DETALLE!P317="PAGADO",PROGRAMA_DETALLE!M317,0)</f>
        <v>0</v>
      </c>
      <c r="H517" s="95">
        <f>IF(OR(PROGRAMA_DETALLE!P317="PENDIENTE",PROGRAMA_DETALLE!P317="PARCIAL"),PROGRAMA_DETALLE!M317,0)</f>
        <v>0</v>
      </c>
      <c r="I517" s="94" t="str">
        <f>IF(PROGRAMA_DETALLE!P317="","",PROGRAMA_DETALLE!P317)</f>
        <v/>
      </c>
    </row>
    <row r="518" ht="15.75" customHeight="1">
      <c r="A518" s="87" t="s">
        <v>229</v>
      </c>
      <c r="B518" s="93" t="str">
        <f>IFERROR(VLOOKUP(PROGRAMA_DETALLE!A318,PROGRAMAS!$A$4:$B$103,2,FALSE()),"")</f>
        <v/>
      </c>
      <c r="C518" s="84" t="str">
        <f>IF(PROGRAMA_DETALLE!A318="","","Tejedora")</f>
        <v/>
      </c>
      <c r="D518" s="94" t="str">
        <f>IF(PROGRAMA_DETALLE!N318="","",PROGRAMA_DETALLE!N318)</f>
        <v/>
      </c>
      <c r="E518" s="84" t="str">
        <f>IF(PROGRAMA_DETALLE!A318="","","Tejido "&amp;PROGRAMA_DETALLE!A318&amp;" "&amp;PROGRAMA_DETALLE!B318)</f>
        <v/>
      </c>
      <c r="F518" s="95" t="str">
        <f>IF(PROGRAMA_DETALLE!M318=0,"",PROGRAMA_DETALLE!M318)</f>
        <v/>
      </c>
      <c r="G518" s="95">
        <f>IF(PROGRAMA_DETALLE!P318="PAGADO",PROGRAMA_DETALLE!M318,0)</f>
        <v>0</v>
      </c>
      <c r="H518" s="95">
        <f>IF(OR(PROGRAMA_DETALLE!P318="PENDIENTE",PROGRAMA_DETALLE!P318="PARCIAL"),PROGRAMA_DETALLE!M318,0)</f>
        <v>0</v>
      </c>
      <c r="I518" s="94" t="str">
        <f>IF(PROGRAMA_DETALLE!P318="","",PROGRAMA_DETALLE!P318)</f>
        <v/>
      </c>
    </row>
    <row r="519" ht="15.75" customHeight="1">
      <c r="A519" s="87" t="s">
        <v>229</v>
      </c>
      <c r="B519" s="93" t="str">
        <f>IFERROR(VLOOKUP(PROGRAMA_DETALLE!A319,PROGRAMAS!$A$4:$B$103,2,FALSE()),"")</f>
        <v/>
      </c>
      <c r="C519" s="84" t="str">
        <f>IF(PROGRAMA_DETALLE!A319="","","Tejedora")</f>
        <v/>
      </c>
      <c r="D519" s="94" t="str">
        <f>IF(PROGRAMA_DETALLE!N319="","",PROGRAMA_DETALLE!N319)</f>
        <v/>
      </c>
      <c r="E519" s="84" t="str">
        <f>IF(PROGRAMA_DETALLE!A319="","","Tejido "&amp;PROGRAMA_DETALLE!A319&amp;" "&amp;PROGRAMA_DETALLE!B319)</f>
        <v/>
      </c>
      <c r="F519" s="95" t="str">
        <f>IF(PROGRAMA_DETALLE!M319=0,"",PROGRAMA_DETALLE!M319)</f>
        <v/>
      </c>
      <c r="G519" s="95">
        <f>IF(PROGRAMA_DETALLE!P319="PAGADO",PROGRAMA_DETALLE!M319,0)</f>
        <v>0</v>
      </c>
      <c r="H519" s="95">
        <f>IF(OR(PROGRAMA_DETALLE!P319="PENDIENTE",PROGRAMA_DETALLE!P319="PARCIAL"),PROGRAMA_DETALLE!M319,0)</f>
        <v>0</v>
      </c>
      <c r="I519" s="94" t="str">
        <f>IF(PROGRAMA_DETALLE!P319="","",PROGRAMA_DETALLE!P319)</f>
        <v/>
      </c>
    </row>
    <row r="520" ht="15.75" customHeight="1">
      <c r="A520" s="87" t="s">
        <v>229</v>
      </c>
      <c r="B520" s="93" t="str">
        <f>IFERROR(VLOOKUP(PROGRAMA_DETALLE!A320,PROGRAMAS!$A$4:$B$103,2,FALSE()),"")</f>
        <v/>
      </c>
      <c r="C520" s="84" t="str">
        <f>IF(PROGRAMA_DETALLE!A320="","","Tejedora")</f>
        <v/>
      </c>
      <c r="D520" s="94" t="str">
        <f>IF(PROGRAMA_DETALLE!N320="","",PROGRAMA_DETALLE!N320)</f>
        <v/>
      </c>
      <c r="E520" s="84" t="str">
        <f>IF(PROGRAMA_DETALLE!A320="","","Tejido "&amp;PROGRAMA_DETALLE!A320&amp;" "&amp;PROGRAMA_DETALLE!B320)</f>
        <v/>
      </c>
      <c r="F520" s="95" t="str">
        <f>IF(PROGRAMA_DETALLE!M320=0,"",PROGRAMA_DETALLE!M320)</f>
        <v/>
      </c>
      <c r="G520" s="95">
        <f>IF(PROGRAMA_DETALLE!P320="PAGADO",PROGRAMA_DETALLE!M320,0)</f>
        <v>0</v>
      </c>
      <c r="H520" s="95">
        <f>IF(OR(PROGRAMA_DETALLE!P320="PENDIENTE",PROGRAMA_DETALLE!P320="PARCIAL"),PROGRAMA_DETALLE!M320,0)</f>
        <v>0</v>
      </c>
      <c r="I520" s="94" t="str">
        <f>IF(PROGRAMA_DETALLE!P320="","",PROGRAMA_DETALLE!P320)</f>
        <v/>
      </c>
    </row>
    <row r="521" ht="15.75" customHeight="1">
      <c r="A521" s="87" t="s">
        <v>229</v>
      </c>
      <c r="B521" s="93" t="str">
        <f>IFERROR(VLOOKUP(PROGRAMA_DETALLE!A321,PROGRAMAS!$A$4:$B$103,2,FALSE()),"")</f>
        <v/>
      </c>
      <c r="C521" s="84" t="str">
        <f>IF(PROGRAMA_DETALLE!A321="","","Tejedora")</f>
        <v/>
      </c>
      <c r="D521" s="94" t="str">
        <f>IF(PROGRAMA_DETALLE!N321="","",PROGRAMA_DETALLE!N321)</f>
        <v/>
      </c>
      <c r="E521" s="84" t="str">
        <f>IF(PROGRAMA_DETALLE!A321="","","Tejido "&amp;PROGRAMA_DETALLE!A321&amp;" "&amp;PROGRAMA_DETALLE!B321)</f>
        <v/>
      </c>
      <c r="F521" s="95" t="str">
        <f>IF(PROGRAMA_DETALLE!M321=0,"",PROGRAMA_DETALLE!M321)</f>
        <v/>
      </c>
      <c r="G521" s="95">
        <f>IF(PROGRAMA_DETALLE!P321="PAGADO",PROGRAMA_DETALLE!M321,0)</f>
        <v>0</v>
      </c>
      <c r="H521" s="95">
        <f>IF(OR(PROGRAMA_DETALLE!P321="PENDIENTE",PROGRAMA_DETALLE!P321="PARCIAL"),PROGRAMA_DETALLE!M321,0)</f>
        <v>0</v>
      </c>
      <c r="I521" s="94" t="str">
        <f>IF(PROGRAMA_DETALLE!P321="","",PROGRAMA_DETALLE!P321)</f>
        <v/>
      </c>
    </row>
    <row r="522" ht="15.75" customHeight="1">
      <c r="A522" s="87" t="s">
        <v>229</v>
      </c>
      <c r="B522" s="93" t="str">
        <f>IFERROR(VLOOKUP(PROGRAMA_DETALLE!A322,PROGRAMAS!$A$4:$B$103,2,FALSE()),"")</f>
        <v/>
      </c>
      <c r="C522" s="84" t="str">
        <f>IF(PROGRAMA_DETALLE!A322="","","Tejedora")</f>
        <v/>
      </c>
      <c r="D522" s="94" t="str">
        <f>IF(PROGRAMA_DETALLE!N322="","",PROGRAMA_DETALLE!N322)</f>
        <v/>
      </c>
      <c r="E522" s="84" t="str">
        <f>IF(PROGRAMA_DETALLE!A322="","","Tejido "&amp;PROGRAMA_DETALLE!A322&amp;" "&amp;PROGRAMA_DETALLE!B322)</f>
        <v/>
      </c>
      <c r="F522" s="95" t="str">
        <f>IF(PROGRAMA_DETALLE!M322=0,"",PROGRAMA_DETALLE!M322)</f>
        <v/>
      </c>
      <c r="G522" s="95">
        <f>IF(PROGRAMA_DETALLE!P322="PAGADO",PROGRAMA_DETALLE!M322,0)</f>
        <v>0</v>
      </c>
      <c r="H522" s="95">
        <f>IF(OR(PROGRAMA_DETALLE!P322="PENDIENTE",PROGRAMA_DETALLE!P322="PARCIAL"),PROGRAMA_DETALLE!M322,0)</f>
        <v>0</v>
      </c>
      <c r="I522" s="94" t="str">
        <f>IF(PROGRAMA_DETALLE!P322="","",PROGRAMA_DETALLE!P322)</f>
        <v/>
      </c>
    </row>
    <row r="523" ht="15.75" customHeight="1">
      <c r="A523" s="87" t="s">
        <v>229</v>
      </c>
      <c r="B523" s="93" t="str">
        <f>IFERROR(VLOOKUP(PROGRAMA_DETALLE!A323,PROGRAMAS!$A$4:$B$103,2,FALSE()),"")</f>
        <v/>
      </c>
      <c r="C523" s="84" t="str">
        <f>IF(PROGRAMA_DETALLE!A323="","","Tejedora")</f>
        <v/>
      </c>
      <c r="D523" s="94" t="str">
        <f>IF(PROGRAMA_DETALLE!N323="","",PROGRAMA_DETALLE!N323)</f>
        <v/>
      </c>
      <c r="E523" s="84" t="str">
        <f>IF(PROGRAMA_DETALLE!A323="","","Tejido "&amp;PROGRAMA_DETALLE!A323&amp;" "&amp;PROGRAMA_DETALLE!B323)</f>
        <v/>
      </c>
      <c r="F523" s="95" t="str">
        <f>IF(PROGRAMA_DETALLE!M323=0,"",PROGRAMA_DETALLE!M323)</f>
        <v/>
      </c>
      <c r="G523" s="95">
        <f>IF(PROGRAMA_DETALLE!P323="PAGADO",PROGRAMA_DETALLE!M323,0)</f>
        <v>0</v>
      </c>
      <c r="H523" s="95">
        <f>IF(OR(PROGRAMA_DETALLE!P323="PENDIENTE",PROGRAMA_DETALLE!P323="PARCIAL"),PROGRAMA_DETALLE!M323,0)</f>
        <v>0</v>
      </c>
      <c r="I523" s="94" t="str">
        <f>IF(PROGRAMA_DETALLE!P323="","",PROGRAMA_DETALLE!P323)</f>
        <v/>
      </c>
    </row>
    <row r="524" ht="15.75" customHeight="1">
      <c r="A524" s="87" t="s">
        <v>229</v>
      </c>
      <c r="B524" s="93" t="str">
        <f>IFERROR(VLOOKUP(PROGRAMA_DETALLE!A324,PROGRAMAS!$A$4:$B$103,2,FALSE()),"")</f>
        <v/>
      </c>
      <c r="C524" s="84" t="str">
        <f>IF(PROGRAMA_DETALLE!A324="","","Tejedora")</f>
        <v/>
      </c>
      <c r="D524" s="94" t="str">
        <f>IF(PROGRAMA_DETALLE!N324="","",PROGRAMA_DETALLE!N324)</f>
        <v/>
      </c>
      <c r="E524" s="84" t="str">
        <f>IF(PROGRAMA_DETALLE!A324="","","Tejido "&amp;PROGRAMA_DETALLE!A324&amp;" "&amp;PROGRAMA_DETALLE!B324)</f>
        <v/>
      </c>
      <c r="F524" s="95" t="str">
        <f>IF(PROGRAMA_DETALLE!M324=0,"",PROGRAMA_DETALLE!M324)</f>
        <v/>
      </c>
      <c r="G524" s="95">
        <f>IF(PROGRAMA_DETALLE!P324="PAGADO",PROGRAMA_DETALLE!M324,0)</f>
        <v>0</v>
      </c>
      <c r="H524" s="95">
        <f>IF(OR(PROGRAMA_DETALLE!P324="PENDIENTE",PROGRAMA_DETALLE!P324="PARCIAL"),PROGRAMA_DETALLE!M324,0)</f>
        <v>0</v>
      </c>
      <c r="I524" s="94" t="str">
        <f>IF(PROGRAMA_DETALLE!P324="","",PROGRAMA_DETALLE!P324)</f>
        <v/>
      </c>
    </row>
    <row r="525" ht="15.75" customHeight="1">
      <c r="A525" s="87" t="s">
        <v>229</v>
      </c>
      <c r="B525" s="93" t="str">
        <f>IFERROR(VLOOKUP(PROGRAMA_DETALLE!A325,PROGRAMAS!$A$4:$B$103,2,FALSE()),"")</f>
        <v/>
      </c>
      <c r="C525" s="84" t="str">
        <f>IF(PROGRAMA_DETALLE!A325="","","Tejedora")</f>
        <v/>
      </c>
      <c r="D525" s="94" t="str">
        <f>IF(PROGRAMA_DETALLE!N325="","",PROGRAMA_DETALLE!N325)</f>
        <v/>
      </c>
      <c r="E525" s="84" t="str">
        <f>IF(PROGRAMA_DETALLE!A325="","","Tejido "&amp;PROGRAMA_DETALLE!A325&amp;" "&amp;PROGRAMA_DETALLE!B325)</f>
        <v/>
      </c>
      <c r="F525" s="95" t="str">
        <f>IF(PROGRAMA_DETALLE!M325=0,"",PROGRAMA_DETALLE!M325)</f>
        <v/>
      </c>
      <c r="G525" s="95">
        <f>IF(PROGRAMA_DETALLE!P325="PAGADO",PROGRAMA_DETALLE!M325,0)</f>
        <v>0</v>
      </c>
      <c r="H525" s="95">
        <f>IF(OR(PROGRAMA_DETALLE!P325="PENDIENTE",PROGRAMA_DETALLE!P325="PARCIAL"),PROGRAMA_DETALLE!M325,0)</f>
        <v>0</v>
      </c>
      <c r="I525" s="94" t="str">
        <f>IF(PROGRAMA_DETALLE!P325="","",PROGRAMA_DETALLE!P325)</f>
        <v/>
      </c>
    </row>
    <row r="526" ht="15.75" customHeight="1">
      <c r="A526" s="87" t="s">
        <v>229</v>
      </c>
      <c r="B526" s="93" t="str">
        <f>IFERROR(VLOOKUP(PROGRAMA_DETALLE!A326,PROGRAMAS!$A$4:$B$103,2,FALSE()),"")</f>
        <v/>
      </c>
      <c r="C526" s="84" t="str">
        <f>IF(PROGRAMA_DETALLE!A326="","","Tejedora")</f>
        <v/>
      </c>
      <c r="D526" s="94" t="str">
        <f>IF(PROGRAMA_DETALLE!N326="","",PROGRAMA_DETALLE!N326)</f>
        <v/>
      </c>
      <c r="E526" s="84" t="str">
        <f>IF(PROGRAMA_DETALLE!A326="","","Tejido "&amp;PROGRAMA_DETALLE!A326&amp;" "&amp;PROGRAMA_DETALLE!B326)</f>
        <v/>
      </c>
      <c r="F526" s="95" t="str">
        <f>IF(PROGRAMA_DETALLE!M326=0,"",PROGRAMA_DETALLE!M326)</f>
        <v/>
      </c>
      <c r="G526" s="95">
        <f>IF(PROGRAMA_DETALLE!P326="PAGADO",PROGRAMA_DETALLE!M326,0)</f>
        <v>0</v>
      </c>
      <c r="H526" s="95">
        <f>IF(OR(PROGRAMA_DETALLE!P326="PENDIENTE",PROGRAMA_DETALLE!P326="PARCIAL"),PROGRAMA_DETALLE!M326,0)</f>
        <v>0</v>
      </c>
      <c r="I526" s="94" t="str">
        <f>IF(PROGRAMA_DETALLE!P326="","",PROGRAMA_DETALLE!P326)</f>
        <v/>
      </c>
    </row>
    <row r="527" ht="15.75" customHeight="1">
      <c r="A527" s="87" t="s">
        <v>229</v>
      </c>
      <c r="B527" s="93" t="str">
        <f>IFERROR(VLOOKUP(PROGRAMA_DETALLE!A327,PROGRAMAS!$A$4:$B$103,2,FALSE()),"")</f>
        <v/>
      </c>
      <c r="C527" s="84" t="str">
        <f>IF(PROGRAMA_DETALLE!A327="","","Tejedora")</f>
        <v/>
      </c>
      <c r="D527" s="94" t="str">
        <f>IF(PROGRAMA_DETALLE!N327="","",PROGRAMA_DETALLE!N327)</f>
        <v/>
      </c>
      <c r="E527" s="84" t="str">
        <f>IF(PROGRAMA_DETALLE!A327="","","Tejido "&amp;PROGRAMA_DETALLE!A327&amp;" "&amp;PROGRAMA_DETALLE!B327)</f>
        <v/>
      </c>
      <c r="F527" s="95" t="str">
        <f>IF(PROGRAMA_DETALLE!M327=0,"",PROGRAMA_DETALLE!M327)</f>
        <v/>
      </c>
      <c r="G527" s="95">
        <f>IF(PROGRAMA_DETALLE!P327="PAGADO",PROGRAMA_DETALLE!M327,0)</f>
        <v>0</v>
      </c>
      <c r="H527" s="95">
        <f>IF(OR(PROGRAMA_DETALLE!P327="PENDIENTE",PROGRAMA_DETALLE!P327="PARCIAL"),PROGRAMA_DETALLE!M327,0)</f>
        <v>0</v>
      </c>
      <c r="I527" s="94" t="str">
        <f>IF(PROGRAMA_DETALLE!P327="","",PROGRAMA_DETALLE!P327)</f>
        <v/>
      </c>
    </row>
    <row r="528" ht="15.75" customHeight="1">
      <c r="A528" s="87" t="s">
        <v>229</v>
      </c>
      <c r="B528" s="93" t="str">
        <f>IFERROR(VLOOKUP(PROGRAMA_DETALLE!A328,PROGRAMAS!$A$4:$B$103,2,FALSE()),"")</f>
        <v/>
      </c>
      <c r="C528" s="84" t="str">
        <f>IF(PROGRAMA_DETALLE!A328="","","Tejedora")</f>
        <v/>
      </c>
      <c r="D528" s="94" t="str">
        <f>IF(PROGRAMA_DETALLE!N328="","",PROGRAMA_DETALLE!N328)</f>
        <v/>
      </c>
      <c r="E528" s="84" t="str">
        <f>IF(PROGRAMA_DETALLE!A328="","","Tejido "&amp;PROGRAMA_DETALLE!A328&amp;" "&amp;PROGRAMA_DETALLE!B328)</f>
        <v/>
      </c>
      <c r="F528" s="95" t="str">
        <f>IF(PROGRAMA_DETALLE!M328=0,"",PROGRAMA_DETALLE!M328)</f>
        <v/>
      </c>
      <c r="G528" s="95">
        <f>IF(PROGRAMA_DETALLE!P328="PAGADO",PROGRAMA_DETALLE!M328,0)</f>
        <v>0</v>
      </c>
      <c r="H528" s="95">
        <f>IF(OR(PROGRAMA_DETALLE!P328="PENDIENTE",PROGRAMA_DETALLE!P328="PARCIAL"),PROGRAMA_DETALLE!M328,0)</f>
        <v>0</v>
      </c>
      <c r="I528" s="94" t="str">
        <f>IF(PROGRAMA_DETALLE!P328="","",PROGRAMA_DETALLE!P328)</f>
        <v/>
      </c>
    </row>
    <row r="529" ht="15.75" customHeight="1">
      <c r="A529" s="87" t="s">
        <v>229</v>
      </c>
      <c r="B529" s="93" t="str">
        <f>IFERROR(VLOOKUP(PROGRAMA_DETALLE!A329,PROGRAMAS!$A$4:$B$103,2,FALSE()),"")</f>
        <v/>
      </c>
      <c r="C529" s="84" t="str">
        <f>IF(PROGRAMA_DETALLE!A329="","","Tejedora")</f>
        <v/>
      </c>
      <c r="D529" s="94" t="str">
        <f>IF(PROGRAMA_DETALLE!N329="","",PROGRAMA_DETALLE!N329)</f>
        <v/>
      </c>
      <c r="E529" s="84" t="str">
        <f>IF(PROGRAMA_DETALLE!A329="","","Tejido "&amp;PROGRAMA_DETALLE!A329&amp;" "&amp;PROGRAMA_DETALLE!B329)</f>
        <v/>
      </c>
      <c r="F529" s="95" t="str">
        <f>IF(PROGRAMA_DETALLE!M329=0,"",PROGRAMA_DETALLE!M329)</f>
        <v/>
      </c>
      <c r="G529" s="95">
        <f>IF(PROGRAMA_DETALLE!P329="PAGADO",PROGRAMA_DETALLE!M329,0)</f>
        <v>0</v>
      </c>
      <c r="H529" s="95">
        <f>IF(OR(PROGRAMA_DETALLE!P329="PENDIENTE",PROGRAMA_DETALLE!P329="PARCIAL"),PROGRAMA_DETALLE!M329,0)</f>
        <v>0</v>
      </c>
      <c r="I529" s="94" t="str">
        <f>IF(PROGRAMA_DETALLE!P329="","",PROGRAMA_DETALLE!P329)</f>
        <v/>
      </c>
    </row>
    <row r="530" ht="15.75" customHeight="1">
      <c r="A530" s="87" t="s">
        <v>229</v>
      </c>
      <c r="B530" s="93" t="str">
        <f>IFERROR(VLOOKUP(PROGRAMA_DETALLE!A330,PROGRAMAS!$A$4:$B$103,2,FALSE()),"")</f>
        <v/>
      </c>
      <c r="C530" s="84" t="str">
        <f>IF(PROGRAMA_DETALLE!A330="","","Tejedora")</f>
        <v/>
      </c>
      <c r="D530" s="94" t="str">
        <f>IF(PROGRAMA_DETALLE!N330="","",PROGRAMA_DETALLE!N330)</f>
        <v/>
      </c>
      <c r="E530" s="84" t="str">
        <f>IF(PROGRAMA_DETALLE!A330="","","Tejido "&amp;PROGRAMA_DETALLE!A330&amp;" "&amp;PROGRAMA_DETALLE!B330)</f>
        <v/>
      </c>
      <c r="F530" s="95" t="str">
        <f>IF(PROGRAMA_DETALLE!M330=0,"",PROGRAMA_DETALLE!M330)</f>
        <v/>
      </c>
      <c r="G530" s="95">
        <f>IF(PROGRAMA_DETALLE!P330="PAGADO",PROGRAMA_DETALLE!M330,0)</f>
        <v>0</v>
      </c>
      <c r="H530" s="95">
        <f>IF(OR(PROGRAMA_DETALLE!P330="PENDIENTE",PROGRAMA_DETALLE!P330="PARCIAL"),PROGRAMA_DETALLE!M330,0)</f>
        <v>0</v>
      </c>
      <c r="I530" s="94" t="str">
        <f>IF(PROGRAMA_DETALLE!P330="","",PROGRAMA_DETALLE!P330)</f>
        <v/>
      </c>
    </row>
    <row r="531" ht="15.75" customHeight="1">
      <c r="A531" s="87" t="s">
        <v>229</v>
      </c>
      <c r="B531" s="93" t="str">
        <f>IFERROR(VLOOKUP(PROGRAMA_DETALLE!A331,PROGRAMAS!$A$4:$B$103,2,FALSE()),"")</f>
        <v/>
      </c>
      <c r="C531" s="84" t="str">
        <f>IF(PROGRAMA_DETALLE!A331="","","Tejedora")</f>
        <v/>
      </c>
      <c r="D531" s="94" t="str">
        <f>IF(PROGRAMA_DETALLE!N331="","",PROGRAMA_DETALLE!N331)</f>
        <v/>
      </c>
      <c r="E531" s="84" t="str">
        <f>IF(PROGRAMA_DETALLE!A331="","","Tejido "&amp;PROGRAMA_DETALLE!A331&amp;" "&amp;PROGRAMA_DETALLE!B331)</f>
        <v/>
      </c>
      <c r="F531" s="95" t="str">
        <f>IF(PROGRAMA_DETALLE!M331=0,"",PROGRAMA_DETALLE!M331)</f>
        <v/>
      </c>
      <c r="G531" s="95">
        <f>IF(PROGRAMA_DETALLE!P331="PAGADO",PROGRAMA_DETALLE!M331,0)</f>
        <v>0</v>
      </c>
      <c r="H531" s="95">
        <f>IF(OR(PROGRAMA_DETALLE!P331="PENDIENTE",PROGRAMA_DETALLE!P331="PARCIAL"),PROGRAMA_DETALLE!M331,0)</f>
        <v>0</v>
      </c>
      <c r="I531" s="94" t="str">
        <f>IF(PROGRAMA_DETALLE!P331="","",PROGRAMA_DETALLE!P331)</f>
        <v/>
      </c>
    </row>
    <row r="532" ht="15.75" customHeight="1">
      <c r="A532" s="87" t="s">
        <v>229</v>
      </c>
      <c r="B532" s="93" t="str">
        <f>IFERROR(VLOOKUP(PROGRAMA_DETALLE!A332,PROGRAMAS!$A$4:$B$103,2,FALSE()),"")</f>
        <v/>
      </c>
      <c r="C532" s="84" t="str">
        <f>IF(PROGRAMA_DETALLE!A332="","","Tejedora")</f>
        <v/>
      </c>
      <c r="D532" s="94" t="str">
        <f>IF(PROGRAMA_DETALLE!N332="","",PROGRAMA_DETALLE!N332)</f>
        <v/>
      </c>
      <c r="E532" s="84" t="str">
        <f>IF(PROGRAMA_DETALLE!A332="","","Tejido "&amp;PROGRAMA_DETALLE!A332&amp;" "&amp;PROGRAMA_DETALLE!B332)</f>
        <v/>
      </c>
      <c r="F532" s="95" t="str">
        <f>IF(PROGRAMA_DETALLE!M332=0,"",PROGRAMA_DETALLE!M332)</f>
        <v/>
      </c>
      <c r="G532" s="95">
        <f>IF(PROGRAMA_DETALLE!P332="PAGADO",PROGRAMA_DETALLE!M332,0)</f>
        <v>0</v>
      </c>
      <c r="H532" s="95">
        <f>IF(OR(PROGRAMA_DETALLE!P332="PENDIENTE",PROGRAMA_DETALLE!P332="PARCIAL"),PROGRAMA_DETALLE!M332,0)</f>
        <v>0</v>
      </c>
      <c r="I532" s="94" t="str">
        <f>IF(PROGRAMA_DETALLE!P332="","",PROGRAMA_DETALLE!P332)</f>
        <v/>
      </c>
    </row>
    <row r="533" ht="15.75" customHeight="1">
      <c r="A533" s="87" t="s">
        <v>229</v>
      </c>
      <c r="B533" s="93" t="str">
        <f>IFERROR(VLOOKUP(PROGRAMA_DETALLE!A333,PROGRAMAS!$A$4:$B$103,2,FALSE()),"")</f>
        <v/>
      </c>
      <c r="C533" s="84" t="str">
        <f>IF(PROGRAMA_DETALLE!A333="","","Tejedora")</f>
        <v/>
      </c>
      <c r="D533" s="94" t="str">
        <f>IF(PROGRAMA_DETALLE!N333="","",PROGRAMA_DETALLE!N333)</f>
        <v/>
      </c>
      <c r="E533" s="84" t="str">
        <f>IF(PROGRAMA_DETALLE!A333="","","Tejido "&amp;PROGRAMA_DETALLE!A333&amp;" "&amp;PROGRAMA_DETALLE!B333)</f>
        <v/>
      </c>
      <c r="F533" s="95" t="str">
        <f>IF(PROGRAMA_DETALLE!M333=0,"",PROGRAMA_DETALLE!M333)</f>
        <v/>
      </c>
      <c r="G533" s="95">
        <f>IF(PROGRAMA_DETALLE!P333="PAGADO",PROGRAMA_DETALLE!M333,0)</f>
        <v>0</v>
      </c>
      <c r="H533" s="95">
        <f>IF(OR(PROGRAMA_DETALLE!P333="PENDIENTE",PROGRAMA_DETALLE!P333="PARCIAL"),PROGRAMA_DETALLE!M333,0)</f>
        <v>0</v>
      </c>
      <c r="I533" s="94" t="str">
        <f>IF(PROGRAMA_DETALLE!P333="","",PROGRAMA_DETALLE!P333)</f>
        <v/>
      </c>
    </row>
    <row r="534" ht="15.75" customHeight="1">
      <c r="A534" s="87" t="s">
        <v>229</v>
      </c>
      <c r="B534" s="93" t="str">
        <f>IFERROR(VLOOKUP(PROGRAMA_DETALLE!A334,PROGRAMAS!$A$4:$B$103,2,FALSE()),"")</f>
        <v/>
      </c>
      <c r="C534" s="84" t="str">
        <f>IF(PROGRAMA_DETALLE!A334="","","Tejedora")</f>
        <v/>
      </c>
      <c r="D534" s="94" t="str">
        <f>IF(PROGRAMA_DETALLE!N334="","",PROGRAMA_DETALLE!N334)</f>
        <v/>
      </c>
      <c r="E534" s="84" t="str">
        <f>IF(PROGRAMA_DETALLE!A334="","","Tejido "&amp;PROGRAMA_DETALLE!A334&amp;" "&amp;PROGRAMA_DETALLE!B334)</f>
        <v/>
      </c>
      <c r="F534" s="95" t="str">
        <f>IF(PROGRAMA_DETALLE!M334=0,"",PROGRAMA_DETALLE!M334)</f>
        <v/>
      </c>
      <c r="G534" s="95">
        <f>IF(PROGRAMA_DETALLE!P334="PAGADO",PROGRAMA_DETALLE!M334,0)</f>
        <v>0</v>
      </c>
      <c r="H534" s="95">
        <f>IF(OR(PROGRAMA_DETALLE!P334="PENDIENTE",PROGRAMA_DETALLE!P334="PARCIAL"),PROGRAMA_DETALLE!M334,0)</f>
        <v>0</v>
      </c>
      <c r="I534" s="94" t="str">
        <f>IF(PROGRAMA_DETALLE!P334="","",PROGRAMA_DETALLE!P334)</f>
        <v/>
      </c>
    </row>
    <row r="535" ht="15.75" customHeight="1">
      <c r="A535" s="87" t="s">
        <v>229</v>
      </c>
      <c r="B535" s="93" t="str">
        <f>IFERROR(VLOOKUP(PROGRAMA_DETALLE!A335,PROGRAMAS!$A$4:$B$103,2,FALSE()),"")</f>
        <v/>
      </c>
      <c r="C535" s="84" t="str">
        <f>IF(PROGRAMA_DETALLE!A335="","","Tejedora")</f>
        <v/>
      </c>
      <c r="D535" s="94" t="str">
        <f>IF(PROGRAMA_DETALLE!N335="","",PROGRAMA_DETALLE!N335)</f>
        <v/>
      </c>
      <c r="E535" s="84" t="str">
        <f>IF(PROGRAMA_DETALLE!A335="","","Tejido "&amp;PROGRAMA_DETALLE!A335&amp;" "&amp;PROGRAMA_DETALLE!B335)</f>
        <v/>
      </c>
      <c r="F535" s="95" t="str">
        <f>IF(PROGRAMA_DETALLE!M335=0,"",PROGRAMA_DETALLE!M335)</f>
        <v/>
      </c>
      <c r="G535" s="95">
        <f>IF(PROGRAMA_DETALLE!P335="PAGADO",PROGRAMA_DETALLE!M335,0)</f>
        <v>0</v>
      </c>
      <c r="H535" s="95">
        <f>IF(OR(PROGRAMA_DETALLE!P335="PENDIENTE",PROGRAMA_DETALLE!P335="PARCIAL"),PROGRAMA_DETALLE!M335,0)</f>
        <v>0</v>
      </c>
      <c r="I535" s="94" t="str">
        <f>IF(PROGRAMA_DETALLE!P335="","",PROGRAMA_DETALLE!P335)</f>
        <v/>
      </c>
    </row>
    <row r="536" ht="15.75" customHeight="1">
      <c r="A536" s="87" t="s">
        <v>229</v>
      </c>
      <c r="B536" s="93" t="str">
        <f>IFERROR(VLOOKUP(PROGRAMA_DETALLE!A336,PROGRAMAS!$A$4:$B$103,2,FALSE()),"")</f>
        <v/>
      </c>
      <c r="C536" s="84" t="str">
        <f>IF(PROGRAMA_DETALLE!A336="","","Tejedora")</f>
        <v/>
      </c>
      <c r="D536" s="94" t="str">
        <f>IF(PROGRAMA_DETALLE!N336="","",PROGRAMA_DETALLE!N336)</f>
        <v/>
      </c>
      <c r="E536" s="84" t="str">
        <f>IF(PROGRAMA_DETALLE!A336="","","Tejido "&amp;PROGRAMA_DETALLE!A336&amp;" "&amp;PROGRAMA_DETALLE!B336)</f>
        <v/>
      </c>
      <c r="F536" s="95" t="str">
        <f>IF(PROGRAMA_DETALLE!M336=0,"",PROGRAMA_DETALLE!M336)</f>
        <v/>
      </c>
      <c r="G536" s="95">
        <f>IF(PROGRAMA_DETALLE!P336="PAGADO",PROGRAMA_DETALLE!M336,0)</f>
        <v>0</v>
      </c>
      <c r="H536" s="95">
        <f>IF(OR(PROGRAMA_DETALLE!P336="PENDIENTE",PROGRAMA_DETALLE!P336="PARCIAL"),PROGRAMA_DETALLE!M336,0)</f>
        <v>0</v>
      </c>
      <c r="I536" s="94" t="str">
        <f>IF(PROGRAMA_DETALLE!P336="","",PROGRAMA_DETALLE!P336)</f>
        <v/>
      </c>
    </row>
    <row r="537" ht="15.75" customHeight="1">
      <c r="A537" s="87" t="s">
        <v>229</v>
      </c>
      <c r="B537" s="93" t="str">
        <f>IFERROR(VLOOKUP(PROGRAMA_DETALLE!A337,PROGRAMAS!$A$4:$B$103,2,FALSE()),"")</f>
        <v/>
      </c>
      <c r="C537" s="84" t="str">
        <f>IF(PROGRAMA_DETALLE!A337="","","Tejedora")</f>
        <v/>
      </c>
      <c r="D537" s="94" t="str">
        <f>IF(PROGRAMA_DETALLE!N337="","",PROGRAMA_DETALLE!N337)</f>
        <v/>
      </c>
      <c r="E537" s="84" t="str">
        <f>IF(PROGRAMA_DETALLE!A337="","","Tejido "&amp;PROGRAMA_DETALLE!A337&amp;" "&amp;PROGRAMA_DETALLE!B337)</f>
        <v/>
      </c>
      <c r="F537" s="95" t="str">
        <f>IF(PROGRAMA_DETALLE!M337=0,"",PROGRAMA_DETALLE!M337)</f>
        <v/>
      </c>
      <c r="G537" s="95">
        <f>IF(PROGRAMA_DETALLE!P337="PAGADO",PROGRAMA_DETALLE!M337,0)</f>
        <v>0</v>
      </c>
      <c r="H537" s="95">
        <f>IF(OR(PROGRAMA_DETALLE!P337="PENDIENTE",PROGRAMA_DETALLE!P337="PARCIAL"),PROGRAMA_DETALLE!M337,0)</f>
        <v>0</v>
      </c>
      <c r="I537" s="94" t="str">
        <f>IF(PROGRAMA_DETALLE!P337="","",PROGRAMA_DETALLE!P337)</f>
        <v/>
      </c>
    </row>
    <row r="538" ht="15.75" customHeight="1">
      <c r="A538" s="87" t="s">
        <v>229</v>
      </c>
      <c r="B538" s="93" t="str">
        <f>IFERROR(VLOOKUP(PROGRAMA_DETALLE!A338,PROGRAMAS!$A$4:$B$103,2,FALSE()),"")</f>
        <v/>
      </c>
      <c r="C538" s="84" t="str">
        <f>IF(PROGRAMA_DETALLE!A338="","","Tejedora")</f>
        <v/>
      </c>
      <c r="D538" s="94" t="str">
        <f>IF(PROGRAMA_DETALLE!N338="","",PROGRAMA_DETALLE!N338)</f>
        <v/>
      </c>
      <c r="E538" s="84" t="str">
        <f>IF(PROGRAMA_DETALLE!A338="","","Tejido "&amp;PROGRAMA_DETALLE!A338&amp;" "&amp;PROGRAMA_DETALLE!B338)</f>
        <v/>
      </c>
      <c r="F538" s="95" t="str">
        <f>IF(PROGRAMA_DETALLE!M338=0,"",PROGRAMA_DETALLE!M338)</f>
        <v/>
      </c>
      <c r="G538" s="95">
        <f>IF(PROGRAMA_DETALLE!P338="PAGADO",PROGRAMA_DETALLE!M338,0)</f>
        <v>0</v>
      </c>
      <c r="H538" s="95">
        <f>IF(OR(PROGRAMA_DETALLE!P338="PENDIENTE",PROGRAMA_DETALLE!P338="PARCIAL"),PROGRAMA_DETALLE!M338,0)</f>
        <v>0</v>
      </c>
      <c r="I538" s="94" t="str">
        <f>IF(PROGRAMA_DETALLE!P338="","",PROGRAMA_DETALLE!P338)</f>
        <v/>
      </c>
    </row>
    <row r="539" ht="15.75" customHeight="1">
      <c r="A539" s="87" t="s">
        <v>229</v>
      </c>
      <c r="B539" s="93" t="str">
        <f>IFERROR(VLOOKUP(PROGRAMA_DETALLE!A339,PROGRAMAS!$A$4:$B$103,2,FALSE()),"")</f>
        <v/>
      </c>
      <c r="C539" s="84" t="str">
        <f>IF(PROGRAMA_DETALLE!A339="","","Tejedora")</f>
        <v/>
      </c>
      <c r="D539" s="94" t="str">
        <f>IF(PROGRAMA_DETALLE!N339="","",PROGRAMA_DETALLE!N339)</f>
        <v/>
      </c>
      <c r="E539" s="84" t="str">
        <f>IF(PROGRAMA_DETALLE!A339="","","Tejido "&amp;PROGRAMA_DETALLE!A339&amp;" "&amp;PROGRAMA_DETALLE!B339)</f>
        <v/>
      </c>
      <c r="F539" s="95" t="str">
        <f>IF(PROGRAMA_DETALLE!M339=0,"",PROGRAMA_DETALLE!M339)</f>
        <v/>
      </c>
      <c r="G539" s="95">
        <f>IF(PROGRAMA_DETALLE!P339="PAGADO",PROGRAMA_DETALLE!M339,0)</f>
        <v>0</v>
      </c>
      <c r="H539" s="95">
        <f>IF(OR(PROGRAMA_DETALLE!P339="PENDIENTE",PROGRAMA_DETALLE!P339="PARCIAL"),PROGRAMA_DETALLE!M339,0)</f>
        <v>0</v>
      </c>
      <c r="I539" s="94" t="str">
        <f>IF(PROGRAMA_DETALLE!P339="","",PROGRAMA_DETALLE!P339)</f>
        <v/>
      </c>
    </row>
    <row r="540" ht="15.75" customHeight="1">
      <c r="A540" s="87" t="s">
        <v>229</v>
      </c>
      <c r="B540" s="93" t="str">
        <f>IFERROR(VLOOKUP(PROGRAMA_DETALLE!A340,PROGRAMAS!$A$4:$B$103,2,FALSE()),"")</f>
        <v/>
      </c>
      <c r="C540" s="84" t="str">
        <f>IF(PROGRAMA_DETALLE!A340="","","Tejedora")</f>
        <v/>
      </c>
      <c r="D540" s="94" t="str">
        <f>IF(PROGRAMA_DETALLE!N340="","",PROGRAMA_DETALLE!N340)</f>
        <v/>
      </c>
      <c r="E540" s="84" t="str">
        <f>IF(PROGRAMA_DETALLE!A340="","","Tejido "&amp;PROGRAMA_DETALLE!A340&amp;" "&amp;PROGRAMA_DETALLE!B340)</f>
        <v/>
      </c>
      <c r="F540" s="95" t="str">
        <f>IF(PROGRAMA_DETALLE!M340=0,"",PROGRAMA_DETALLE!M340)</f>
        <v/>
      </c>
      <c r="G540" s="95">
        <f>IF(PROGRAMA_DETALLE!P340="PAGADO",PROGRAMA_DETALLE!M340,0)</f>
        <v>0</v>
      </c>
      <c r="H540" s="95">
        <f>IF(OR(PROGRAMA_DETALLE!P340="PENDIENTE",PROGRAMA_DETALLE!P340="PARCIAL"),PROGRAMA_DETALLE!M340,0)</f>
        <v>0</v>
      </c>
      <c r="I540" s="94" t="str">
        <f>IF(PROGRAMA_DETALLE!P340="","",PROGRAMA_DETALLE!P340)</f>
        <v/>
      </c>
    </row>
    <row r="541" ht="15.75" customHeight="1">
      <c r="A541" s="87" t="s">
        <v>229</v>
      </c>
      <c r="B541" s="93" t="str">
        <f>IFERROR(VLOOKUP(PROGRAMA_DETALLE!A341,PROGRAMAS!$A$4:$B$103,2,FALSE()),"")</f>
        <v/>
      </c>
      <c r="C541" s="84" t="str">
        <f>IF(PROGRAMA_DETALLE!A341="","","Tejedora")</f>
        <v/>
      </c>
      <c r="D541" s="94" t="str">
        <f>IF(PROGRAMA_DETALLE!N341="","",PROGRAMA_DETALLE!N341)</f>
        <v/>
      </c>
      <c r="E541" s="84" t="str">
        <f>IF(PROGRAMA_DETALLE!A341="","","Tejido "&amp;PROGRAMA_DETALLE!A341&amp;" "&amp;PROGRAMA_DETALLE!B341)</f>
        <v/>
      </c>
      <c r="F541" s="95" t="str">
        <f>IF(PROGRAMA_DETALLE!M341=0,"",PROGRAMA_DETALLE!M341)</f>
        <v/>
      </c>
      <c r="G541" s="95">
        <f>IF(PROGRAMA_DETALLE!P341="PAGADO",PROGRAMA_DETALLE!M341,0)</f>
        <v>0</v>
      </c>
      <c r="H541" s="95">
        <f>IF(OR(PROGRAMA_DETALLE!P341="PENDIENTE",PROGRAMA_DETALLE!P341="PARCIAL"),PROGRAMA_DETALLE!M341,0)</f>
        <v>0</v>
      </c>
      <c r="I541" s="94" t="str">
        <f>IF(PROGRAMA_DETALLE!P341="","",PROGRAMA_DETALLE!P341)</f>
        <v/>
      </c>
    </row>
    <row r="542" ht="15.75" customHeight="1">
      <c r="A542" s="87" t="s">
        <v>229</v>
      </c>
      <c r="B542" s="93" t="str">
        <f>IFERROR(VLOOKUP(PROGRAMA_DETALLE!A342,PROGRAMAS!$A$4:$B$103,2,FALSE()),"")</f>
        <v/>
      </c>
      <c r="C542" s="84" t="str">
        <f>IF(PROGRAMA_DETALLE!A342="","","Tejedora")</f>
        <v/>
      </c>
      <c r="D542" s="94" t="str">
        <f>IF(PROGRAMA_DETALLE!N342="","",PROGRAMA_DETALLE!N342)</f>
        <v/>
      </c>
      <c r="E542" s="84" t="str">
        <f>IF(PROGRAMA_DETALLE!A342="","","Tejido "&amp;PROGRAMA_DETALLE!A342&amp;" "&amp;PROGRAMA_DETALLE!B342)</f>
        <v/>
      </c>
      <c r="F542" s="95" t="str">
        <f>IF(PROGRAMA_DETALLE!M342=0,"",PROGRAMA_DETALLE!M342)</f>
        <v/>
      </c>
      <c r="G542" s="95">
        <f>IF(PROGRAMA_DETALLE!P342="PAGADO",PROGRAMA_DETALLE!M342,0)</f>
        <v>0</v>
      </c>
      <c r="H542" s="95">
        <f>IF(OR(PROGRAMA_DETALLE!P342="PENDIENTE",PROGRAMA_DETALLE!P342="PARCIAL"),PROGRAMA_DETALLE!M342,0)</f>
        <v>0</v>
      </c>
      <c r="I542" s="94" t="str">
        <f>IF(PROGRAMA_DETALLE!P342="","",PROGRAMA_DETALLE!P342)</f>
        <v/>
      </c>
    </row>
    <row r="543" ht="15.75" customHeight="1">
      <c r="A543" s="87" t="s">
        <v>229</v>
      </c>
      <c r="B543" s="93" t="str">
        <f>IFERROR(VLOOKUP(PROGRAMA_DETALLE!A343,PROGRAMAS!$A$4:$B$103,2,FALSE()),"")</f>
        <v/>
      </c>
      <c r="C543" s="84" t="str">
        <f>IF(PROGRAMA_DETALLE!A343="","","Tejedora")</f>
        <v/>
      </c>
      <c r="D543" s="94" t="str">
        <f>IF(PROGRAMA_DETALLE!N343="","",PROGRAMA_DETALLE!N343)</f>
        <v/>
      </c>
      <c r="E543" s="84" t="str">
        <f>IF(PROGRAMA_DETALLE!A343="","","Tejido "&amp;PROGRAMA_DETALLE!A343&amp;" "&amp;PROGRAMA_DETALLE!B343)</f>
        <v/>
      </c>
      <c r="F543" s="95" t="str">
        <f>IF(PROGRAMA_DETALLE!M343=0,"",PROGRAMA_DETALLE!M343)</f>
        <v/>
      </c>
      <c r="G543" s="95">
        <f>IF(PROGRAMA_DETALLE!P343="PAGADO",PROGRAMA_DETALLE!M343,0)</f>
        <v>0</v>
      </c>
      <c r="H543" s="95">
        <f>IF(OR(PROGRAMA_DETALLE!P343="PENDIENTE",PROGRAMA_DETALLE!P343="PARCIAL"),PROGRAMA_DETALLE!M343,0)</f>
        <v>0</v>
      </c>
      <c r="I543" s="94" t="str">
        <f>IF(PROGRAMA_DETALLE!P343="","",PROGRAMA_DETALLE!P343)</f>
        <v/>
      </c>
    </row>
    <row r="544" ht="15.75" customHeight="1">
      <c r="A544" s="87" t="s">
        <v>229</v>
      </c>
      <c r="B544" s="93" t="str">
        <f>IFERROR(VLOOKUP(PROGRAMA_DETALLE!A344,PROGRAMAS!$A$4:$B$103,2,FALSE()),"")</f>
        <v/>
      </c>
      <c r="C544" s="84" t="str">
        <f>IF(PROGRAMA_DETALLE!A344="","","Tejedora")</f>
        <v/>
      </c>
      <c r="D544" s="94" t="str">
        <f>IF(PROGRAMA_DETALLE!N344="","",PROGRAMA_DETALLE!N344)</f>
        <v/>
      </c>
      <c r="E544" s="84" t="str">
        <f>IF(PROGRAMA_DETALLE!A344="","","Tejido "&amp;PROGRAMA_DETALLE!A344&amp;" "&amp;PROGRAMA_DETALLE!B344)</f>
        <v/>
      </c>
      <c r="F544" s="95" t="str">
        <f>IF(PROGRAMA_DETALLE!M344=0,"",PROGRAMA_DETALLE!M344)</f>
        <v/>
      </c>
      <c r="G544" s="95">
        <f>IF(PROGRAMA_DETALLE!P344="PAGADO",PROGRAMA_DETALLE!M344,0)</f>
        <v>0</v>
      </c>
      <c r="H544" s="95">
        <f>IF(OR(PROGRAMA_DETALLE!P344="PENDIENTE",PROGRAMA_DETALLE!P344="PARCIAL"),PROGRAMA_DETALLE!M344,0)</f>
        <v>0</v>
      </c>
      <c r="I544" s="94" t="str">
        <f>IF(PROGRAMA_DETALLE!P344="","",PROGRAMA_DETALLE!P344)</f>
        <v/>
      </c>
    </row>
    <row r="545" ht="15.75" customHeight="1">
      <c r="A545" s="87" t="s">
        <v>229</v>
      </c>
      <c r="B545" s="93" t="str">
        <f>IFERROR(VLOOKUP(PROGRAMA_DETALLE!A345,PROGRAMAS!$A$4:$B$103,2,FALSE()),"")</f>
        <v/>
      </c>
      <c r="C545" s="84" t="str">
        <f>IF(PROGRAMA_DETALLE!A345="","","Tejedora")</f>
        <v/>
      </c>
      <c r="D545" s="94" t="str">
        <f>IF(PROGRAMA_DETALLE!N345="","",PROGRAMA_DETALLE!N345)</f>
        <v/>
      </c>
      <c r="E545" s="84" t="str">
        <f>IF(PROGRAMA_DETALLE!A345="","","Tejido "&amp;PROGRAMA_DETALLE!A345&amp;" "&amp;PROGRAMA_DETALLE!B345)</f>
        <v/>
      </c>
      <c r="F545" s="95" t="str">
        <f>IF(PROGRAMA_DETALLE!M345=0,"",PROGRAMA_DETALLE!M345)</f>
        <v/>
      </c>
      <c r="G545" s="95">
        <f>IF(PROGRAMA_DETALLE!P345="PAGADO",PROGRAMA_DETALLE!M345,0)</f>
        <v>0</v>
      </c>
      <c r="H545" s="95">
        <f>IF(OR(PROGRAMA_DETALLE!P345="PENDIENTE",PROGRAMA_DETALLE!P345="PARCIAL"),PROGRAMA_DETALLE!M345,0)</f>
        <v>0</v>
      </c>
      <c r="I545" s="94" t="str">
        <f>IF(PROGRAMA_DETALLE!P345="","",PROGRAMA_DETALLE!P345)</f>
        <v/>
      </c>
    </row>
    <row r="546" ht="15.75" customHeight="1">
      <c r="A546" s="87" t="s">
        <v>229</v>
      </c>
      <c r="B546" s="93" t="str">
        <f>IFERROR(VLOOKUP(PROGRAMA_DETALLE!A346,PROGRAMAS!$A$4:$B$103,2,FALSE()),"")</f>
        <v/>
      </c>
      <c r="C546" s="84" t="str">
        <f>IF(PROGRAMA_DETALLE!A346="","","Tejedora")</f>
        <v/>
      </c>
      <c r="D546" s="94" t="str">
        <f>IF(PROGRAMA_DETALLE!N346="","",PROGRAMA_DETALLE!N346)</f>
        <v/>
      </c>
      <c r="E546" s="84" t="str">
        <f>IF(PROGRAMA_DETALLE!A346="","","Tejido "&amp;PROGRAMA_DETALLE!A346&amp;" "&amp;PROGRAMA_DETALLE!B346)</f>
        <v/>
      </c>
      <c r="F546" s="95" t="str">
        <f>IF(PROGRAMA_DETALLE!M346=0,"",PROGRAMA_DETALLE!M346)</f>
        <v/>
      </c>
      <c r="G546" s="95">
        <f>IF(PROGRAMA_DETALLE!P346="PAGADO",PROGRAMA_DETALLE!M346,0)</f>
        <v>0</v>
      </c>
      <c r="H546" s="95">
        <f>IF(OR(PROGRAMA_DETALLE!P346="PENDIENTE",PROGRAMA_DETALLE!P346="PARCIAL"),PROGRAMA_DETALLE!M346,0)</f>
        <v>0</v>
      </c>
      <c r="I546" s="94" t="str">
        <f>IF(PROGRAMA_DETALLE!P346="","",PROGRAMA_DETALLE!P346)</f>
        <v/>
      </c>
    </row>
    <row r="547" ht="15.75" customHeight="1">
      <c r="A547" s="87" t="s">
        <v>229</v>
      </c>
      <c r="B547" s="93" t="str">
        <f>IFERROR(VLOOKUP(PROGRAMA_DETALLE!A347,PROGRAMAS!$A$4:$B$103,2,FALSE()),"")</f>
        <v/>
      </c>
      <c r="C547" s="84" t="str">
        <f>IF(PROGRAMA_DETALLE!A347="","","Tejedora")</f>
        <v/>
      </c>
      <c r="D547" s="94" t="str">
        <f>IF(PROGRAMA_DETALLE!N347="","",PROGRAMA_DETALLE!N347)</f>
        <v/>
      </c>
      <c r="E547" s="84" t="str">
        <f>IF(PROGRAMA_DETALLE!A347="","","Tejido "&amp;PROGRAMA_DETALLE!A347&amp;" "&amp;PROGRAMA_DETALLE!B347)</f>
        <v/>
      </c>
      <c r="F547" s="95" t="str">
        <f>IF(PROGRAMA_DETALLE!M347=0,"",PROGRAMA_DETALLE!M347)</f>
        <v/>
      </c>
      <c r="G547" s="95">
        <f>IF(PROGRAMA_DETALLE!P347="PAGADO",PROGRAMA_DETALLE!M347,0)</f>
        <v>0</v>
      </c>
      <c r="H547" s="95">
        <f>IF(OR(PROGRAMA_DETALLE!P347="PENDIENTE",PROGRAMA_DETALLE!P347="PARCIAL"),PROGRAMA_DETALLE!M347,0)</f>
        <v>0</v>
      </c>
      <c r="I547" s="94" t="str">
        <f>IF(PROGRAMA_DETALLE!P347="","",PROGRAMA_DETALLE!P347)</f>
        <v/>
      </c>
    </row>
    <row r="548" ht="15.75" customHeight="1">
      <c r="A548" s="87" t="s">
        <v>229</v>
      </c>
      <c r="B548" s="93" t="str">
        <f>IFERROR(VLOOKUP(PROGRAMA_DETALLE!A348,PROGRAMAS!$A$4:$B$103,2,FALSE()),"")</f>
        <v/>
      </c>
      <c r="C548" s="84" t="str">
        <f>IF(PROGRAMA_DETALLE!A348="","","Tejedora")</f>
        <v/>
      </c>
      <c r="D548" s="94" t="str">
        <f>IF(PROGRAMA_DETALLE!N348="","",PROGRAMA_DETALLE!N348)</f>
        <v/>
      </c>
      <c r="E548" s="84" t="str">
        <f>IF(PROGRAMA_DETALLE!A348="","","Tejido "&amp;PROGRAMA_DETALLE!A348&amp;" "&amp;PROGRAMA_DETALLE!B348)</f>
        <v/>
      </c>
      <c r="F548" s="95" t="str">
        <f>IF(PROGRAMA_DETALLE!M348=0,"",PROGRAMA_DETALLE!M348)</f>
        <v/>
      </c>
      <c r="G548" s="95">
        <f>IF(PROGRAMA_DETALLE!P348="PAGADO",PROGRAMA_DETALLE!M348,0)</f>
        <v>0</v>
      </c>
      <c r="H548" s="95">
        <f>IF(OR(PROGRAMA_DETALLE!P348="PENDIENTE",PROGRAMA_DETALLE!P348="PARCIAL"),PROGRAMA_DETALLE!M348,0)</f>
        <v>0</v>
      </c>
      <c r="I548" s="94" t="str">
        <f>IF(PROGRAMA_DETALLE!P348="","",PROGRAMA_DETALLE!P348)</f>
        <v/>
      </c>
    </row>
    <row r="549" ht="15.75" customHeight="1">
      <c r="A549" s="87" t="s">
        <v>229</v>
      </c>
      <c r="B549" s="93" t="str">
        <f>IFERROR(VLOOKUP(PROGRAMA_DETALLE!A349,PROGRAMAS!$A$4:$B$103,2,FALSE()),"")</f>
        <v/>
      </c>
      <c r="C549" s="84" t="str">
        <f>IF(PROGRAMA_DETALLE!A349="","","Tejedora")</f>
        <v/>
      </c>
      <c r="D549" s="94" t="str">
        <f>IF(PROGRAMA_DETALLE!N349="","",PROGRAMA_DETALLE!N349)</f>
        <v/>
      </c>
      <c r="E549" s="84" t="str">
        <f>IF(PROGRAMA_DETALLE!A349="","","Tejido "&amp;PROGRAMA_DETALLE!A349&amp;" "&amp;PROGRAMA_DETALLE!B349)</f>
        <v/>
      </c>
      <c r="F549" s="95" t="str">
        <f>IF(PROGRAMA_DETALLE!M349=0,"",PROGRAMA_DETALLE!M349)</f>
        <v/>
      </c>
      <c r="G549" s="95">
        <f>IF(PROGRAMA_DETALLE!P349="PAGADO",PROGRAMA_DETALLE!M349,0)</f>
        <v>0</v>
      </c>
      <c r="H549" s="95">
        <f>IF(OR(PROGRAMA_DETALLE!P349="PENDIENTE",PROGRAMA_DETALLE!P349="PARCIAL"),PROGRAMA_DETALLE!M349,0)</f>
        <v>0</v>
      </c>
      <c r="I549" s="94" t="str">
        <f>IF(PROGRAMA_DETALLE!P349="","",PROGRAMA_DETALLE!P349)</f>
        <v/>
      </c>
    </row>
    <row r="550" ht="15.75" customHeight="1">
      <c r="A550" s="87" t="s">
        <v>229</v>
      </c>
      <c r="B550" s="93" t="str">
        <f>IFERROR(VLOOKUP(PROGRAMA_DETALLE!A350,PROGRAMAS!$A$4:$B$103,2,FALSE()),"")</f>
        <v/>
      </c>
      <c r="C550" s="84" t="str">
        <f>IF(PROGRAMA_DETALLE!A350="","","Tejedora")</f>
        <v/>
      </c>
      <c r="D550" s="94" t="str">
        <f>IF(PROGRAMA_DETALLE!N350="","",PROGRAMA_DETALLE!N350)</f>
        <v/>
      </c>
      <c r="E550" s="84" t="str">
        <f>IF(PROGRAMA_DETALLE!A350="","","Tejido "&amp;PROGRAMA_DETALLE!A350&amp;" "&amp;PROGRAMA_DETALLE!B350)</f>
        <v/>
      </c>
      <c r="F550" s="95" t="str">
        <f>IF(PROGRAMA_DETALLE!M350=0,"",PROGRAMA_DETALLE!M350)</f>
        <v/>
      </c>
      <c r="G550" s="95">
        <f>IF(PROGRAMA_DETALLE!P350="PAGADO",PROGRAMA_DETALLE!M350,0)</f>
        <v>0</v>
      </c>
      <c r="H550" s="95">
        <f>IF(OR(PROGRAMA_DETALLE!P350="PENDIENTE",PROGRAMA_DETALLE!P350="PARCIAL"),PROGRAMA_DETALLE!M350,0)</f>
        <v>0</v>
      </c>
      <c r="I550" s="94" t="str">
        <f>IF(PROGRAMA_DETALLE!P350="","",PROGRAMA_DETALLE!P350)</f>
        <v/>
      </c>
    </row>
    <row r="551" ht="15.75" customHeight="1">
      <c r="A551" s="87" t="s">
        <v>229</v>
      </c>
      <c r="B551" s="93" t="str">
        <f>IFERROR(VLOOKUP(PROGRAMA_DETALLE!A351,PROGRAMAS!$A$4:$B$103,2,FALSE()),"")</f>
        <v/>
      </c>
      <c r="C551" s="84" t="str">
        <f>IF(PROGRAMA_DETALLE!A351="","","Tejedora")</f>
        <v/>
      </c>
      <c r="D551" s="94" t="str">
        <f>IF(PROGRAMA_DETALLE!N351="","",PROGRAMA_DETALLE!N351)</f>
        <v/>
      </c>
      <c r="E551" s="84" t="str">
        <f>IF(PROGRAMA_DETALLE!A351="","","Tejido "&amp;PROGRAMA_DETALLE!A351&amp;" "&amp;PROGRAMA_DETALLE!B351)</f>
        <v/>
      </c>
      <c r="F551" s="95" t="str">
        <f>IF(PROGRAMA_DETALLE!M351=0,"",PROGRAMA_DETALLE!M351)</f>
        <v/>
      </c>
      <c r="G551" s="95">
        <f>IF(PROGRAMA_DETALLE!P351="PAGADO",PROGRAMA_DETALLE!M351,0)</f>
        <v>0</v>
      </c>
      <c r="H551" s="95">
        <f>IF(OR(PROGRAMA_DETALLE!P351="PENDIENTE",PROGRAMA_DETALLE!P351="PARCIAL"),PROGRAMA_DETALLE!M351,0)</f>
        <v>0</v>
      </c>
      <c r="I551" s="94" t="str">
        <f>IF(PROGRAMA_DETALLE!P351="","",PROGRAMA_DETALLE!P351)</f>
        <v/>
      </c>
    </row>
    <row r="552" ht="15.75" customHeight="1">
      <c r="A552" s="87" t="s">
        <v>229</v>
      </c>
      <c r="B552" s="93" t="str">
        <f>IFERROR(VLOOKUP(PROGRAMA_DETALLE!A352,PROGRAMAS!$A$4:$B$103,2,FALSE()),"")</f>
        <v/>
      </c>
      <c r="C552" s="84" t="str">
        <f>IF(PROGRAMA_DETALLE!A352="","","Tejedora")</f>
        <v/>
      </c>
      <c r="D552" s="94" t="str">
        <f>IF(PROGRAMA_DETALLE!N352="","",PROGRAMA_DETALLE!N352)</f>
        <v/>
      </c>
      <c r="E552" s="84" t="str">
        <f>IF(PROGRAMA_DETALLE!A352="","","Tejido "&amp;PROGRAMA_DETALLE!A352&amp;" "&amp;PROGRAMA_DETALLE!B352)</f>
        <v/>
      </c>
      <c r="F552" s="95" t="str">
        <f>IF(PROGRAMA_DETALLE!M352=0,"",PROGRAMA_DETALLE!M352)</f>
        <v/>
      </c>
      <c r="G552" s="95">
        <f>IF(PROGRAMA_DETALLE!P352="PAGADO",PROGRAMA_DETALLE!M352,0)</f>
        <v>0</v>
      </c>
      <c r="H552" s="95">
        <f>IF(OR(PROGRAMA_DETALLE!P352="PENDIENTE",PROGRAMA_DETALLE!P352="PARCIAL"),PROGRAMA_DETALLE!M352,0)</f>
        <v>0</v>
      </c>
      <c r="I552" s="94" t="str">
        <f>IF(PROGRAMA_DETALLE!P352="","",PROGRAMA_DETALLE!P352)</f>
        <v/>
      </c>
    </row>
    <row r="553" ht="15.75" customHeight="1">
      <c r="A553" s="87" t="s">
        <v>229</v>
      </c>
      <c r="B553" s="93" t="str">
        <f>IFERROR(VLOOKUP(PROGRAMA_DETALLE!A353,PROGRAMAS!$A$4:$B$103,2,FALSE()),"")</f>
        <v/>
      </c>
      <c r="C553" s="84" t="str">
        <f>IF(PROGRAMA_DETALLE!A353="","","Tejedora")</f>
        <v/>
      </c>
      <c r="D553" s="94" t="str">
        <f>IF(PROGRAMA_DETALLE!N353="","",PROGRAMA_DETALLE!N353)</f>
        <v/>
      </c>
      <c r="E553" s="84" t="str">
        <f>IF(PROGRAMA_DETALLE!A353="","","Tejido "&amp;PROGRAMA_DETALLE!A353&amp;" "&amp;PROGRAMA_DETALLE!B353)</f>
        <v/>
      </c>
      <c r="F553" s="95" t="str">
        <f>IF(PROGRAMA_DETALLE!M353=0,"",PROGRAMA_DETALLE!M353)</f>
        <v/>
      </c>
      <c r="G553" s="95">
        <f>IF(PROGRAMA_DETALLE!P353="PAGADO",PROGRAMA_DETALLE!M353,0)</f>
        <v>0</v>
      </c>
      <c r="H553" s="95">
        <f>IF(OR(PROGRAMA_DETALLE!P353="PENDIENTE",PROGRAMA_DETALLE!P353="PARCIAL"),PROGRAMA_DETALLE!M353,0)</f>
        <v>0</v>
      </c>
      <c r="I553" s="94" t="str">
        <f>IF(PROGRAMA_DETALLE!P353="","",PROGRAMA_DETALLE!P353)</f>
        <v/>
      </c>
    </row>
    <row r="554" ht="15.75" customHeight="1">
      <c r="A554" s="87" t="s">
        <v>229</v>
      </c>
      <c r="B554" s="93" t="str">
        <f>IFERROR(VLOOKUP(PROGRAMA_DETALLE!A354,PROGRAMAS!$A$4:$B$103,2,FALSE()),"")</f>
        <v/>
      </c>
      <c r="C554" s="84" t="str">
        <f>IF(PROGRAMA_DETALLE!A354="","","Tejedora")</f>
        <v/>
      </c>
      <c r="D554" s="94" t="str">
        <f>IF(PROGRAMA_DETALLE!N354="","",PROGRAMA_DETALLE!N354)</f>
        <v/>
      </c>
      <c r="E554" s="84" t="str">
        <f>IF(PROGRAMA_DETALLE!A354="","","Tejido "&amp;PROGRAMA_DETALLE!A354&amp;" "&amp;PROGRAMA_DETALLE!B354)</f>
        <v/>
      </c>
      <c r="F554" s="95" t="str">
        <f>IF(PROGRAMA_DETALLE!M354=0,"",PROGRAMA_DETALLE!M354)</f>
        <v/>
      </c>
      <c r="G554" s="95">
        <f>IF(PROGRAMA_DETALLE!P354="PAGADO",PROGRAMA_DETALLE!M354,0)</f>
        <v>0</v>
      </c>
      <c r="H554" s="95">
        <f>IF(OR(PROGRAMA_DETALLE!P354="PENDIENTE",PROGRAMA_DETALLE!P354="PARCIAL"),PROGRAMA_DETALLE!M354,0)</f>
        <v>0</v>
      </c>
      <c r="I554" s="94" t="str">
        <f>IF(PROGRAMA_DETALLE!P354="","",PROGRAMA_DETALLE!P354)</f>
        <v/>
      </c>
    </row>
    <row r="555" ht="15.75" customHeight="1">
      <c r="A555" s="87" t="s">
        <v>229</v>
      </c>
      <c r="B555" s="93" t="str">
        <f>IFERROR(VLOOKUP(PROGRAMA_DETALLE!A355,PROGRAMAS!$A$4:$B$103,2,FALSE()),"")</f>
        <v/>
      </c>
      <c r="C555" s="84" t="str">
        <f>IF(PROGRAMA_DETALLE!A355="","","Tejedora")</f>
        <v/>
      </c>
      <c r="D555" s="94" t="str">
        <f>IF(PROGRAMA_DETALLE!N355="","",PROGRAMA_DETALLE!N355)</f>
        <v/>
      </c>
      <c r="E555" s="84" t="str">
        <f>IF(PROGRAMA_DETALLE!A355="","","Tejido "&amp;PROGRAMA_DETALLE!A355&amp;" "&amp;PROGRAMA_DETALLE!B355)</f>
        <v/>
      </c>
      <c r="F555" s="95" t="str">
        <f>IF(PROGRAMA_DETALLE!M355=0,"",PROGRAMA_DETALLE!M355)</f>
        <v/>
      </c>
      <c r="G555" s="95">
        <f>IF(PROGRAMA_DETALLE!P355="PAGADO",PROGRAMA_DETALLE!M355,0)</f>
        <v>0</v>
      </c>
      <c r="H555" s="95">
        <f>IF(OR(PROGRAMA_DETALLE!P355="PENDIENTE",PROGRAMA_DETALLE!P355="PARCIAL"),PROGRAMA_DETALLE!M355,0)</f>
        <v>0</v>
      </c>
      <c r="I555" s="94" t="str">
        <f>IF(PROGRAMA_DETALLE!P355="","",PROGRAMA_DETALLE!P355)</f>
        <v/>
      </c>
    </row>
    <row r="556" ht="15.75" customHeight="1">
      <c r="A556" s="87" t="s">
        <v>229</v>
      </c>
      <c r="B556" s="93" t="str">
        <f>IFERROR(VLOOKUP(PROGRAMA_DETALLE!A356,PROGRAMAS!$A$4:$B$103,2,FALSE()),"")</f>
        <v/>
      </c>
      <c r="C556" s="84" t="str">
        <f>IF(PROGRAMA_DETALLE!A356="","","Tejedora")</f>
        <v/>
      </c>
      <c r="D556" s="94" t="str">
        <f>IF(PROGRAMA_DETALLE!N356="","",PROGRAMA_DETALLE!N356)</f>
        <v/>
      </c>
      <c r="E556" s="84" t="str">
        <f>IF(PROGRAMA_DETALLE!A356="","","Tejido "&amp;PROGRAMA_DETALLE!A356&amp;" "&amp;PROGRAMA_DETALLE!B356)</f>
        <v/>
      </c>
      <c r="F556" s="95" t="str">
        <f>IF(PROGRAMA_DETALLE!M356=0,"",PROGRAMA_DETALLE!M356)</f>
        <v/>
      </c>
      <c r="G556" s="95">
        <f>IF(PROGRAMA_DETALLE!P356="PAGADO",PROGRAMA_DETALLE!M356,0)</f>
        <v>0</v>
      </c>
      <c r="H556" s="95">
        <f>IF(OR(PROGRAMA_DETALLE!P356="PENDIENTE",PROGRAMA_DETALLE!P356="PARCIAL"),PROGRAMA_DETALLE!M356,0)</f>
        <v>0</v>
      </c>
      <c r="I556" s="94" t="str">
        <f>IF(PROGRAMA_DETALLE!P356="","",PROGRAMA_DETALLE!P356)</f>
        <v/>
      </c>
    </row>
    <row r="557" ht="15.75" customHeight="1">
      <c r="A557" s="87" t="s">
        <v>229</v>
      </c>
      <c r="B557" s="93" t="str">
        <f>IFERROR(VLOOKUP(PROGRAMA_DETALLE!A357,PROGRAMAS!$A$4:$B$103,2,FALSE()),"")</f>
        <v/>
      </c>
      <c r="C557" s="84" t="str">
        <f>IF(PROGRAMA_DETALLE!A357="","","Tejedora")</f>
        <v/>
      </c>
      <c r="D557" s="94" t="str">
        <f>IF(PROGRAMA_DETALLE!N357="","",PROGRAMA_DETALLE!N357)</f>
        <v/>
      </c>
      <c r="E557" s="84" t="str">
        <f>IF(PROGRAMA_DETALLE!A357="","","Tejido "&amp;PROGRAMA_DETALLE!A357&amp;" "&amp;PROGRAMA_DETALLE!B357)</f>
        <v/>
      </c>
      <c r="F557" s="95" t="str">
        <f>IF(PROGRAMA_DETALLE!M357=0,"",PROGRAMA_DETALLE!M357)</f>
        <v/>
      </c>
      <c r="G557" s="95">
        <f>IF(PROGRAMA_DETALLE!P357="PAGADO",PROGRAMA_DETALLE!M357,0)</f>
        <v>0</v>
      </c>
      <c r="H557" s="95">
        <f>IF(OR(PROGRAMA_DETALLE!P357="PENDIENTE",PROGRAMA_DETALLE!P357="PARCIAL"),PROGRAMA_DETALLE!M357,0)</f>
        <v>0</v>
      </c>
      <c r="I557" s="94" t="str">
        <f>IF(PROGRAMA_DETALLE!P357="","",PROGRAMA_DETALLE!P357)</f>
        <v/>
      </c>
    </row>
    <row r="558" ht="15.75" customHeight="1">
      <c r="A558" s="87" t="s">
        <v>229</v>
      </c>
      <c r="B558" s="93" t="str">
        <f>IFERROR(VLOOKUP(PROGRAMA_DETALLE!A358,PROGRAMAS!$A$4:$B$103,2,FALSE()),"")</f>
        <v/>
      </c>
      <c r="C558" s="84" t="str">
        <f>IF(PROGRAMA_DETALLE!A358="","","Tejedora")</f>
        <v/>
      </c>
      <c r="D558" s="94" t="str">
        <f>IF(PROGRAMA_DETALLE!N358="","",PROGRAMA_DETALLE!N358)</f>
        <v/>
      </c>
      <c r="E558" s="84" t="str">
        <f>IF(PROGRAMA_DETALLE!A358="","","Tejido "&amp;PROGRAMA_DETALLE!A358&amp;" "&amp;PROGRAMA_DETALLE!B358)</f>
        <v/>
      </c>
      <c r="F558" s="95" t="str">
        <f>IF(PROGRAMA_DETALLE!M358=0,"",PROGRAMA_DETALLE!M358)</f>
        <v/>
      </c>
      <c r="G558" s="95">
        <f>IF(PROGRAMA_DETALLE!P358="PAGADO",PROGRAMA_DETALLE!M358,0)</f>
        <v>0</v>
      </c>
      <c r="H558" s="95">
        <f>IF(OR(PROGRAMA_DETALLE!P358="PENDIENTE",PROGRAMA_DETALLE!P358="PARCIAL"),PROGRAMA_DETALLE!M358,0)</f>
        <v>0</v>
      </c>
      <c r="I558" s="94" t="str">
        <f>IF(PROGRAMA_DETALLE!P358="","",PROGRAMA_DETALLE!P358)</f>
        <v/>
      </c>
    </row>
    <row r="559" ht="15.75" customHeight="1">
      <c r="A559" s="87" t="s">
        <v>229</v>
      </c>
      <c r="B559" s="93" t="str">
        <f>IFERROR(VLOOKUP(PROGRAMA_DETALLE!A359,PROGRAMAS!$A$4:$B$103,2,FALSE()),"")</f>
        <v/>
      </c>
      <c r="C559" s="84" t="str">
        <f>IF(PROGRAMA_DETALLE!A359="","","Tejedora")</f>
        <v/>
      </c>
      <c r="D559" s="94" t="str">
        <f>IF(PROGRAMA_DETALLE!N359="","",PROGRAMA_DETALLE!N359)</f>
        <v/>
      </c>
      <c r="E559" s="84" t="str">
        <f>IF(PROGRAMA_DETALLE!A359="","","Tejido "&amp;PROGRAMA_DETALLE!A359&amp;" "&amp;PROGRAMA_DETALLE!B359)</f>
        <v/>
      </c>
      <c r="F559" s="95" t="str">
        <f>IF(PROGRAMA_DETALLE!M359=0,"",PROGRAMA_DETALLE!M359)</f>
        <v/>
      </c>
      <c r="G559" s="95">
        <f>IF(PROGRAMA_DETALLE!P359="PAGADO",PROGRAMA_DETALLE!M359,0)</f>
        <v>0</v>
      </c>
      <c r="H559" s="95">
        <f>IF(OR(PROGRAMA_DETALLE!P359="PENDIENTE",PROGRAMA_DETALLE!P359="PARCIAL"),PROGRAMA_DETALLE!M359,0)</f>
        <v>0</v>
      </c>
      <c r="I559" s="94" t="str">
        <f>IF(PROGRAMA_DETALLE!P359="","",PROGRAMA_DETALLE!P359)</f>
        <v/>
      </c>
    </row>
    <row r="560" ht="15.75" customHeight="1">
      <c r="A560" s="87" t="s">
        <v>229</v>
      </c>
      <c r="B560" s="93" t="str">
        <f>IFERROR(VLOOKUP(PROGRAMA_DETALLE!A360,PROGRAMAS!$A$4:$B$103,2,FALSE()),"")</f>
        <v/>
      </c>
      <c r="C560" s="84" t="str">
        <f>IF(PROGRAMA_DETALLE!A360="","","Tejedora")</f>
        <v/>
      </c>
      <c r="D560" s="94" t="str">
        <f>IF(PROGRAMA_DETALLE!N360="","",PROGRAMA_DETALLE!N360)</f>
        <v/>
      </c>
      <c r="E560" s="84" t="str">
        <f>IF(PROGRAMA_DETALLE!A360="","","Tejido "&amp;PROGRAMA_DETALLE!A360&amp;" "&amp;PROGRAMA_DETALLE!B360)</f>
        <v/>
      </c>
      <c r="F560" s="95" t="str">
        <f>IF(PROGRAMA_DETALLE!M360=0,"",PROGRAMA_DETALLE!M360)</f>
        <v/>
      </c>
      <c r="G560" s="95">
        <f>IF(PROGRAMA_DETALLE!P360="PAGADO",PROGRAMA_DETALLE!M360,0)</f>
        <v>0</v>
      </c>
      <c r="H560" s="95">
        <f>IF(OR(PROGRAMA_DETALLE!P360="PENDIENTE",PROGRAMA_DETALLE!P360="PARCIAL"),PROGRAMA_DETALLE!M360,0)</f>
        <v>0</v>
      </c>
      <c r="I560" s="94" t="str">
        <f>IF(PROGRAMA_DETALLE!P360="","",PROGRAMA_DETALLE!P360)</f>
        <v/>
      </c>
    </row>
    <row r="561" ht="15.75" customHeight="1">
      <c r="A561" s="87" t="s">
        <v>229</v>
      </c>
      <c r="B561" s="93" t="str">
        <f>IFERROR(VLOOKUP(PROGRAMA_DETALLE!A361,PROGRAMAS!$A$4:$B$103,2,FALSE()),"")</f>
        <v/>
      </c>
      <c r="C561" s="84" t="str">
        <f>IF(PROGRAMA_DETALLE!A361="","","Tejedora")</f>
        <v/>
      </c>
      <c r="D561" s="94" t="str">
        <f>IF(PROGRAMA_DETALLE!N361="","",PROGRAMA_DETALLE!N361)</f>
        <v/>
      </c>
      <c r="E561" s="84" t="str">
        <f>IF(PROGRAMA_DETALLE!A361="","","Tejido "&amp;PROGRAMA_DETALLE!A361&amp;" "&amp;PROGRAMA_DETALLE!B361)</f>
        <v/>
      </c>
      <c r="F561" s="95" t="str">
        <f>IF(PROGRAMA_DETALLE!M361=0,"",PROGRAMA_DETALLE!M361)</f>
        <v/>
      </c>
      <c r="G561" s="95">
        <f>IF(PROGRAMA_DETALLE!P361="PAGADO",PROGRAMA_DETALLE!M361,0)</f>
        <v>0</v>
      </c>
      <c r="H561" s="95">
        <f>IF(OR(PROGRAMA_DETALLE!P361="PENDIENTE",PROGRAMA_DETALLE!P361="PARCIAL"),PROGRAMA_DETALLE!M361,0)</f>
        <v>0</v>
      </c>
      <c r="I561" s="94" t="str">
        <f>IF(PROGRAMA_DETALLE!P361="","",PROGRAMA_DETALLE!P361)</f>
        <v/>
      </c>
    </row>
    <row r="562" ht="15.75" customHeight="1">
      <c r="A562" s="87" t="s">
        <v>229</v>
      </c>
      <c r="B562" s="93" t="str">
        <f>IFERROR(VLOOKUP(PROGRAMA_DETALLE!A362,PROGRAMAS!$A$4:$B$103,2,FALSE()),"")</f>
        <v/>
      </c>
      <c r="C562" s="84" t="str">
        <f>IF(PROGRAMA_DETALLE!A362="","","Tejedora")</f>
        <v/>
      </c>
      <c r="D562" s="94" t="str">
        <f>IF(PROGRAMA_DETALLE!N362="","",PROGRAMA_DETALLE!N362)</f>
        <v/>
      </c>
      <c r="E562" s="84" t="str">
        <f>IF(PROGRAMA_DETALLE!A362="","","Tejido "&amp;PROGRAMA_DETALLE!A362&amp;" "&amp;PROGRAMA_DETALLE!B362)</f>
        <v/>
      </c>
      <c r="F562" s="95" t="str">
        <f>IF(PROGRAMA_DETALLE!M362=0,"",PROGRAMA_DETALLE!M362)</f>
        <v/>
      </c>
      <c r="G562" s="95">
        <f>IF(PROGRAMA_DETALLE!P362="PAGADO",PROGRAMA_DETALLE!M362,0)</f>
        <v>0</v>
      </c>
      <c r="H562" s="95">
        <f>IF(OR(PROGRAMA_DETALLE!P362="PENDIENTE",PROGRAMA_DETALLE!P362="PARCIAL"),PROGRAMA_DETALLE!M362,0)</f>
        <v>0</v>
      </c>
      <c r="I562" s="94" t="str">
        <f>IF(PROGRAMA_DETALLE!P362="","",PROGRAMA_DETALLE!P362)</f>
        <v/>
      </c>
    </row>
    <row r="563" ht="15.75" customHeight="1">
      <c r="A563" s="87" t="s">
        <v>229</v>
      </c>
      <c r="B563" s="93" t="str">
        <f>IFERROR(VLOOKUP(PROGRAMA_DETALLE!A363,PROGRAMAS!$A$4:$B$103,2,FALSE()),"")</f>
        <v/>
      </c>
      <c r="C563" s="84" t="str">
        <f>IF(PROGRAMA_DETALLE!A363="","","Tejedora")</f>
        <v/>
      </c>
      <c r="D563" s="94" t="str">
        <f>IF(PROGRAMA_DETALLE!N363="","",PROGRAMA_DETALLE!N363)</f>
        <v/>
      </c>
      <c r="E563" s="84" t="str">
        <f>IF(PROGRAMA_DETALLE!A363="","","Tejido "&amp;PROGRAMA_DETALLE!A363&amp;" "&amp;PROGRAMA_DETALLE!B363)</f>
        <v/>
      </c>
      <c r="F563" s="95" t="str">
        <f>IF(PROGRAMA_DETALLE!M363=0,"",PROGRAMA_DETALLE!M363)</f>
        <v/>
      </c>
      <c r="G563" s="95">
        <f>IF(PROGRAMA_DETALLE!P363="PAGADO",PROGRAMA_DETALLE!M363,0)</f>
        <v>0</v>
      </c>
      <c r="H563" s="95">
        <f>IF(OR(PROGRAMA_DETALLE!P363="PENDIENTE",PROGRAMA_DETALLE!P363="PARCIAL"),PROGRAMA_DETALLE!M363,0)</f>
        <v>0</v>
      </c>
      <c r="I563" s="94" t="str">
        <f>IF(PROGRAMA_DETALLE!P363="","",PROGRAMA_DETALLE!P363)</f>
        <v/>
      </c>
    </row>
    <row r="564" ht="15.75" customHeight="1">
      <c r="A564" s="87" t="s">
        <v>229</v>
      </c>
      <c r="B564" s="93" t="str">
        <f>IFERROR(VLOOKUP(PROGRAMA_DETALLE!A364,PROGRAMAS!$A$4:$B$103,2,FALSE()),"")</f>
        <v/>
      </c>
      <c r="C564" s="84" t="str">
        <f>IF(PROGRAMA_DETALLE!A364="","","Tejedora")</f>
        <v/>
      </c>
      <c r="D564" s="94" t="str">
        <f>IF(PROGRAMA_DETALLE!N364="","",PROGRAMA_DETALLE!N364)</f>
        <v/>
      </c>
      <c r="E564" s="84" t="str">
        <f>IF(PROGRAMA_DETALLE!A364="","","Tejido "&amp;PROGRAMA_DETALLE!A364&amp;" "&amp;PROGRAMA_DETALLE!B364)</f>
        <v/>
      </c>
      <c r="F564" s="95" t="str">
        <f>IF(PROGRAMA_DETALLE!M364=0,"",PROGRAMA_DETALLE!M364)</f>
        <v/>
      </c>
      <c r="G564" s="95">
        <f>IF(PROGRAMA_DETALLE!P364="PAGADO",PROGRAMA_DETALLE!M364,0)</f>
        <v>0</v>
      </c>
      <c r="H564" s="95">
        <f>IF(OR(PROGRAMA_DETALLE!P364="PENDIENTE",PROGRAMA_DETALLE!P364="PARCIAL"),PROGRAMA_DETALLE!M364,0)</f>
        <v>0</v>
      </c>
      <c r="I564" s="94" t="str">
        <f>IF(PROGRAMA_DETALLE!P364="","",PROGRAMA_DETALLE!P364)</f>
        <v/>
      </c>
    </row>
    <row r="565" ht="15.75" customHeight="1">
      <c r="A565" s="87" t="s">
        <v>229</v>
      </c>
      <c r="B565" s="93" t="str">
        <f>IFERROR(VLOOKUP(PROGRAMA_DETALLE!A365,PROGRAMAS!$A$4:$B$103,2,FALSE()),"")</f>
        <v/>
      </c>
      <c r="C565" s="84" t="str">
        <f>IF(PROGRAMA_DETALLE!A365="","","Tejedora")</f>
        <v/>
      </c>
      <c r="D565" s="94" t="str">
        <f>IF(PROGRAMA_DETALLE!N365="","",PROGRAMA_DETALLE!N365)</f>
        <v/>
      </c>
      <c r="E565" s="84" t="str">
        <f>IF(PROGRAMA_DETALLE!A365="","","Tejido "&amp;PROGRAMA_DETALLE!A365&amp;" "&amp;PROGRAMA_DETALLE!B365)</f>
        <v/>
      </c>
      <c r="F565" s="95" t="str">
        <f>IF(PROGRAMA_DETALLE!M365=0,"",PROGRAMA_DETALLE!M365)</f>
        <v/>
      </c>
      <c r="G565" s="95">
        <f>IF(PROGRAMA_DETALLE!P365="PAGADO",PROGRAMA_DETALLE!M365,0)</f>
        <v>0</v>
      </c>
      <c r="H565" s="95">
        <f>IF(OR(PROGRAMA_DETALLE!P365="PENDIENTE",PROGRAMA_DETALLE!P365="PARCIAL"),PROGRAMA_DETALLE!M365,0)</f>
        <v>0</v>
      </c>
      <c r="I565" s="94" t="str">
        <f>IF(PROGRAMA_DETALLE!P365="","",PROGRAMA_DETALLE!P365)</f>
        <v/>
      </c>
    </row>
    <row r="566" ht="15.75" customHeight="1">
      <c r="A566" s="87" t="s">
        <v>229</v>
      </c>
      <c r="B566" s="93" t="str">
        <f>IFERROR(VLOOKUP(PROGRAMA_DETALLE!A366,PROGRAMAS!$A$4:$B$103,2,FALSE()),"")</f>
        <v/>
      </c>
      <c r="C566" s="84" t="str">
        <f>IF(PROGRAMA_DETALLE!A366="","","Tejedora")</f>
        <v/>
      </c>
      <c r="D566" s="94" t="str">
        <f>IF(PROGRAMA_DETALLE!N366="","",PROGRAMA_DETALLE!N366)</f>
        <v/>
      </c>
      <c r="E566" s="84" t="str">
        <f>IF(PROGRAMA_DETALLE!A366="","","Tejido "&amp;PROGRAMA_DETALLE!A366&amp;" "&amp;PROGRAMA_DETALLE!B366)</f>
        <v/>
      </c>
      <c r="F566" s="95" t="str">
        <f>IF(PROGRAMA_DETALLE!M366=0,"",PROGRAMA_DETALLE!M366)</f>
        <v/>
      </c>
      <c r="G566" s="95">
        <f>IF(PROGRAMA_DETALLE!P366="PAGADO",PROGRAMA_DETALLE!M366,0)</f>
        <v>0</v>
      </c>
      <c r="H566" s="95">
        <f>IF(OR(PROGRAMA_DETALLE!P366="PENDIENTE",PROGRAMA_DETALLE!P366="PARCIAL"),PROGRAMA_DETALLE!M366,0)</f>
        <v>0</v>
      </c>
      <c r="I566" s="94" t="str">
        <f>IF(PROGRAMA_DETALLE!P366="","",PROGRAMA_DETALLE!P366)</f>
        <v/>
      </c>
    </row>
    <row r="567" ht="15.75" customHeight="1">
      <c r="A567" s="87" t="s">
        <v>229</v>
      </c>
      <c r="B567" s="93" t="str">
        <f>IFERROR(VLOOKUP(PROGRAMA_DETALLE!A367,PROGRAMAS!$A$4:$B$103,2,FALSE()),"")</f>
        <v/>
      </c>
      <c r="C567" s="84" t="str">
        <f>IF(PROGRAMA_DETALLE!A367="","","Tejedora")</f>
        <v/>
      </c>
      <c r="D567" s="94" t="str">
        <f>IF(PROGRAMA_DETALLE!N367="","",PROGRAMA_DETALLE!N367)</f>
        <v/>
      </c>
      <c r="E567" s="84" t="str">
        <f>IF(PROGRAMA_DETALLE!A367="","","Tejido "&amp;PROGRAMA_DETALLE!A367&amp;" "&amp;PROGRAMA_DETALLE!B367)</f>
        <v/>
      </c>
      <c r="F567" s="95" t="str">
        <f>IF(PROGRAMA_DETALLE!M367=0,"",PROGRAMA_DETALLE!M367)</f>
        <v/>
      </c>
      <c r="G567" s="95">
        <f>IF(PROGRAMA_DETALLE!P367="PAGADO",PROGRAMA_DETALLE!M367,0)</f>
        <v>0</v>
      </c>
      <c r="H567" s="95">
        <f>IF(OR(PROGRAMA_DETALLE!P367="PENDIENTE",PROGRAMA_DETALLE!P367="PARCIAL"),PROGRAMA_DETALLE!M367,0)</f>
        <v>0</v>
      </c>
      <c r="I567" s="94" t="str">
        <f>IF(PROGRAMA_DETALLE!P367="","",PROGRAMA_DETALLE!P367)</f>
        <v/>
      </c>
    </row>
    <row r="568" ht="15.75" customHeight="1">
      <c r="A568" s="87" t="s">
        <v>229</v>
      </c>
      <c r="B568" s="93" t="str">
        <f>IFERROR(VLOOKUP(PROGRAMA_DETALLE!A368,PROGRAMAS!$A$4:$B$103,2,FALSE()),"")</f>
        <v/>
      </c>
      <c r="C568" s="84" t="str">
        <f>IF(PROGRAMA_DETALLE!A368="","","Tejedora")</f>
        <v/>
      </c>
      <c r="D568" s="94" t="str">
        <f>IF(PROGRAMA_DETALLE!N368="","",PROGRAMA_DETALLE!N368)</f>
        <v/>
      </c>
      <c r="E568" s="84" t="str">
        <f>IF(PROGRAMA_DETALLE!A368="","","Tejido "&amp;PROGRAMA_DETALLE!A368&amp;" "&amp;PROGRAMA_DETALLE!B368)</f>
        <v/>
      </c>
      <c r="F568" s="95" t="str">
        <f>IF(PROGRAMA_DETALLE!M368=0,"",PROGRAMA_DETALLE!M368)</f>
        <v/>
      </c>
      <c r="G568" s="95">
        <f>IF(PROGRAMA_DETALLE!P368="PAGADO",PROGRAMA_DETALLE!M368,0)</f>
        <v>0</v>
      </c>
      <c r="H568" s="95">
        <f>IF(OR(PROGRAMA_DETALLE!P368="PENDIENTE",PROGRAMA_DETALLE!P368="PARCIAL"),PROGRAMA_DETALLE!M368,0)</f>
        <v>0</v>
      </c>
      <c r="I568" s="94" t="str">
        <f>IF(PROGRAMA_DETALLE!P368="","",PROGRAMA_DETALLE!P368)</f>
        <v/>
      </c>
    </row>
    <row r="569" ht="15.75" customHeight="1">
      <c r="A569" s="87" t="s">
        <v>229</v>
      </c>
      <c r="B569" s="93" t="str">
        <f>IFERROR(VLOOKUP(PROGRAMA_DETALLE!A369,PROGRAMAS!$A$4:$B$103,2,FALSE()),"")</f>
        <v/>
      </c>
      <c r="C569" s="84" t="str">
        <f>IF(PROGRAMA_DETALLE!A369="","","Tejedora")</f>
        <v/>
      </c>
      <c r="D569" s="94" t="str">
        <f>IF(PROGRAMA_DETALLE!N369="","",PROGRAMA_DETALLE!N369)</f>
        <v/>
      </c>
      <c r="E569" s="84" t="str">
        <f>IF(PROGRAMA_DETALLE!A369="","","Tejido "&amp;PROGRAMA_DETALLE!A369&amp;" "&amp;PROGRAMA_DETALLE!B369)</f>
        <v/>
      </c>
      <c r="F569" s="95" t="str">
        <f>IF(PROGRAMA_DETALLE!M369=0,"",PROGRAMA_DETALLE!M369)</f>
        <v/>
      </c>
      <c r="G569" s="95">
        <f>IF(PROGRAMA_DETALLE!P369="PAGADO",PROGRAMA_DETALLE!M369,0)</f>
        <v>0</v>
      </c>
      <c r="H569" s="95">
        <f>IF(OR(PROGRAMA_DETALLE!P369="PENDIENTE",PROGRAMA_DETALLE!P369="PARCIAL"),PROGRAMA_DETALLE!M369,0)</f>
        <v>0</v>
      </c>
      <c r="I569" s="94" t="str">
        <f>IF(PROGRAMA_DETALLE!P369="","",PROGRAMA_DETALLE!P369)</f>
        <v/>
      </c>
    </row>
    <row r="570" ht="15.75" customHeight="1">
      <c r="A570" s="87" t="s">
        <v>229</v>
      </c>
      <c r="B570" s="93" t="str">
        <f>IFERROR(VLOOKUP(PROGRAMA_DETALLE!A370,PROGRAMAS!$A$4:$B$103,2,FALSE()),"")</f>
        <v/>
      </c>
      <c r="C570" s="84" t="str">
        <f>IF(PROGRAMA_DETALLE!A370="","","Tejedora")</f>
        <v/>
      </c>
      <c r="D570" s="94" t="str">
        <f>IF(PROGRAMA_DETALLE!N370="","",PROGRAMA_DETALLE!N370)</f>
        <v/>
      </c>
      <c r="E570" s="84" t="str">
        <f>IF(PROGRAMA_DETALLE!A370="","","Tejido "&amp;PROGRAMA_DETALLE!A370&amp;" "&amp;PROGRAMA_DETALLE!B370)</f>
        <v/>
      </c>
      <c r="F570" s="95" t="str">
        <f>IF(PROGRAMA_DETALLE!M370=0,"",PROGRAMA_DETALLE!M370)</f>
        <v/>
      </c>
      <c r="G570" s="95">
        <f>IF(PROGRAMA_DETALLE!P370="PAGADO",PROGRAMA_DETALLE!M370,0)</f>
        <v>0</v>
      </c>
      <c r="H570" s="95">
        <f>IF(OR(PROGRAMA_DETALLE!P370="PENDIENTE",PROGRAMA_DETALLE!P370="PARCIAL"),PROGRAMA_DETALLE!M370,0)</f>
        <v>0</v>
      </c>
      <c r="I570" s="94" t="str">
        <f>IF(PROGRAMA_DETALLE!P370="","",PROGRAMA_DETALLE!P370)</f>
        <v/>
      </c>
    </row>
    <row r="571" ht="15.75" customHeight="1">
      <c r="A571" s="87" t="s">
        <v>229</v>
      </c>
      <c r="B571" s="93" t="str">
        <f>IFERROR(VLOOKUP(PROGRAMA_DETALLE!A371,PROGRAMAS!$A$4:$B$103,2,FALSE()),"")</f>
        <v/>
      </c>
      <c r="C571" s="84" t="str">
        <f>IF(PROGRAMA_DETALLE!A371="","","Tejedora")</f>
        <v/>
      </c>
      <c r="D571" s="94" t="str">
        <f>IF(PROGRAMA_DETALLE!N371="","",PROGRAMA_DETALLE!N371)</f>
        <v/>
      </c>
      <c r="E571" s="84" t="str">
        <f>IF(PROGRAMA_DETALLE!A371="","","Tejido "&amp;PROGRAMA_DETALLE!A371&amp;" "&amp;PROGRAMA_DETALLE!B371)</f>
        <v/>
      </c>
      <c r="F571" s="95" t="str">
        <f>IF(PROGRAMA_DETALLE!M371=0,"",PROGRAMA_DETALLE!M371)</f>
        <v/>
      </c>
      <c r="G571" s="95">
        <f>IF(PROGRAMA_DETALLE!P371="PAGADO",PROGRAMA_DETALLE!M371,0)</f>
        <v>0</v>
      </c>
      <c r="H571" s="95">
        <f>IF(OR(PROGRAMA_DETALLE!P371="PENDIENTE",PROGRAMA_DETALLE!P371="PARCIAL"),PROGRAMA_DETALLE!M371,0)</f>
        <v>0</v>
      </c>
      <c r="I571" s="94" t="str">
        <f>IF(PROGRAMA_DETALLE!P371="","",PROGRAMA_DETALLE!P371)</f>
        <v/>
      </c>
    </row>
    <row r="572" ht="15.75" customHeight="1">
      <c r="A572" s="87" t="s">
        <v>229</v>
      </c>
      <c r="B572" s="93" t="str">
        <f>IFERROR(VLOOKUP(PROGRAMA_DETALLE!A372,PROGRAMAS!$A$4:$B$103,2,FALSE()),"")</f>
        <v/>
      </c>
      <c r="C572" s="84" t="str">
        <f>IF(PROGRAMA_DETALLE!A372="","","Tejedora")</f>
        <v/>
      </c>
      <c r="D572" s="94" t="str">
        <f>IF(PROGRAMA_DETALLE!N372="","",PROGRAMA_DETALLE!N372)</f>
        <v/>
      </c>
      <c r="E572" s="84" t="str">
        <f>IF(PROGRAMA_DETALLE!A372="","","Tejido "&amp;PROGRAMA_DETALLE!A372&amp;" "&amp;PROGRAMA_DETALLE!B372)</f>
        <v/>
      </c>
      <c r="F572" s="95" t="str">
        <f>IF(PROGRAMA_DETALLE!M372=0,"",PROGRAMA_DETALLE!M372)</f>
        <v/>
      </c>
      <c r="G572" s="95">
        <f>IF(PROGRAMA_DETALLE!P372="PAGADO",PROGRAMA_DETALLE!M372,0)</f>
        <v>0</v>
      </c>
      <c r="H572" s="95">
        <f>IF(OR(PROGRAMA_DETALLE!P372="PENDIENTE",PROGRAMA_DETALLE!P372="PARCIAL"),PROGRAMA_DETALLE!M372,0)</f>
        <v>0</v>
      </c>
      <c r="I572" s="94" t="str">
        <f>IF(PROGRAMA_DETALLE!P372="","",PROGRAMA_DETALLE!P372)</f>
        <v/>
      </c>
    </row>
    <row r="573" ht="15.75" customHeight="1">
      <c r="A573" s="87" t="s">
        <v>229</v>
      </c>
      <c r="B573" s="93" t="str">
        <f>IFERROR(VLOOKUP(PROGRAMA_DETALLE!A373,PROGRAMAS!$A$4:$B$103,2,FALSE()),"")</f>
        <v/>
      </c>
      <c r="C573" s="84" t="str">
        <f>IF(PROGRAMA_DETALLE!A373="","","Tejedora")</f>
        <v/>
      </c>
      <c r="D573" s="94" t="str">
        <f>IF(PROGRAMA_DETALLE!N373="","",PROGRAMA_DETALLE!N373)</f>
        <v/>
      </c>
      <c r="E573" s="84" t="str">
        <f>IF(PROGRAMA_DETALLE!A373="","","Tejido "&amp;PROGRAMA_DETALLE!A373&amp;" "&amp;PROGRAMA_DETALLE!B373)</f>
        <v/>
      </c>
      <c r="F573" s="95" t="str">
        <f>IF(PROGRAMA_DETALLE!M373=0,"",PROGRAMA_DETALLE!M373)</f>
        <v/>
      </c>
      <c r="G573" s="95">
        <f>IF(PROGRAMA_DETALLE!P373="PAGADO",PROGRAMA_DETALLE!M373,0)</f>
        <v>0</v>
      </c>
      <c r="H573" s="95">
        <f>IF(OR(PROGRAMA_DETALLE!P373="PENDIENTE",PROGRAMA_DETALLE!P373="PARCIAL"),PROGRAMA_DETALLE!M373,0)</f>
        <v>0</v>
      </c>
      <c r="I573" s="94" t="str">
        <f>IF(PROGRAMA_DETALLE!P373="","",PROGRAMA_DETALLE!P373)</f>
        <v/>
      </c>
    </row>
    <row r="574" ht="15.75" customHeight="1">
      <c r="A574" s="87" t="s">
        <v>229</v>
      </c>
      <c r="B574" s="93" t="str">
        <f>IFERROR(VLOOKUP(PROGRAMA_DETALLE!A374,PROGRAMAS!$A$4:$B$103,2,FALSE()),"")</f>
        <v/>
      </c>
      <c r="C574" s="84" t="str">
        <f>IF(PROGRAMA_DETALLE!A374="","","Tejedora")</f>
        <v/>
      </c>
      <c r="D574" s="94" t="str">
        <f>IF(PROGRAMA_DETALLE!N374="","",PROGRAMA_DETALLE!N374)</f>
        <v/>
      </c>
      <c r="E574" s="84" t="str">
        <f>IF(PROGRAMA_DETALLE!A374="","","Tejido "&amp;PROGRAMA_DETALLE!A374&amp;" "&amp;PROGRAMA_DETALLE!B374)</f>
        <v/>
      </c>
      <c r="F574" s="95" t="str">
        <f>IF(PROGRAMA_DETALLE!M374=0,"",PROGRAMA_DETALLE!M374)</f>
        <v/>
      </c>
      <c r="G574" s="95">
        <f>IF(PROGRAMA_DETALLE!P374="PAGADO",PROGRAMA_DETALLE!M374,0)</f>
        <v>0</v>
      </c>
      <c r="H574" s="95">
        <f>IF(OR(PROGRAMA_DETALLE!P374="PENDIENTE",PROGRAMA_DETALLE!P374="PARCIAL"),PROGRAMA_DETALLE!M374,0)</f>
        <v>0</v>
      </c>
      <c r="I574" s="94" t="str">
        <f>IF(PROGRAMA_DETALLE!P374="","",PROGRAMA_DETALLE!P374)</f>
        <v/>
      </c>
    </row>
    <row r="575" ht="15.75" customHeight="1">
      <c r="A575" s="87" t="s">
        <v>229</v>
      </c>
      <c r="B575" s="93" t="str">
        <f>IFERROR(VLOOKUP(PROGRAMA_DETALLE!A375,PROGRAMAS!$A$4:$B$103,2,FALSE()),"")</f>
        <v/>
      </c>
      <c r="C575" s="84" t="str">
        <f>IF(PROGRAMA_DETALLE!A375="","","Tejedora")</f>
        <v/>
      </c>
      <c r="D575" s="94" t="str">
        <f>IF(PROGRAMA_DETALLE!N375="","",PROGRAMA_DETALLE!N375)</f>
        <v/>
      </c>
      <c r="E575" s="84" t="str">
        <f>IF(PROGRAMA_DETALLE!A375="","","Tejido "&amp;PROGRAMA_DETALLE!A375&amp;" "&amp;PROGRAMA_DETALLE!B375)</f>
        <v/>
      </c>
      <c r="F575" s="95" t="str">
        <f>IF(PROGRAMA_DETALLE!M375=0,"",PROGRAMA_DETALLE!M375)</f>
        <v/>
      </c>
      <c r="G575" s="95">
        <f>IF(PROGRAMA_DETALLE!P375="PAGADO",PROGRAMA_DETALLE!M375,0)</f>
        <v>0</v>
      </c>
      <c r="H575" s="95">
        <f>IF(OR(PROGRAMA_DETALLE!P375="PENDIENTE",PROGRAMA_DETALLE!P375="PARCIAL"),PROGRAMA_DETALLE!M375,0)</f>
        <v>0</v>
      </c>
      <c r="I575" s="94" t="str">
        <f>IF(PROGRAMA_DETALLE!P375="","",PROGRAMA_DETALLE!P375)</f>
        <v/>
      </c>
    </row>
    <row r="576" ht="15.75" customHeight="1">
      <c r="A576" s="87" t="s">
        <v>229</v>
      </c>
      <c r="B576" s="93" t="str">
        <f>IFERROR(VLOOKUP(PROGRAMA_DETALLE!A376,PROGRAMAS!$A$4:$B$103,2,FALSE()),"")</f>
        <v/>
      </c>
      <c r="C576" s="84" t="str">
        <f>IF(PROGRAMA_DETALLE!A376="","","Tejedora")</f>
        <v/>
      </c>
      <c r="D576" s="94" t="str">
        <f>IF(PROGRAMA_DETALLE!N376="","",PROGRAMA_DETALLE!N376)</f>
        <v/>
      </c>
      <c r="E576" s="84" t="str">
        <f>IF(PROGRAMA_DETALLE!A376="","","Tejido "&amp;PROGRAMA_DETALLE!A376&amp;" "&amp;PROGRAMA_DETALLE!B376)</f>
        <v/>
      </c>
      <c r="F576" s="95" t="str">
        <f>IF(PROGRAMA_DETALLE!M376=0,"",PROGRAMA_DETALLE!M376)</f>
        <v/>
      </c>
      <c r="G576" s="95">
        <f>IF(PROGRAMA_DETALLE!P376="PAGADO",PROGRAMA_DETALLE!M376,0)</f>
        <v>0</v>
      </c>
      <c r="H576" s="95">
        <f>IF(OR(PROGRAMA_DETALLE!P376="PENDIENTE",PROGRAMA_DETALLE!P376="PARCIAL"),PROGRAMA_DETALLE!M376,0)</f>
        <v>0</v>
      </c>
      <c r="I576" s="94" t="str">
        <f>IF(PROGRAMA_DETALLE!P376="","",PROGRAMA_DETALLE!P376)</f>
        <v/>
      </c>
    </row>
    <row r="577" ht="15.75" customHeight="1">
      <c r="A577" s="87" t="s">
        <v>229</v>
      </c>
      <c r="B577" s="93" t="str">
        <f>IFERROR(VLOOKUP(PROGRAMA_DETALLE!A377,PROGRAMAS!$A$4:$B$103,2,FALSE()),"")</f>
        <v/>
      </c>
      <c r="C577" s="84" t="str">
        <f>IF(PROGRAMA_DETALLE!A377="","","Tejedora")</f>
        <v/>
      </c>
      <c r="D577" s="94" t="str">
        <f>IF(PROGRAMA_DETALLE!N377="","",PROGRAMA_DETALLE!N377)</f>
        <v/>
      </c>
      <c r="E577" s="84" t="str">
        <f>IF(PROGRAMA_DETALLE!A377="","","Tejido "&amp;PROGRAMA_DETALLE!A377&amp;" "&amp;PROGRAMA_DETALLE!B377)</f>
        <v/>
      </c>
      <c r="F577" s="95" t="str">
        <f>IF(PROGRAMA_DETALLE!M377=0,"",PROGRAMA_DETALLE!M377)</f>
        <v/>
      </c>
      <c r="G577" s="95">
        <f>IF(PROGRAMA_DETALLE!P377="PAGADO",PROGRAMA_DETALLE!M377,0)</f>
        <v>0</v>
      </c>
      <c r="H577" s="95">
        <f>IF(OR(PROGRAMA_DETALLE!P377="PENDIENTE",PROGRAMA_DETALLE!P377="PARCIAL"),PROGRAMA_DETALLE!M377,0)</f>
        <v>0</v>
      </c>
      <c r="I577" s="94" t="str">
        <f>IF(PROGRAMA_DETALLE!P377="","",PROGRAMA_DETALLE!P377)</f>
        <v/>
      </c>
    </row>
    <row r="578" ht="15.75" customHeight="1">
      <c r="A578" s="87" t="s">
        <v>229</v>
      </c>
      <c r="B578" s="93" t="str">
        <f>IFERROR(VLOOKUP(PROGRAMA_DETALLE!A378,PROGRAMAS!$A$4:$B$103,2,FALSE()),"")</f>
        <v/>
      </c>
      <c r="C578" s="84" t="str">
        <f>IF(PROGRAMA_DETALLE!A378="","","Tejedora")</f>
        <v/>
      </c>
      <c r="D578" s="94" t="str">
        <f>IF(PROGRAMA_DETALLE!N378="","",PROGRAMA_DETALLE!N378)</f>
        <v/>
      </c>
      <c r="E578" s="84" t="str">
        <f>IF(PROGRAMA_DETALLE!A378="","","Tejido "&amp;PROGRAMA_DETALLE!A378&amp;" "&amp;PROGRAMA_DETALLE!B378)</f>
        <v/>
      </c>
      <c r="F578" s="95" t="str">
        <f>IF(PROGRAMA_DETALLE!M378=0,"",PROGRAMA_DETALLE!M378)</f>
        <v/>
      </c>
      <c r="G578" s="95">
        <f>IF(PROGRAMA_DETALLE!P378="PAGADO",PROGRAMA_DETALLE!M378,0)</f>
        <v>0</v>
      </c>
      <c r="H578" s="95">
        <f>IF(OR(PROGRAMA_DETALLE!P378="PENDIENTE",PROGRAMA_DETALLE!P378="PARCIAL"),PROGRAMA_DETALLE!M378,0)</f>
        <v>0</v>
      </c>
      <c r="I578" s="94" t="str">
        <f>IF(PROGRAMA_DETALLE!P378="","",PROGRAMA_DETALLE!P378)</f>
        <v/>
      </c>
    </row>
    <row r="579" ht="15.75" customHeight="1">
      <c r="A579" s="87" t="s">
        <v>229</v>
      </c>
      <c r="B579" s="93" t="str">
        <f>IFERROR(VLOOKUP(PROGRAMA_DETALLE!A379,PROGRAMAS!$A$4:$B$103,2,FALSE()),"")</f>
        <v/>
      </c>
      <c r="C579" s="84" t="str">
        <f>IF(PROGRAMA_DETALLE!A379="","","Tejedora")</f>
        <v/>
      </c>
      <c r="D579" s="94" t="str">
        <f>IF(PROGRAMA_DETALLE!N379="","",PROGRAMA_DETALLE!N379)</f>
        <v/>
      </c>
      <c r="E579" s="84" t="str">
        <f>IF(PROGRAMA_DETALLE!A379="","","Tejido "&amp;PROGRAMA_DETALLE!A379&amp;" "&amp;PROGRAMA_DETALLE!B379)</f>
        <v/>
      </c>
      <c r="F579" s="95" t="str">
        <f>IF(PROGRAMA_DETALLE!M379=0,"",PROGRAMA_DETALLE!M379)</f>
        <v/>
      </c>
      <c r="G579" s="95">
        <f>IF(PROGRAMA_DETALLE!P379="PAGADO",PROGRAMA_DETALLE!M379,0)</f>
        <v>0</v>
      </c>
      <c r="H579" s="95">
        <f>IF(OR(PROGRAMA_DETALLE!P379="PENDIENTE",PROGRAMA_DETALLE!P379="PARCIAL"),PROGRAMA_DETALLE!M379,0)</f>
        <v>0</v>
      </c>
      <c r="I579" s="94" t="str">
        <f>IF(PROGRAMA_DETALLE!P379="","",PROGRAMA_DETALLE!P379)</f>
        <v/>
      </c>
    </row>
    <row r="580" ht="15.75" customHeight="1">
      <c r="A580" s="87" t="s">
        <v>229</v>
      </c>
      <c r="B580" s="93" t="str">
        <f>IFERROR(VLOOKUP(PROGRAMA_DETALLE!A380,PROGRAMAS!$A$4:$B$103,2,FALSE()),"")</f>
        <v/>
      </c>
      <c r="C580" s="84" t="str">
        <f>IF(PROGRAMA_DETALLE!A380="","","Tejedora")</f>
        <v/>
      </c>
      <c r="D580" s="94" t="str">
        <f>IF(PROGRAMA_DETALLE!N380="","",PROGRAMA_DETALLE!N380)</f>
        <v/>
      </c>
      <c r="E580" s="84" t="str">
        <f>IF(PROGRAMA_DETALLE!A380="","","Tejido "&amp;PROGRAMA_DETALLE!A380&amp;" "&amp;PROGRAMA_DETALLE!B380)</f>
        <v/>
      </c>
      <c r="F580" s="95" t="str">
        <f>IF(PROGRAMA_DETALLE!M380=0,"",PROGRAMA_DETALLE!M380)</f>
        <v/>
      </c>
      <c r="G580" s="95">
        <f>IF(PROGRAMA_DETALLE!P380="PAGADO",PROGRAMA_DETALLE!M380,0)</f>
        <v>0</v>
      </c>
      <c r="H580" s="95">
        <f>IF(OR(PROGRAMA_DETALLE!P380="PENDIENTE",PROGRAMA_DETALLE!P380="PARCIAL"),PROGRAMA_DETALLE!M380,0)</f>
        <v>0</v>
      </c>
      <c r="I580" s="94" t="str">
        <f>IF(PROGRAMA_DETALLE!P380="","",PROGRAMA_DETALLE!P380)</f>
        <v/>
      </c>
    </row>
    <row r="581" ht="15.75" customHeight="1">
      <c r="A581" s="87" t="s">
        <v>229</v>
      </c>
      <c r="B581" s="93" t="str">
        <f>IFERROR(VLOOKUP(PROGRAMA_DETALLE!A381,PROGRAMAS!$A$4:$B$103,2,FALSE()),"")</f>
        <v/>
      </c>
      <c r="C581" s="84" t="str">
        <f>IF(PROGRAMA_DETALLE!A381="","","Tejedora")</f>
        <v/>
      </c>
      <c r="D581" s="94" t="str">
        <f>IF(PROGRAMA_DETALLE!N381="","",PROGRAMA_DETALLE!N381)</f>
        <v/>
      </c>
      <c r="E581" s="84" t="str">
        <f>IF(PROGRAMA_DETALLE!A381="","","Tejido "&amp;PROGRAMA_DETALLE!A381&amp;" "&amp;PROGRAMA_DETALLE!B381)</f>
        <v/>
      </c>
      <c r="F581" s="95" t="str">
        <f>IF(PROGRAMA_DETALLE!M381=0,"",PROGRAMA_DETALLE!M381)</f>
        <v/>
      </c>
      <c r="G581" s="95">
        <f>IF(PROGRAMA_DETALLE!P381="PAGADO",PROGRAMA_DETALLE!M381,0)</f>
        <v>0</v>
      </c>
      <c r="H581" s="95">
        <f>IF(OR(PROGRAMA_DETALLE!P381="PENDIENTE",PROGRAMA_DETALLE!P381="PARCIAL"),PROGRAMA_DETALLE!M381,0)</f>
        <v>0</v>
      </c>
      <c r="I581" s="94" t="str">
        <f>IF(PROGRAMA_DETALLE!P381="","",PROGRAMA_DETALLE!P381)</f>
        <v/>
      </c>
    </row>
    <row r="582" ht="15.75" customHeight="1">
      <c r="A582" s="87" t="s">
        <v>229</v>
      </c>
      <c r="B582" s="93" t="str">
        <f>IFERROR(VLOOKUP(PROGRAMA_DETALLE!A382,PROGRAMAS!$A$4:$B$103,2,FALSE()),"")</f>
        <v/>
      </c>
      <c r="C582" s="84" t="str">
        <f>IF(PROGRAMA_DETALLE!A382="","","Tejedora")</f>
        <v/>
      </c>
      <c r="D582" s="94" t="str">
        <f>IF(PROGRAMA_DETALLE!N382="","",PROGRAMA_DETALLE!N382)</f>
        <v/>
      </c>
      <c r="E582" s="84" t="str">
        <f>IF(PROGRAMA_DETALLE!A382="","","Tejido "&amp;PROGRAMA_DETALLE!A382&amp;" "&amp;PROGRAMA_DETALLE!B382)</f>
        <v/>
      </c>
      <c r="F582" s="95" t="str">
        <f>IF(PROGRAMA_DETALLE!M382=0,"",PROGRAMA_DETALLE!M382)</f>
        <v/>
      </c>
      <c r="G582" s="95">
        <f>IF(PROGRAMA_DETALLE!P382="PAGADO",PROGRAMA_DETALLE!M382,0)</f>
        <v>0</v>
      </c>
      <c r="H582" s="95">
        <f>IF(OR(PROGRAMA_DETALLE!P382="PENDIENTE",PROGRAMA_DETALLE!P382="PARCIAL"),PROGRAMA_DETALLE!M382,0)</f>
        <v>0</v>
      </c>
      <c r="I582" s="94" t="str">
        <f>IF(PROGRAMA_DETALLE!P382="","",PROGRAMA_DETALLE!P382)</f>
        <v/>
      </c>
    </row>
    <row r="583" ht="15.75" customHeight="1">
      <c r="A583" s="87" t="s">
        <v>229</v>
      </c>
      <c r="B583" s="93" t="str">
        <f>IFERROR(VLOOKUP(PROGRAMA_DETALLE!A383,PROGRAMAS!$A$4:$B$103,2,FALSE()),"")</f>
        <v/>
      </c>
      <c r="C583" s="84" t="str">
        <f>IF(PROGRAMA_DETALLE!A383="","","Tejedora")</f>
        <v/>
      </c>
      <c r="D583" s="94" t="str">
        <f>IF(PROGRAMA_DETALLE!N383="","",PROGRAMA_DETALLE!N383)</f>
        <v/>
      </c>
      <c r="E583" s="84" t="str">
        <f>IF(PROGRAMA_DETALLE!A383="","","Tejido "&amp;PROGRAMA_DETALLE!A383&amp;" "&amp;PROGRAMA_DETALLE!B383)</f>
        <v/>
      </c>
      <c r="F583" s="95" t="str">
        <f>IF(PROGRAMA_DETALLE!M383=0,"",PROGRAMA_DETALLE!M383)</f>
        <v/>
      </c>
      <c r="G583" s="95">
        <f>IF(PROGRAMA_DETALLE!P383="PAGADO",PROGRAMA_DETALLE!M383,0)</f>
        <v>0</v>
      </c>
      <c r="H583" s="95">
        <f>IF(OR(PROGRAMA_DETALLE!P383="PENDIENTE",PROGRAMA_DETALLE!P383="PARCIAL"),PROGRAMA_DETALLE!M383,0)</f>
        <v>0</v>
      </c>
      <c r="I583" s="94" t="str">
        <f>IF(PROGRAMA_DETALLE!P383="","",PROGRAMA_DETALLE!P383)</f>
        <v/>
      </c>
    </row>
    <row r="584" ht="15.75" customHeight="1">
      <c r="A584" s="87" t="s">
        <v>229</v>
      </c>
      <c r="B584" s="93" t="str">
        <f>IFERROR(VLOOKUP(PROGRAMA_DETALLE!A384,PROGRAMAS!$A$4:$B$103,2,FALSE()),"")</f>
        <v/>
      </c>
      <c r="C584" s="84" t="str">
        <f>IF(PROGRAMA_DETALLE!A384="","","Tejedora")</f>
        <v/>
      </c>
      <c r="D584" s="94" t="str">
        <f>IF(PROGRAMA_DETALLE!N384="","",PROGRAMA_DETALLE!N384)</f>
        <v/>
      </c>
      <c r="E584" s="84" t="str">
        <f>IF(PROGRAMA_DETALLE!A384="","","Tejido "&amp;PROGRAMA_DETALLE!A384&amp;" "&amp;PROGRAMA_DETALLE!B384)</f>
        <v/>
      </c>
      <c r="F584" s="95" t="str">
        <f>IF(PROGRAMA_DETALLE!M384=0,"",PROGRAMA_DETALLE!M384)</f>
        <v/>
      </c>
      <c r="G584" s="95">
        <f>IF(PROGRAMA_DETALLE!P384="PAGADO",PROGRAMA_DETALLE!M384,0)</f>
        <v>0</v>
      </c>
      <c r="H584" s="95">
        <f>IF(OR(PROGRAMA_DETALLE!P384="PENDIENTE",PROGRAMA_DETALLE!P384="PARCIAL"),PROGRAMA_DETALLE!M384,0)</f>
        <v>0</v>
      </c>
      <c r="I584" s="94" t="str">
        <f>IF(PROGRAMA_DETALLE!P384="","",PROGRAMA_DETALLE!P384)</f>
        <v/>
      </c>
    </row>
    <row r="585" ht="15.75" customHeight="1">
      <c r="A585" s="87" t="s">
        <v>229</v>
      </c>
      <c r="B585" s="93" t="str">
        <f>IFERROR(VLOOKUP(PROGRAMA_DETALLE!A385,PROGRAMAS!$A$4:$B$103,2,FALSE()),"")</f>
        <v/>
      </c>
      <c r="C585" s="84" t="str">
        <f>IF(PROGRAMA_DETALLE!A385="","","Tejedora")</f>
        <v/>
      </c>
      <c r="D585" s="94" t="str">
        <f>IF(PROGRAMA_DETALLE!N385="","",PROGRAMA_DETALLE!N385)</f>
        <v/>
      </c>
      <c r="E585" s="84" t="str">
        <f>IF(PROGRAMA_DETALLE!A385="","","Tejido "&amp;PROGRAMA_DETALLE!A385&amp;" "&amp;PROGRAMA_DETALLE!B385)</f>
        <v/>
      </c>
      <c r="F585" s="95" t="str">
        <f>IF(PROGRAMA_DETALLE!M385=0,"",PROGRAMA_DETALLE!M385)</f>
        <v/>
      </c>
      <c r="G585" s="95">
        <f>IF(PROGRAMA_DETALLE!P385="PAGADO",PROGRAMA_DETALLE!M385,0)</f>
        <v>0</v>
      </c>
      <c r="H585" s="95">
        <f>IF(OR(PROGRAMA_DETALLE!P385="PENDIENTE",PROGRAMA_DETALLE!P385="PARCIAL"),PROGRAMA_DETALLE!M385,0)</f>
        <v>0</v>
      </c>
      <c r="I585" s="94" t="str">
        <f>IF(PROGRAMA_DETALLE!P385="","",PROGRAMA_DETALLE!P385)</f>
        <v/>
      </c>
    </row>
    <row r="586" ht="15.75" customHeight="1">
      <c r="A586" s="87" t="s">
        <v>229</v>
      </c>
      <c r="B586" s="93" t="str">
        <f>IFERROR(VLOOKUP(PROGRAMA_DETALLE!A386,PROGRAMAS!$A$4:$B$103,2,FALSE()),"")</f>
        <v/>
      </c>
      <c r="C586" s="84" t="str">
        <f>IF(PROGRAMA_DETALLE!A386="","","Tejedora")</f>
        <v/>
      </c>
      <c r="D586" s="94" t="str">
        <f>IF(PROGRAMA_DETALLE!N386="","",PROGRAMA_DETALLE!N386)</f>
        <v/>
      </c>
      <c r="E586" s="84" t="str">
        <f>IF(PROGRAMA_DETALLE!A386="","","Tejido "&amp;PROGRAMA_DETALLE!A386&amp;" "&amp;PROGRAMA_DETALLE!B386)</f>
        <v/>
      </c>
      <c r="F586" s="95" t="str">
        <f>IF(PROGRAMA_DETALLE!M386=0,"",PROGRAMA_DETALLE!M386)</f>
        <v/>
      </c>
      <c r="G586" s="95">
        <f>IF(PROGRAMA_DETALLE!P386="PAGADO",PROGRAMA_DETALLE!M386,0)</f>
        <v>0</v>
      </c>
      <c r="H586" s="95">
        <f>IF(OR(PROGRAMA_DETALLE!P386="PENDIENTE",PROGRAMA_DETALLE!P386="PARCIAL"),PROGRAMA_DETALLE!M386,0)</f>
        <v>0</v>
      </c>
      <c r="I586" s="94" t="str">
        <f>IF(PROGRAMA_DETALLE!P386="","",PROGRAMA_DETALLE!P386)</f>
        <v/>
      </c>
    </row>
    <row r="587" ht="15.75" customHeight="1">
      <c r="A587" s="87" t="s">
        <v>229</v>
      </c>
      <c r="B587" s="93" t="str">
        <f>IFERROR(VLOOKUP(PROGRAMA_DETALLE!A387,PROGRAMAS!$A$4:$B$103,2,FALSE()),"")</f>
        <v/>
      </c>
      <c r="C587" s="84" t="str">
        <f>IF(PROGRAMA_DETALLE!A387="","","Tejedora")</f>
        <v/>
      </c>
      <c r="D587" s="94" t="str">
        <f>IF(PROGRAMA_DETALLE!N387="","",PROGRAMA_DETALLE!N387)</f>
        <v/>
      </c>
      <c r="E587" s="84" t="str">
        <f>IF(PROGRAMA_DETALLE!A387="","","Tejido "&amp;PROGRAMA_DETALLE!A387&amp;" "&amp;PROGRAMA_DETALLE!B387)</f>
        <v/>
      </c>
      <c r="F587" s="95" t="str">
        <f>IF(PROGRAMA_DETALLE!M387=0,"",PROGRAMA_DETALLE!M387)</f>
        <v/>
      </c>
      <c r="G587" s="95">
        <f>IF(PROGRAMA_DETALLE!P387="PAGADO",PROGRAMA_DETALLE!M387,0)</f>
        <v>0</v>
      </c>
      <c r="H587" s="95">
        <f>IF(OR(PROGRAMA_DETALLE!P387="PENDIENTE",PROGRAMA_DETALLE!P387="PARCIAL"),PROGRAMA_DETALLE!M387,0)</f>
        <v>0</v>
      </c>
      <c r="I587" s="94" t="str">
        <f>IF(PROGRAMA_DETALLE!P387="","",PROGRAMA_DETALLE!P387)</f>
        <v/>
      </c>
    </row>
    <row r="588" ht="15.75" customHeight="1">
      <c r="A588" s="87" t="s">
        <v>229</v>
      </c>
      <c r="B588" s="93" t="str">
        <f>IFERROR(VLOOKUP(PROGRAMA_DETALLE!A388,PROGRAMAS!$A$4:$B$103,2,FALSE()),"")</f>
        <v/>
      </c>
      <c r="C588" s="84" t="str">
        <f>IF(PROGRAMA_DETALLE!A388="","","Tejedora")</f>
        <v/>
      </c>
      <c r="D588" s="94" t="str">
        <f>IF(PROGRAMA_DETALLE!N388="","",PROGRAMA_DETALLE!N388)</f>
        <v/>
      </c>
      <c r="E588" s="84" t="str">
        <f>IF(PROGRAMA_DETALLE!A388="","","Tejido "&amp;PROGRAMA_DETALLE!A388&amp;" "&amp;PROGRAMA_DETALLE!B388)</f>
        <v/>
      </c>
      <c r="F588" s="95" t="str">
        <f>IF(PROGRAMA_DETALLE!M388=0,"",PROGRAMA_DETALLE!M388)</f>
        <v/>
      </c>
      <c r="G588" s="95">
        <f>IF(PROGRAMA_DETALLE!P388="PAGADO",PROGRAMA_DETALLE!M388,0)</f>
        <v>0</v>
      </c>
      <c r="H588" s="95">
        <f>IF(OR(PROGRAMA_DETALLE!P388="PENDIENTE",PROGRAMA_DETALLE!P388="PARCIAL"),PROGRAMA_DETALLE!M388,0)</f>
        <v>0</v>
      </c>
      <c r="I588" s="94" t="str">
        <f>IF(PROGRAMA_DETALLE!P388="","",PROGRAMA_DETALLE!P388)</f>
        <v/>
      </c>
    </row>
    <row r="589" ht="15.75" customHeight="1">
      <c r="A589" s="87" t="s">
        <v>229</v>
      </c>
      <c r="B589" s="93" t="str">
        <f>IFERROR(VLOOKUP(PROGRAMA_DETALLE!A389,PROGRAMAS!$A$4:$B$103,2,FALSE()),"")</f>
        <v/>
      </c>
      <c r="C589" s="84" t="str">
        <f>IF(PROGRAMA_DETALLE!A389="","","Tejedora")</f>
        <v/>
      </c>
      <c r="D589" s="94" t="str">
        <f>IF(PROGRAMA_DETALLE!N389="","",PROGRAMA_DETALLE!N389)</f>
        <v/>
      </c>
      <c r="E589" s="84" t="str">
        <f>IF(PROGRAMA_DETALLE!A389="","","Tejido "&amp;PROGRAMA_DETALLE!A389&amp;" "&amp;PROGRAMA_DETALLE!B389)</f>
        <v/>
      </c>
      <c r="F589" s="95" t="str">
        <f>IF(PROGRAMA_DETALLE!M389=0,"",PROGRAMA_DETALLE!M389)</f>
        <v/>
      </c>
      <c r="G589" s="95">
        <f>IF(PROGRAMA_DETALLE!P389="PAGADO",PROGRAMA_DETALLE!M389,0)</f>
        <v>0</v>
      </c>
      <c r="H589" s="95">
        <f>IF(OR(PROGRAMA_DETALLE!P389="PENDIENTE",PROGRAMA_DETALLE!P389="PARCIAL"),PROGRAMA_DETALLE!M389,0)</f>
        <v>0</v>
      </c>
      <c r="I589" s="94" t="str">
        <f>IF(PROGRAMA_DETALLE!P389="","",PROGRAMA_DETALLE!P389)</f>
        <v/>
      </c>
    </row>
    <row r="590" ht="15.75" customHeight="1">
      <c r="A590" s="87" t="s">
        <v>229</v>
      </c>
      <c r="B590" s="93" t="str">
        <f>IFERROR(VLOOKUP(PROGRAMA_DETALLE!A390,PROGRAMAS!$A$4:$B$103,2,FALSE()),"")</f>
        <v/>
      </c>
      <c r="C590" s="84" t="str">
        <f>IF(PROGRAMA_DETALLE!A390="","","Tejedora")</f>
        <v/>
      </c>
      <c r="D590" s="94" t="str">
        <f>IF(PROGRAMA_DETALLE!N390="","",PROGRAMA_DETALLE!N390)</f>
        <v/>
      </c>
      <c r="E590" s="84" t="str">
        <f>IF(PROGRAMA_DETALLE!A390="","","Tejido "&amp;PROGRAMA_DETALLE!A390&amp;" "&amp;PROGRAMA_DETALLE!B390)</f>
        <v/>
      </c>
      <c r="F590" s="95" t="str">
        <f>IF(PROGRAMA_DETALLE!M390=0,"",PROGRAMA_DETALLE!M390)</f>
        <v/>
      </c>
      <c r="G590" s="95">
        <f>IF(PROGRAMA_DETALLE!P390="PAGADO",PROGRAMA_DETALLE!M390,0)</f>
        <v>0</v>
      </c>
      <c r="H590" s="95">
        <f>IF(OR(PROGRAMA_DETALLE!P390="PENDIENTE",PROGRAMA_DETALLE!P390="PARCIAL"),PROGRAMA_DETALLE!M390,0)</f>
        <v>0</v>
      </c>
      <c r="I590" s="94" t="str">
        <f>IF(PROGRAMA_DETALLE!P390="","",PROGRAMA_DETALLE!P390)</f>
        <v/>
      </c>
    </row>
    <row r="591" ht="15.75" customHeight="1">
      <c r="A591" s="87" t="s">
        <v>229</v>
      </c>
      <c r="B591" s="93" t="str">
        <f>IFERROR(VLOOKUP(PROGRAMA_DETALLE!A391,PROGRAMAS!$A$4:$B$103,2,FALSE()),"")</f>
        <v/>
      </c>
      <c r="C591" s="84" t="str">
        <f>IF(PROGRAMA_DETALLE!A391="","","Tejedora")</f>
        <v/>
      </c>
      <c r="D591" s="94" t="str">
        <f>IF(PROGRAMA_DETALLE!N391="","",PROGRAMA_DETALLE!N391)</f>
        <v/>
      </c>
      <c r="E591" s="84" t="str">
        <f>IF(PROGRAMA_DETALLE!A391="","","Tejido "&amp;PROGRAMA_DETALLE!A391&amp;" "&amp;PROGRAMA_DETALLE!B391)</f>
        <v/>
      </c>
      <c r="F591" s="95" t="str">
        <f>IF(PROGRAMA_DETALLE!M391=0,"",PROGRAMA_DETALLE!M391)</f>
        <v/>
      </c>
      <c r="G591" s="95">
        <f>IF(PROGRAMA_DETALLE!P391="PAGADO",PROGRAMA_DETALLE!M391,0)</f>
        <v>0</v>
      </c>
      <c r="H591" s="95">
        <f>IF(OR(PROGRAMA_DETALLE!P391="PENDIENTE",PROGRAMA_DETALLE!P391="PARCIAL"),PROGRAMA_DETALLE!M391,0)</f>
        <v>0</v>
      </c>
      <c r="I591" s="94" t="str">
        <f>IF(PROGRAMA_DETALLE!P391="","",PROGRAMA_DETALLE!P391)</f>
        <v/>
      </c>
    </row>
    <row r="592" ht="15.75" customHeight="1">
      <c r="A592" s="87" t="s">
        <v>229</v>
      </c>
      <c r="B592" s="93" t="str">
        <f>IFERROR(VLOOKUP(PROGRAMA_DETALLE!A392,PROGRAMAS!$A$4:$B$103,2,FALSE()),"")</f>
        <v/>
      </c>
      <c r="C592" s="84" t="str">
        <f>IF(PROGRAMA_DETALLE!A392="","","Tejedora")</f>
        <v/>
      </c>
      <c r="D592" s="94" t="str">
        <f>IF(PROGRAMA_DETALLE!N392="","",PROGRAMA_DETALLE!N392)</f>
        <v/>
      </c>
      <c r="E592" s="84" t="str">
        <f>IF(PROGRAMA_DETALLE!A392="","","Tejido "&amp;PROGRAMA_DETALLE!A392&amp;" "&amp;PROGRAMA_DETALLE!B392)</f>
        <v/>
      </c>
      <c r="F592" s="95" t="str">
        <f>IF(PROGRAMA_DETALLE!M392=0,"",PROGRAMA_DETALLE!M392)</f>
        <v/>
      </c>
      <c r="G592" s="95">
        <f>IF(PROGRAMA_DETALLE!P392="PAGADO",PROGRAMA_DETALLE!M392,0)</f>
        <v>0</v>
      </c>
      <c r="H592" s="95">
        <f>IF(OR(PROGRAMA_DETALLE!P392="PENDIENTE",PROGRAMA_DETALLE!P392="PARCIAL"),PROGRAMA_DETALLE!M392,0)</f>
        <v>0</v>
      </c>
      <c r="I592" s="94" t="str">
        <f>IF(PROGRAMA_DETALLE!P392="","",PROGRAMA_DETALLE!P392)</f>
        <v/>
      </c>
    </row>
    <row r="593" ht="15.75" customHeight="1">
      <c r="A593" s="87" t="s">
        <v>229</v>
      </c>
      <c r="B593" s="93" t="str">
        <f>IFERROR(VLOOKUP(PROGRAMA_DETALLE!A393,PROGRAMAS!$A$4:$B$103,2,FALSE()),"")</f>
        <v/>
      </c>
      <c r="C593" s="84" t="str">
        <f>IF(PROGRAMA_DETALLE!A393="","","Tejedora")</f>
        <v/>
      </c>
      <c r="D593" s="94" t="str">
        <f>IF(PROGRAMA_DETALLE!N393="","",PROGRAMA_DETALLE!N393)</f>
        <v/>
      </c>
      <c r="E593" s="84" t="str">
        <f>IF(PROGRAMA_DETALLE!A393="","","Tejido "&amp;PROGRAMA_DETALLE!A393&amp;" "&amp;PROGRAMA_DETALLE!B393)</f>
        <v/>
      </c>
      <c r="F593" s="95" t="str">
        <f>IF(PROGRAMA_DETALLE!M393=0,"",PROGRAMA_DETALLE!M393)</f>
        <v/>
      </c>
      <c r="G593" s="95">
        <f>IF(PROGRAMA_DETALLE!P393="PAGADO",PROGRAMA_DETALLE!M393,0)</f>
        <v>0</v>
      </c>
      <c r="H593" s="95">
        <f>IF(OR(PROGRAMA_DETALLE!P393="PENDIENTE",PROGRAMA_DETALLE!P393="PARCIAL"),PROGRAMA_DETALLE!M393,0)</f>
        <v>0</v>
      </c>
      <c r="I593" s="94" t="str">
        <f>IF(PROGRAMA_DETALLE!P393="","",PROGRAMA_DETALLE!P393)</f>
        <v/>
      </c>
    </row>
    <row r="594" ht="15.75" customHeight="1">
      <c r="A594" s="87" t="s">
        <v>229</v>
      </c>
      <c r="B594" s="93" t="str">
        <f>IFERROR(VLOOKUP(PROGRAMA_DETALLE!A394,PROGRAMAS!$A$4:$B$103,2,FALSE()),"")</f>
        <v/>
      </c>
      <c r="C594" s="84" t="str">
        <f>IF(PROGRAMA_DETALLE!A394="","","Tejedora")</f>
        <v/>
      </c>
      <c r="D594" s="94" t="str">
        <f>IF(PROGRAMA_DETALLE!N394="","",PROGRAMA_DETALLE!N394)</f>
        <v/>
      </c>
      <c r="E594" s="84" t="str">
        <f>IF(PROGRAMA_DETALLE!A394="","","Tejido "&amp;PROGRAMA_DETALLE!A394&amp;" "&amp;PROGRAMA_DETALLE!B394)</f>
        <v/>
      </c>
      <c r="F594" s="95" t="str">
        <f>IF(PROGRAMA_DETALLE!M394=0,"",PROGRAMA_DETALLE!M394)</f>
        <v/>
      </c>
      <c r="G594" s="95">
        <f>IF(PROGRAMA_DETALLE!P394="PAGADO",PROGRAMA_DETALLE!M394,0)</f>
        <v>0</v>
      </c>
      <c r="H594" s="95">
        <f>IF(OR(PROGRAMA_DETALLE!P394="PENDIENTE",PROGRAMA_DETALLE!P394="PARCIAL"),PROGRAMA_DETALLE!M394,0)</f>
        <v>0</v>
      </c>
      <c r="I594" s="94" t="str">
        <f>IF(PROGRAMA_DETALLE!P394="","",PROGRAMA_DETALLE!P394)</f>
        <v/>
      </c>
    </row>
    <row r="595" ht="15.75" customHeight="1">
      <c r="A595" s="87" t="s">
        <v>229</v>
      </c>
      <c r="B595" s="93" t="str">
        <f>IFERROR(VLOOKUP(PROGRAMA_DETALLE!A395,PROGRAMAS!$A$4:$B$103,2,FALSE()),"")</f>
        <v/>
      </c>
      <c r="C595" s="84" t="str">
        <f>IF(PROGRAMA_DETALLE!A395="","","Tejedora")</f>
        <v/>
      </c>
      <c r="D595" s="94" t="str">
        <f>IF(PROGRAMA_DETALLE!N395="","",PROGRAMA_DETALLE!N395)</f>
        <v/>
      </c>
      <c r="E595" s="84" t="str">
        <f>IF(PROGRAMA_DETALLE!A395="","","Tejido "&amp;PROGRAMA_DETALLE!A395&amp;" "&amp;PROGRAMA_DETALLE!B395)</f>
        <v/>
      </c>
      <c r="F595" s="95" t="str">
        <f>IF(PROGRAMA_DETALLE!M395=0,"",PROGRAMA_DETALLE!M395)</f>
        <v/>
      </c>
      <c r="G595" s="95">
        <f>IF(PROGRAMA_DETALLE!P395="PAGADO",PROGRAMA_DETALLE!M395,0)</f>
        <v>0</v>
      </c>
      <c r="H595" s="95">
        <f>IF(OR(PROGRAMA_DETALLE!P395="PENDIENTE",PROGRAMA_DETALLE!P395="PARCIAL"),PROGRAMA_DETALLE!M395,0)</f>
        <v>0</v>
      </c>
      <c r="I595" s="94" t="str">
        <f>IF(PROGRAMA_DETALLE!P395="","",PROGRAMA_DETALLE!P395)</f>
        <v/>
      </c>
    </row>
    <row r="596" ht="15.75" customHeight="1">
      <c r="A596" s="87" t="s">
        <v>229</v>
      </c>
      <c r="B596" s="93" t="str">
        <f>IFERROR(VLOOKUP(PROGRAMA_DETALLE!A396,PROGRAMAS!$A$4:$B$103,2,FALSE()),"")</f>
        <v/>
      </c>
      <c r="C596" s="84" t="str">
        <f>IF(PROGRAMA_DETALLE!A396="","","Tejedora")</f>
        <v/>
      </c>
      <c r="D596" s="94" t="str">
        <f>IF(PROGRAMA_DETALLE!N396="","",PROGRAMA_DETALLE!N396)</f>
        <v/>
      </c>
      <c r="E596" s="84" t="str">
        <f>IF(PROGRAMA_DETALLE!A396="","","Tejido "&amp;PROGRAMA_DETALLE!A396&amp;" "&amp;PROGRAMA_DETALLE!B396)</f>
        <v/>
      </c>
      <c r="F596" s="95" t="str">
        <f>IF(PROGRAMA_DETALLE!M396=0,"",PROGRAMA_DETALLE!M396)</f>
        <v/>
      </c>
      <c r="G596" s="95">
        <f>IF(PROGRAMA_DETALLE!P396="PAGADO",PROGRAMA_DETALLE!M396,0)</f>
        <v>0</v>
      </c>
      <c r="H596" s="95">
        <f>IF(OR(PROGRAMA_DETALLE!P396="PENDIENTE",PROGRAMA_DETALLE!P396="PARCIAL"),PROGRAMA_DETALLE!M396,0)</f>
        <v>0</v>
      </c>
      <c r="I596" s="94" t="str">
        <f>IF(PROGRAMA_DETALLE!P396="","",PROGRAMA_DETALLE!P396)</f>
        <v/>
      </c>
    </row>
    <row r="597" ht="15.75" customHeight="1">
      <c r="A597" s="87" t="s">
        <v>229</v>
      </c>
      <c r="B597" s="93" t="str">
        <f>IFERROR(VLOOKUP(PROGRAMA_DETALLE!A397,PROGRAMAS!$A$4:$B$103,2,FALSE()),"")</f>
        <v/>
      </c>
      <c r="C597" s="84" t="str">
        <f>IF(PROGRAMA_DETALLE!A397="","","Tejedora")</f>
        <v/>
      </c>
      <c r="D597" s="94" t="str">
        <f>IF(PROGRAMA_DETALLE!N397="","",PROGRAMA_DETALLE!N397)</f>
        <v/>
      </c>
      <c r="E597" s="84" t="str">
        <f>IF(PROGRAMA_DETALLE!A397="","","Tejido "&amp;PROGRAMA_DETALLE!A397&amp;" "&amp;PROGRAMA_DETALLE!B397)</f>
        <v/>
      </c>
      <c r="F597" s="95" t="str">
        <f>IF(PROGRAMA_DETALLE!M397=0,"",PROGRAMA_DETALLE!M397)</f>
        <v/>
      </c>
      <c r="G597" s="95">
        <f>IF(PROGRAMA_DETALLE!P397="PAGADO",PROGRAMA_DETALLE!M397,0)</f>
        <v>0</v>
      </c>
      <c r="H597" s="95">
        <f>IF(OR(PROGRAMA_DETALLE!P397="PENDIENTE",PROGRAMA_DETALLE!P397="PARCIAL"),PROGRAMA_DETALLE!M397,0)</f>
        <v>0</v>
      </c>
      <c r="I597" s="94" t="str">
        <f>IF(PROGRAMA_DETALLE!P397="","",PROGRAMA_DETALLE!P397)</f>
        <v/>
      </c>
    </row>
    <row r="598" ht="15.75" customHeight="1">
      <c r="A598" s="87" t="s">
        <v>229</v>
      </c>
      <c r="B598" s="93" t="str">
        <f>IFERROR(VLOOKUP(PROGRAMA_DETALLE!A398,PROGRAMAS!$A$4:$B$103,2,FALSE()),"")</f>
        <v/>
      </c>
      <c r="C598" s="84" t="str">
        <f>IF(PROGRAMA_DETALLE!A398="","","Tejedora")</f>
        <v/>
      </c>
      <c r="D598" s="94" t="str">
        <f>IF(PROGRAMA_DETALLE!N398="","",PROGRAMA_DETALLE!N398)</f>
        <v/>
      </c>
      <c r="E598" s="84" t="str">
        <f>IF(PROGRAMA_DETALLE!A398="","","Tejido "&amp;PROGRAMA_DETALLE!A398&amp;" "&amp;PROGRAMA_DETALLE!B398)</f>
        <v/>
      </c>
      <c r="F598" s="95" t="str">
        <f>IF(PROGRAMA_DETALLE!M398=0,"",PROGRAMA_DETALLE!M398)</f>
        <v/>
      </c>
      <c r="G598" s="95">
        <f>IF(PROGRAMA_DETALLE!P398="PAGADO",PROGRAMA_DETALLE!M398,0)</f>
        <v>0</v>
      </c>
      <c r="H598" s="95">
        <f>IF(OR(PROGRAMA_DETALLE!P398="PENDIENTE",PROGRAMA_DETALLE!P398="PARCIAL"),PROGRAMA_DETALLE!M398,0)</f>
        <v>0</v>
      </c>
      <c r="I598" s="94" t="str">
        <f>IF(PROGRAMA_DETALLE!P398="","",PROGRAMA_DETALLE!P398)</f>
        <v/>
      </c>
    </row>
    <row r="599" ht="15.75" customHeight="1">
      <c r="A599" s="87" t="s">
        <v>229</v>
      </c>
      <c r="B599" s="93" t="str">
        <f>IFERROR(VLOOKUP(PROGRAMA_DETALLE!A399,PROGRAMAS!$A$4:$B$103,2,FALSE()),"")</f>
        <v/>
      </c>
      <c r="C599" s="84" t="str">
        <f>IF(PROGRAMA_DETALLE!A399="","","Tejedora")</f>
        <v/>
      </c>
      <c r="D599" s="94" t="str">
        <f>IF(PROGRAMA_DETALLE!N399="","",PROGRAMA_DETALLE!N399)</f>
        <v/>
      </c>
      <c r="E599" s="84" t="str">
        <f>IF(PROGRAMA_DETALLE!A399="","","Tejido "&amp;PROGRAMA_DETALLE!A399&amp;" "&amp;PROGRAMA_DETALLE!B399)</f>
        <v/>
      </c>
      <c r="F599" s="95" t="str">
        <f>IF(PROGRAMA_DETALLE!M399=0,"",PROGRAMA_DETALLE!M399)</f>
        <v/>
      </c>
      <c r="G599" s="95">
        <f>IF(PROGRAMA_DETALLE!P399="PAGADO",PROGRAMA_DETALLE!M399,0)</f>
        <v>0</v>
      </c>
      <c r="H599" s="95">
        <f>IF(OR(PROGRAMA_DETALLE!P399="PENDIENTE",PROGRAMA_DETALLE!P399="PARCIAL"),PROGRAMA_DETALLE!M399,0)</f>
        <v>0</v>
      </c>
      <c r="I599" s="94" t="str">
        <f>IF(PROGRAMA_DETALLE!P399="","",PROGRAMA_DETALLE!P399)</f>
        <v/>
      </c>
    </row>
    <row r="600" ht="15.75" customHeight="1">
      <c r="A600" s="87" t="s">
        <v>229</v>
      </c>
      <c r="B600" s="93" t="str">
        <f>IFERROR(VLOOKUP(PROGRAMA_DETALLE!A400,PROGRAMAS!$A$4:$B$103,2,FALSE()),"")</f>
        <v/>
      </c>
      <c r="C600" s="84" t="str">
        <f>IF(PROGRAMA_DETALLE!A400="","","Tejedora")</f>
        <v/>
      </c>
      <c r="D600" s="94" t="str">
        <f>IF(PROGRAMA_DETALLE!N400="","",PROGRAMA_DETALLE!N400)</f>
        <v/>
      </c>
      <c r="E600" s="84" t="str">
        <f>IF(PROGRAMA_DETALLE!A400="","","Tejido "&amp;PROGRAMA_DETALLE!A400&amp;" "&amp;PROGRAMA_DETALLE!B400)</f>
        <v/>
      </c>
      <c r="F600" s="95" t="str">
        <f>IF(PROGRAMA_DETALLE!M400=0,"",PROGRAMA_DETALLE!M400)</f>
        <v/>
      </c>
      <c r="G600" s="95">
        <f>IF(PROGRAMA_DETALLE!P400="PAGADO",PROGRAMA_DETALLE!M400,0)</f>
        <v>0</v>
      </c>
      <c r="H600" s="95">
        <f>IF(OR(PROGRAMA_DETALLE!P400="PENDIENTE",PROGRAMA_DETALLE!P400="PARCIAL"),PROGRAMA_DETALLE!M400,0)</f>
        <v>0</v>
      </c>
      <c r="I600" s="94" t="str">
        <f>IF(PROGRAMA_DETALLE!P400="","",PROGRAMA_DETALLE!P400)</f>
        <v/>
      </c>
    </row>
    <row r="601" ht="15.75" customHeight="1">
      <c r="A601" s="87" t="s">
        <v>229</v>
      </c>
      <c r="B601" s="93" t="str">
        <f>IFERROR(VLOOKUP(PROGRAMA_DETALLE!A401,PROGRAMAS!$A$4:$B$103,2,FALSE()),"")</f>
        <v/>
      </c>
      <c r="C601" s="84" t="str">
        <f>IF(PROGRAMA_DETALLE!A401="","","Tejedora")</f>
        <v/>
      </c>
      <c r="D601" s="94" t="str">
        <f>IF(PROGRAMA_DETALLE!N401="","",PROGRAMA_DETALLE!N401)</f>
        <v/>
      </c>
      <c r="E601" s="84" t="str">
        <f>IF(PROGRAMA_DETALLE!A401="","","Tejido "&amp;PROGRAMA_DETALLE!A401&amp;" "&amp;PROGRAMA_DETALLE!B401)</f>
        <v/>
      </c>
      <c r="F601" s="95" t="str">
        <f>IF(PROGRAMA_DETALLE!M401=0,"",PROGRAMA_DETALLE!M401)</f>
        <v/>
      </c>
      <c r="G601" s="95">
        <f>IF(PROGRAMA_DETALLE!P401="PAGADO",PROGRAMA_DETALLE!M401,0)</f>
        <v>0</v>
      </c>
      <c r="H601" s="95">
        <f>IF(OR(PROGRAMA_DETALLE!P401="PENDIENTE",PROGRAMA_DETALLE!P401="PARCIAL"),PROGRAMA_DETALLE!M401,0)</f>
        <v>0</v>
      </c>
      <c r="I601" s="94" t="str">
        <f>IF(PROGRAMA_DETALLE!P401="","",PROGRAMA_DETALLE!P401)</f>
        <v/>
      </c>
    </row>
    <row r="602" ht="15.75" customHeight="1">
      <c r="A602" s="87" t="s">
        <v>229</v>
      </c>
      <c r="B602" s="93" t="str">
        <f>IFERROR(VLOOKUP(PROGRAMA_DETALLE!A402,PROGRAMAS!$A$4:$B$103,2,FALSE()),"")</f>
        <v/>
      </c>
      <c r="C602" s="84" t="str">
        <f>IF(PROGRAMA_DETALLE!A402="","","Tejedora")</f>
        <v/>
      </c>
      <c r="D602" s="94" t="str">
        <f>IF(PROGRAMA_DETALLE!N402="","",PROGRAMA_DETALLE!N402)</f>
        <v/>
      </c>
      <c r="E602" s="84" t="str">
        <f>IF(PROGRAMA_DETALLE!A402="","","Tejido "&amp;PROGRAMA_DETALLE!A402&amp;" "&amp;PROGRAMA_DETALLE!B402)</f>
        <v/>
      </c>
      <c r="F602" s="95" t="str">
        <f>IF(PROGRAMA_DETALLE!M402=0,"",PROGRAMA_DETALLE!M402)</f>
        <v/>
      </c>
      <c r="G602" s="95">
        <f>IF(PROGRAMA_DETALLE!P402="PAGADO",PROGRAMA_DETALLE!M402,0)</f>
        <v>0</v>
      </c>
      <c r="H602" s="95">
        <f>IF(OR(PROGRAMA_DETALLE!P402="PENDIENTE",PROGRAMA_DETALLE!P402="PARCIAL"),PROGRAMA_DETALLE!M402,0)</f>
        <v>0</v>
      </c>
      <c r="I602" s="94" t="str">
        <f>IF(PROGRAMA_DETALLE!P402="","",PROGRAMA_DETALLE!P402)</f>
        <v/>
      </c>
    </row>
    <row r="603" ht="15.75" customHeight="1">
      <c r="A603" s="87" t="s">
        <v>229</v>
      </c>
      <c r="B603" s="93" t="str">
        <f>IFERROR(VLOOKUP(PROGRAMA_DETALLE!A403,PROGRAMAS!$A$4:$B$103,2,FALSE()),"")</f>
        <v/>
      </c>
      <c r="C603" s="84" t="str">
        <f>IF(PROGRAMA_DETALLE!A403="","","Tejedora")</f>
        <v/>
      </c>
      <c r="D603" s="94" t="str">
        <f>IF(PROGRAMA_DETALLE!N403="","",PROGRAMA_DETALLE!N403)</f>
        <v/>
      </c>
      <c r="E603" s="84" t="str">
        <f>IF(PROGRAMA_DETALLE!A403="","","Tejido "&amp;PROGRAMA_DETALLE!A403&amp;" "&amp;PROGRAMA_DETALLE!B403)</f>
        <v/>
      </c>
      <c r="F603" s="95" t="str">
        <f>IF(PROGRAMA_DETALLE!M403=0,"",PROGRAMA_DETALLE!M403)</f>
        <v/>
      </c>
      <c r="G603" s="95">
        <f>IF(PROGRAMA_DETALLE!P403="PAGADO",PROGRAMA_DETALLE!M403,0)</f>
        <v>0</v>
      </c>
      <c r="H603" s="95">
        <f>IF(OR(PROGRAMA_DETALLE!P403="PENDIENTE",PROGRAMA_DETALLE!P403="PARCIAL"),PROGRAMA_DETALLE!M403,0)</f>
        <v>0</v>
      </c>
      <c r="I603" s="94" t="str">
        <f>IF(PROGRAMA_DETALLE!P403="","",PROGRAMA_DETALLE!P403)</f>
        <v/>
      </c>
    </row>
    <row r="604" ht="15.75" customHeight="1">
      <c r="A604" s="87" t="s">
        <v>229</v>
      </c>
      <c r="B604" s="93" t="str">
        <f>IFERROR(VLOOKUP(PROGRAMA_DETALLE!A404,PROGRAMAS!$A$4:$B$103,2,FALSE()),"")</f>
        <v/>
      </c>
      <c r="C604" s="84" t="str">
        <f>IF(PROGRAMA_DETALLE!A404="","","Tejedora")</f>
        <v/>
      </c>
      <c r="D604" s="94" t="str">
        <f>IF(PROGRAMA_DETALLE!N404="","",PROGRAMA_DETALLE!N404)</f>
        <v/>
      </c>
      <c r="E604" s="84" t="str">
        <f>IF(PROGRAMA_DETALLE!A404="","","Tejido "&amp;PROGRAMA_DETALLE!A404&amp;" "&amp;PROGRAMA_DETALLE!B404)</f>
        <v/>
      </c>
      <c r="F604" s="95" t="str">
        <f>IF(PROGRAMA_DETALLE!M404=0,"",PROGRAMA_DETALLE!M404)</f>
        <v/>
      </c>
      <c r="G604" s="95">
        <f>IF(PROGRAMA_DETALLE!P404="PAGADO",PROGRAMA_DETALLE!M404,0)</f>
        <v>0</v>
      </c>
      <c r="H604" s="95">
        <f>IF(OR(PROGRAMA_DETALLE!P404="PENDIENTE",PROGRAMA_DETALLE!P404="PARCIAL"),PROGRAMA_DETALLE!M404,0)</f>
        <v>0</v>
      </c>
      <c r="I604" s="94" t="str">
        <f>IF(PROGRAMA_DETALLE!P404="","",PROGRAMA_DETALLE!P404)</f>
        <v/>
      </c>
    </row>
    <row r="605" ht="15.75" customHeight="1">
      <c r="A605" s="87" t="s">
        <v>229</v>
      </c>
      <c r="B605" s="93" t="str">
        <f>IFERROR(VLOOKUP(PROGRAMA_DETALLE!A405,PROGRAMAS!$A$4:$B$103,2,FALSE()),"")</f>
        <v/>
      </c>
      <c r="C605" s="84" t="str">
        <f>IF(PROGRAMA_DETALLE!A405="","","Tejedora")</f>
        <v/>
      </c>
      <c r="D605" s="94" t="str">
        <f>IF(PROGRAMA_DETALLE!N405="","",PROGRAMA_DETALLE!N405)</f>
        <v/>
      </c>
      <c r="E605" s="84" t="str">
        <f>IF(PROGRAMA_DETALLE!A405="","","Tejido "&amp;PROGRAMA_DETALLE!A405&amp;" "&amp;PROGRAMA_DETALLE!B405)</f>
        <v/>
      </c>
      <c r="F605" s="95" t="str">
        <f>IF(PROGRAMA_DETALLE!M405=0,"",PROGRAMA_DETALLE!M405)</f>
        <v/>
      </c>
      <c r="G605" s="95">
        <f>IF(PROGRAMA_DETALLE!P405="PAGADO",PROGRAMA_DETALLE!M405,0)</f>
        <v>0</v>
      </c>
      <c r="H605" s="95">
        <f>IF(OR(PROGRAMA_DETALLE!P405="PENDIENTE",PROGRAMA_DETALLE!P405="PARCIAL"),PROGRAMA_DETALLE!M405,0)</f>
        <v>0</v>
      </c>
      <c r="I605" s="94" t="str">
        <f>IF(PROGRAMA_DETALLE!P405="","",PROGRAMA_DETALLE!P405)</f>
        <v/>
      </c>
    </row>
    <row r="606" ht="15.75" customHeight="1">
      <c r="A606" s="87" t="s">
        <v>229</v>
      </c>
      <c r="B606" s="93" t="str">
        <f>IFERROR(VLOOKUP(PROGRAMA_DETALLE!A406,PROGRAMAS!$A$4:$B$103,2,FALSE()),"")</f>
        <v/>
      </c>
      <c r="C606" s="84" t="str">
        <f>IF(PROGRAMA_DETALLE!A406="","","Tejedora")</f>
        <v/>
      </c>
      <c r="D606" s="94" t="str">
        <f>IF(PROGRAMA_DETALLE!N406="","",PROGRAMA_DETALLE!N406)</f>
        <v/>
      </c>
      <c r="E606" s="84" t="str">
        <f>IF(PROGRAMA_DETALLE!A406="","","Tejido "&amp;PROGRAMA_DETALLE!A406&amp;" "&amp;PROGRAMA_DETALLE!B406)</f>
        <v/>
      </c>
      <c r="F606" s="95" t="str">
        <f>IF(PROGRAMA_DETALLE!M406=0,"",PROGRAMA_DETALLE!M406)</f>
        <v/>
      </c>
      <c r="G606" s="95">
        <f>IF(PROGRAMA_DETALLE!P406="PAGADO",PROGRAMA_DETALLE!M406,0)</f>
        <v>0</v>
      </c>
      <c r="H606" s="95">
        <f>IF(OR(PROGRAMA_DETALLE!P406="PENDIENTE",PROGRAMA_DETALLE!P406="PARCIAL"),PROGRAMA_DETALLE!M406,0)</f>
        <v>0</v>
      </c>
      <c r="I606" s="94" t="str">
        <f>IF(PROGRAMA_DETALLE!P406="","",PROGRAMA_DETALLE!P406)</f>
        <v/>
      </c>
    </row>
    <row r="607" ht="15.75" customHeight="1">
      <c r="A607" s="87" t="s">
        <v>229</v>
      </c>
      <c r="B607" s="93" t="str">
        <f>IFERROR(VLOOKUP(PROGRAMA_DETALLE!A407,PROGRAMAS!$A$4:$B$103,2,FALSE()),"")</f>
        <v/>
      </c>
      <c r="C607" s="84" t="str">
        <f>IF(PROGRAMA_DETALLE!A407="","","Tejedora")</f>
        <v/>
      </c>
      <c r="D607" s="94" t="str">
        <f>IF(PROGRAMA_DETALLE!N407="","",PROGRAMA_DETALLE!N407)</f>
        <v/>
      </c>
      <c r="E607" s="84" t="str">
        <f>IF(PROGRAMA_DETALLE!A407="","","Tejido "&amp;PROGRAMA_DETALLE!A407&amp;" "&amp;PROGRAMA_DETALLE!B407)</f>
        <v/>
      </c>
      <c r="F607" s="95" t="str">
        <f>IF(PROGRAMA_DETALLE!M407=0,"",PROGRAMA_DETALLE!M407)</f>
        <v/>
      </c>
      <c r="G607" s="95">
        <f>IF(PROGRAMA_DETALLE!P407="PAGADO",PROGRAMA_DETALLE!M407,0)</f>
        <v>0</v>
      </c>
      <c r="H607" s="95">
        <f>IF(OR(PROGRAMA_DETALLE!P407="PENDIENTE",PROGRAMA_DETALLE!P407="PARCIAL"),PROGRAMA_DETALLE!M407,0)</f>
        <v>0</v>
      </c>
      <c r="I607" s="94" t="str">
        <f>IF(PROGRAMA_DETALLE!P407="","",PROGRAMA_DETALLE!P407)</f>
        <v/>
      </c>
    </row>
    <row r="608" ht="15.75" customHeight="1">
      <c r="A608" s="87" t="s">
        <v>229</v>
      </c>
      <c r="B608" s="93" t="str">
        <f>IFERROR(VLOOKUP(PROGRAMA_DETALLE!A408,PROGRAMAS!$A$4:$B$103,2,FALSE()),"")</f>
        <v/>
      </c>
      <c r="C608" s="84" t="str">
        <f>IF(PROGRAMA_DETALLE!A408="","","Tejedora")</f>
        <v/>
      </c>
      <c r="D608" s="94" t="str">
        <f>IF(PROGRAMA_DETALLE!N408="","",PROGRAMA_DETALLE!N408)</f>
        <v/>
      </c>
      <c r="E608" s="84" t="str">
        <f>IF(PROGRAMA_DETALLE!A408="","","Tejido "&amp;PROGRAMA_DETALLE!A408&amp;" "&amp;PROGRAMA_DETALLE!B408)</f>
        <v/>
      </c>
      <c r="F608" s="95" t="str">
        <f>IF(PROGRAMA_DETALLE!M408=0,"",PROGRAMA_DETALLE!M408)</f>
        <v/>
      </c>
      <c r="G608" s="95">
        <f>IF(PROGRAMA_DETALLE!P408="PAGADO",PROGRAMA_DETALLE!M408,0)</f>
        <v>0</v>
      </c>
      <c r="H608" s="95">
        <f>IF(OR(PROGRAMA_DETALLE!P408="PENDIENTE",PROGRAMA_DETALLE!P408="PARCIAL"),PROGRAMA_DETALLE!M408,0)</f>
        <v>0</v>
      </c>
      <c r="I608" s="94" t="str">
        <f>IF(PROGRAMA_DETALLE!P408="","",PROGRAMA_DETALLE!P408)</f>
        <v/>
      </c>
    </row>
    <row r="609" ht="15.75" customHeight="1">
      <c r="A609" s="87" t="s">
        <v>229</v>
      </c>
      <c r="B609" s="93" t="str">
        <f>IFERROR(VLOOKUP(PROGRAMA_DETALLE!A409,PROGRAMAS!$A$4:$B$103,2,FALSE()),"")</f>
        <v/>
      </c>
      <c r="C609" s="84" t="str">
        <f>IF(PROGRAMA_DETALLE!A409="","","Tejedora")</f>
        <v/>
      </c>
      <c r="D609" s="94" t="str">
        <f>IF(PROGRAMA_DETALLE!N409="","",PROGRAMA_DETALLE!N409)</f>
        <v/>
      </c>
      <c r="E609" s="84" t="str">
        <f>IF(PROGRAMA_DETALLE!A409="","","Tejido "&amp;PROGRAMA_DETALLE!A409&amp;" "&amp;PROGRAMA_DETALLE!B409)</f>
        <v/>
      </c>
      <c r="F609" s="95" t="str">
        <f>IF(PROGRAMA_DETALLE!M409=0,"",PROGRAMA_DETALLE!M409)</f>
        <v/>
      </c>
      <c r="G609" s="95">
        <f>IF(PROGRAMA_DETALLE!P409="PAGADO",PROGRAMA_DETALLE!M409,0)</f>
        <v>0</v>
      </c>
      <c r="H609" s="95">
        <f>IF(OR(PROGRAMA_DETALLE!P409="PENDIENTE",PROGRAMA_DETALLE!P409="PARCIAL"),PROGRAMA_DETALLE!M409,0)</f>
        <v>0</v>
      </c>
      <c r="I609" s="94" t="str">
        <f>IF(PROGRAMA_DETALLE!P409="","",PROGRAMA_DETALLE!P409)</f>
        <v/>
      </c>
    </row>
    <row r="610" ht="15.75" customHeight="1">
      <c r="A610" s="87" t="s">
        <v>229</v>
      </c>
      <c r="B610" s="93" t="str">
        <f>IFERROR(VLOOKUP(PROGRAMA_DETALLE!A410,PROGRAMAS!$A$4:$B$103,2,FALSE()),"")</f>
        <v/>
      </c>
      <c r="C610" s="84" t="str">
        <f>IF(PROGRAMA_DETALLE!A410="","","Tejedora")</f>
        <v/>
      </c>
      <c r="D610" s="94" t="str">
        <f>IF(PROGRAMA_DETALLE!N410="","",PROGRAMA_DETALLE!N410)</f>
        <v/>
      </c>
      <c r="E610" s="84" t="str">
        <f>IF(PROGRAMA_DETALLE!A410="","","Tejido "&amp;PROGRAMA_DETALLE!A410&amp;" "&amp;PROGRAMA_DETALLE!B410)</f>
        <v/>
      </c>
      <c r="F610" s="95" t="str">
        <f>IF(PROGRAMA_DETALLE!M410=0,"",PROGRAMA_DETALLE!M410)</f>
        <v/>
      </c>
      <c r="G610" s="95">
        <f>IF(PROGRAMA_DETALLE!P410="PAGADO",PROGRAMA_DETALLE!M410,0)</f>
        <v>0</v>
      </c>
      <c r="H610" s="95">
        <f>IF(OR(PROGRAMA_DETALLE!P410="PENDIENTE",PROGRAMA_DETALLE!P410="PARCIAL"),PROGRAMA_DETALLE!M410,0)</f>
        <v>0</v>
      </c>
      <c r="I610" s="94" t="str">
        <f>IF(PROGRAMA_DETALLE!P410="","",PROGRAMA_DETALLE!P410)</f>
        <v/>
      </c>
    </row>
    <row r="611" ht="15.75" customHeight="1">
      <c r="A611" s="87" t="s">
        <v>229</v>
      </c>
      <c r="B611" s="93" t="str">
        <f>IFERROR(VLOOKUP(PROGRAMA_DETALLE!A411,PROGRAMAS!$A$4:$B$103,2,FALSE()),"")</f>
        <v/>
      </c>
      <c r="C611" s="84" t="str">
        <f>IF(PROGRAMA_DETALLE!A411="","","Tejedora")</f>
        <v/>
      </c>
      <c r="D611" s="94" t="str">
        <f>IF(PROGRAMA_DETALLE!N411="","",PROGRAMA_DETALLE!N411)</f>
        <v/>
      </c>
      <c r="E611" s="84" t="str">
        <f>IF(PROGRAMA_DETALLE!A411="","","Tejido "&amp;PROGRAMA_DETALLE!A411&amp;" "&amp;PROGRAMA_DETALLE!B411)</f>
        <v/>
      </c>
      <c r="F611" s="95" t="str">
        <f>IF(PROGRAMA_DETALLE!M411=0,"",PROGRAMA_DETALLE!M411)</f>
        <v/>
      </c>
      <c r="G611" s="95">
        <f>IF(PROGRAMA_DETALLE!P411="PAGADO",PROGRAMA_DETALLE!M411,0)</f>
        <v>0</v>
      </c>
      <c r="H611" s="95">
        <f>IF(OR(PROGRAMA_DETALLE!P411="PENDIENTE",PROGRAMA_DETALLE!P411="PARCIAL"),PROGRAMA_DETALLE!M411,0)</f>
        <v>0</v>
      </c>
      <c r="I611" s="94" t="str">
        <f>IF(PROGRAMA_DETALLE!P411="","",PROGRAMA_DETALLE!P411)</f>
        <v/>
      </c>
    </row>
    <row r="612" ht="15.75" customHeight="1">
      <c r="A612" s="87" t="s">
        <v>229</v>
      </c>
      <c r="B612" s="93" t="str">
        <f>IFERROR(VLOOKUP(PROGRAMA_DETALLE!A412,PROGRAMAS!$A$4:$B$103,2,FALSE()),"")</f>
        <v/>
      </c>
      <c r="C612" s="84" t="str">
        <f>IF(PROGRAMA_DETALLE!A412="","","Tejedora")</f>
        <v/>
      </c>
      <c r="D612" s="94" t="str">
        <f>IF(PROGRAMA_DETALLE!N412="","",PROGRAMA_DETALLE!N412)</f>
        <v/>
      </c>
      <c r="E612" s="84" t="str">
        <f>IF(PROGRAMA_DETALLE!A412="","","Tejido "&amp;PROGRAMA_DETALLE!A412&amp;" "&amp;PROGRAMA_DETALLE!B412)</f>
        <v/>
      </c>
      <c r="F612" s="95" t="str">
        <f>IF(PROGRAMA_DETALLE!M412=0,"",PROGRAMA_DETALLE!M412)</f>
        <v/>
      </c>
      <c r="G612" s="95">
        <f>IF(PROGRAMA_DETALLE!P412="PAGADO",PROGRAMA_DETALLE!M412,0)</f>
        <v>0</v>
      </c>
      <c r="H612" s="95">
        <f>IF(OR(PROGRAMA_DETALLE!P412="PENDIENTE",PROGRAMA_DETALLE!P412="PARCIAL"),PROGRAMA_DETALLE!M412,0)</f>
        <v>0</v>
      </c>
      <c r="I612" s="94" t="str">
        <f>IF(PROGRAMA_DETALLE!P412="","",PROGRAMA_DETALLE!P412)</f>
        <v/>
      </c>
    </row>
    <row r="613" ht="15.75" customHeight="1">
      <c r="A613" s="87" t="s">
        <v>229</v>
      </c>
      <c r="B613" s="93" t="str">
        <f>IFERROR(VLOOKUP(PROGRAMA_DETALLE!A413,PROGRAMAS!$A$4:$B$103,2,FALSE()),"")</f>
        <v/>
      </c>
      <c r="C613" s="84" t="str">
        <f>IF(PROGRAMA_DETALLE!A413="","","Tejedora")</f>
        <v/>
      </c>
      <c r="D613" s="94" t="str">
        <f>IF(PROGRAMA_DETALLE!N413="","",PROGRAMA_DETALLE!N413)</f>
        <v/>
      </c>
      <c r="E613" s="84" t="str">
        <f>IF(PROGRAMA_DETALLE!A413="","","Tejido "&amp;PROGRAMA_DETALLE!A413&amp;" "&amp;PROGRAMA_DETALLE!B413)</f>
        <v/>
      </c>
      <c r="F613" s="95" t="str">
        <f>IF(PROGRAMA_DETALLE!M413=0,"",PROGRAMA_DETALLE!M413)</f>
        <v/>
      </c>
      <c r="G613" s="95">
        <f>IF(PROGRAMA_DETALLE!P413="PAGADO",PROGRAMA_DETALLE!M413,0)</f>
        <v>0</v>
      </c>
      <c r="H613" s="95">
        <f>IF(OR(PROGRAMA_DETALLE!P413="PENDIENTE",PROGRAMA_DETALLE!P413="PARCIAL"),PROGRAMA_DETALLE!M413,0)</f>
        <v>0</v>
      </c>
      <c r="I613" s="94" t="str">
        <f>IF(PROGRAMA_DETALLE!P413="","",PROGRAMA_DETALLE!P413)</f>
        <v/>
      </c>
    </row>
    <row r="614" ht="15.75" customHeight="1">
      <c r="A614" s="87" t="s">
        <v>229</v>
      </c>
      <c r="B614" s="93" t="str">
        <f>IFERROR(VLOOKUP(PROGRAMA_DETALLE!A414,PROGRAMAS!$A$4:$B$103,2,FALSE()),"")</f>
        <v/>
      </c>
      <c r="C614" s="84" t="str">
        <f>IF(PROGRAMA_DETALLE!A414="","","Tejedora")</f>
        <v/>
      </c>
      <c r="D614" s="94" t="str">
        <f>IF(PROGRAMA_DETALLE!N414="","",PROGRAMA_DETALLE!N414)</f>
        <v/>
      </c>
      <c r="E614" s="84" t="str">
        <f>IF(PROGRAMA_DETALLE!A414="","","Tejido "&amp;PROGRAMA_DETALLE!A414&amp;" "&amp;PROGRAMA_DETALLE!B414)</f>
        <v/>
      </c>
      <c r="F614" s="95" t="str">
        <f>IF(PROGRAMA_DETALLE!M414=0,"",PROGRAMA_DETALLE!M414)</f>
        <v/>
      </c>
      <c r="G614" s="95">
        <f>IF(PROGRAMA_DETALLE!P414="PAGADO",PROGRAMA_DETALLE!M414,0)</f>
        <v>0</v>
      </c>
      <c r="H614" s="95">
        <f>IF(OR(PROGRAMA_DETALLE!P414="PENDIENTE",PROGRAMA_DETALLE!P414="PARCIAL"),PROGRAMA_DETALLE!M414,0)</f>
        <v>0</v>
      </c>
      <c r="I614" s="94" t="str">
        <f>IF(PROGRAMA_DETALLE!P414="","",PROGRAMA_DETALLE!P414)</f>
        <v/>
      </c>
    </row>
    <row r="615" ht="15.75" customHeight="1">
      <c r="A615" s="87" t="s">
        <v>229</v>
      </c>
      <c r="B615" s="93" t="str">
        <f>IFERROR(VLOOKUP(PROGRAMA_DETALLE!A415,PROGRAMAS!$A$4:$B$103,2,FALSE()),"")</f>
        <v/>
      </c>
      <c r="C615" s="84" t="str">
        <f>IF(PROGRAMA_DETALLE!A415="","","Tejedora")</f>
        <v/>
      </c>
      <c r="D615" s="94" t="str">
        <f>IF(PROGRAMA_DETALLE!N415="","",PROGRAMA_DETALLE!N415)</f>
        <v/>
      </c>
      <c r="E615" s="84" t="str">
        <f>IF(PROGRAMA_DETALLE!A415="","","Tejido "&amp;PROGRAMA_DETALLE!A415&amp;" "&amp;PROGRAMA_DETALLE!B415)</f>
        <v/>
      </c>
      <c r="F615" s="95" t="str">
        <f>IF(PROGRAMA_DETALLE!M415=0,"",PROGRAMA_DETALLE!M415)</f>
        <v/>
      </c>
      <c r="G615" s="95">
        <f>IF(PROGRAMA_DETALLE!P415="PAGADO",PROGRAMA_DETALLE!M415,0)</f>
        <v>0</v>
      </c>
      <c r="H615" s="95">
        <f>IF(OR(PROGRAMA_DETALLE!P415="PENDIENTE",PROGRAMA_DETALLE!P415="PARCIAL"),PROGRAMA_DETALLE!M415,0)</f>
        <v>0</v>
      </c>
      <c r="I615" s="94" t="str">
        <f>IF(PROGRAMA_DETALLE!P415="","",PROGRAMA_DETALLE!P415)</f>
        <v/>
      </c>
    </row>
    <row r="616" ht="15.75" customHeight="1">
      <c r="A616" s="87" t="s">
        <v>229</v>
      </c>
      <c r="B616" s="93" t="str">
        <f>IFERROR(VLOOKUP(PROGRAMA_DETALLE!A416,PROGRAMAS!$A$4:$B$103,2,FALSE()),"")</f>
        <v/>
      </c>
      <c r="C616" s="84" t="str">
        <f>IF(PROGRAMA_DETALLE!A416="","","Tejedora")</f>
        <v/>
      </c>
      <c r="D616" s="94" t="str">
        <f>IF(PROGRAMA_DETALLE!N416="","",PROGRAMA_DETALLE!N416)</f>
        <v/>
      </c>
      <c r="E616" s="84" t="str">
        <f>IF(PROGRAMA_DETALLE!A416="","","Tejido "&amp;PROGRAMA_DETALLE!A416&amp;" "&amp;PROGRAMA_DETALLE!B416)</f>
        <v/>
      </c>
      <c r="F616" s="95" t="str">
        <f>IF(PROGRAMA_DETALLE!M416=0,"",PROGRAMA_DETALLE!M416)</f>
        <v/>
      </c>
      <c r="G616" s="95">
        <f>IF(PROGRAMA_DETALLE!P416="PAGADO",PROGRAMA_DETALLE!M416,0)</f>
        <v>0</v>
      </c>
      <c r="H616" s="95">
        <f>IF(OR(PROGRAMA_DETALLE!P416="PENDIENTE",PROGRAMA_DETALLE!P416="PARCIAL"),PROGRAMA_DETALLE!M416,0)</f>
        <v>0</v>
      </c>
      <c r="I616" s="94" t="str">
        <f>IF(PROGRAMA_DETALLE!P416="","",PROGRAMA_DETALLE!P416)</f>
        <v/>
      </c>
    </row>
    <row r="617" ht="15.75" customHeight="1">
      <c r="A617" s="87" t="s">
        <v>229</v>
      </c>
      <c r="B617" s="93" t="str">
        <f>IFERROR(VLOOKUP(PROGRAMA_DETALLE!A417,PROGRAMAS!$A$4:$B$103,2,FALSE()),"")</f>
        <v/>
      </c>
      <c r="C617" s="84" t="str">
        <f>IF(PROGRAMA_DETALLE!A417="","","Tejedora")</f>
        <v/>
      </c>
      <c r="D617" s="94" t="str">
        <f>IF(PROGRAMA_DETALLE!N417="","",PROGRAMA_DETALLE!N417)</f>
        <v/>
      </c>
      <c r="E617" s="84" t="str">
        <f>IF(PROGRAMA_DETALLE!A417="","","Tejido "&amp;PROGRAMA_DETALLE!A417&amp;" "&amp;PROGRAMA_DETALLE!B417)</f>
        <v/>
      </c>
      <c r="F617" s="95" t="str">
        <f>IF(PROGRAMA_DETALLE!M417=0,"",PROGRAMA_DETALLE!M417)</f>
        <v/>
      </c>
      <c r="G617" s="95">
        <f>IF(PROGRAMA_DETALLE!P417="PAGADO",PROGRAMA_DETALLE!M417,0)</f>
        <v>0</v>
      </c>
      <c r="H617" s="95">
        <f>IF(OR(PROGRAMA_DETALLE!P417="PENDIENTE",PROGRAMA_DETALLE!P417="PARCIAL"),PROGRAMA_DETALLE!M417,0)</f>
        <v>0</v>
      </c>
      <c r="I617" s="94" t="str">
        <f>IF(PROGRAMA_DETALLE!P417="","",PROGRAMA_DETALLE!P417)</f>
        <v/>
      </c>
    </row>
    <row r="618" ht="15.75" customHeight="1">
      <c r="A618" s="87" t="s">
        <v>229</v>
      </c>
      <c r="B618" s="93" t="str">
        <f>IFERROR(VLOOKUP(PROGRAMA_DETALLE!A418,PROGRAMAS!$A$4:$B$103,2,FALSE()),"")</f>
        <v/>
      </c>
      <c r="C618" s="84" t="str">
        <f>IF(PROGRAMA_DETALLE!A418="","","Tejedora")</f>
        <v/>
      </c>
      <c r="D618" s="94" t="str">
        <f>IF(PROGRAMA_DETALLE!N418="","",PROGRAMA_DETALLE!N418)</f>
        <v/>
      </c>
      <c r="E618" s="84" t="str">
        <f>IF(PROGRAMA_DETALLE!A418="","","Tejido "&amp;PROGRAMA_DETALLE!A418&amp;" "&amp;PROGRAMA_DETALLE!B418)</f>
        <v/>
      </c>
      <c r="F618" s="95" t="str">
        <f>IF(PROGRAMA_DETALLE!M418=0,"",PROGRAMA_DETALLE!M418)</f>
        <v/>
      </c>
      <c r="G618" s="95">
        <f>IF(PROGRAMA_DETALLE!P418="PAGADO",PROGRAMA_DETALLE!M418,0)</f>
        <v>0</v>
      </c>
      <c r="H618" s="95">
        <f>IF(OR(PROGRAMA_DETALLE!P418="PENDIENTE",PROGRAMA_DETALLE!P418="PARCIAL"),PROGRAMA_DETALLE!M418,0)</f>
        <v>0</v>
      </c>
      <c r="I618" s="94" t="str">
        <f>IF(PROGRAMA_DETALLE!P418="","",PROGRAMA_DETALLE!P418)</f>
        <v/>
      </c>
    </row>
    <row r="619" ht="15.75" customHeight="1">
      <c r="A619" s="87" t="s">
        <v>229</v>
      </c>
      <c r="B619" s="93" t="str">
        <f>IFERROR(VLOOKUP(PROGRAMA_DETALLE!A419,PROGRAMAS!$A$4:$B$103,2,FALSE()),"")</f>
        <v/>
      </c>
      <c r="C619" s="84" t="str">
        <f>IF(PROGRAMA_DETALLE!A419="","","Tejedora")</f>
        <v/>
      </c>
      <c r="D619" s="94" t="str">
        <f>IF(PROGRAMA_DETALLE!N419="","",PROGRAMA_DETALLE!N419)</f>
        <v/>
      </c>
      <c r="E619" s="84" t="str">
        <f>IF(PROGRAMA_DETALLE!A419="","","Tejido "&amp;PROGRAMA_DETALLE!A419&amp;" "&amp;PROGRAMA_DETALLE!B419)</f>
        <v/>
      </c>
      <c r="F619" s="95" t="str">
        <f>IF(PROGRAMA_DETALLE!M419=0,"",PROGRAMA_DETALLE!M419)</f>
        <v/>
      </c>
      <c r="G619" s="95">
        <f>IF(PROGRAMA_DETALLE!P419="PAGADO",PROGRAMA_DETALLE!M419,0)</f>
        <v>0</v>
      </c>
      <c r="H619" s="95">
        <f>IF(OR(PROGRAMA_DETALLE!P419="PENDIENTE",PROGRAMA_DETALLE!P419="PARCIAL"),PROGRAMA_DETALLE!M419,0)</f>
        <v>0</v>
      </c>
      <c r="I619" s="94" t="str">
        <f>IF(PROGRAMA_DETALLE!P419="","",PROGRAMA_DETALLE!P419)</f>
        <v/>
      </c>
    </row>
    <row r="620" ht="15.75" customHeight="1">
      <c r="A620" s="87" t="s">
        <v>229</v>
      </c>
      <c r="B620" s="93" t="str">
        <f>IFERROR(VLOOKUP(PROGRAMA_DETALLE!A420,PROGRAMAS!$A$4:$B$103,2,FALSE()),"")</f>
        <v/>
      </c>
      <c r="C620" s="84" t="str">
        <f>IF(PROGRAMA_DETALLE!A420="","","Tejedora")</f>
        <v/>
      </c>
      <c r="D620" s="94" t="str">
        <f>IF(PROGRAMA_DETALLE!N420="","",PROGRAMA_DETALLE!N420)</f>
        <v/>
      </c>
      <c r="E620" s="84" t="str">
        <f>IF(PROGRAMA_DETALLE!A420="","","Tejido "&amp;PROGRAMA_DETALLE!A420&amp;" "&amp;PROGRAMA_DETALLE!B420)</f>
        <v/>
      </c>
      <c r="F620" s="95" t="str">
        <f>IF(PROGRAMA_DETALLE!M420=0,"",PROGRAMA_DETALLE!M420)</f>
        <v/>
      </c>
      <c r="G620" s="95">
        <f>IF(PROGRAMA_DETALLE!P420="PAGADO",PROGRAMA_DETALLE!M420,0)</f>
        <v>0</v>
      </c>
      <c r="H620" s="95">
        <f>IF(OR(PROGRAMA_DETALLE!P420="PENDIENTE",PROGRAMA_DETALLE!P420="PARCIAL"),PROGRAMA_DETALLE!M420,0)</f>
        <v>0</v>
      </c>
      <c r="I620" s="94" t="str">
        <f>IF(PROGRAMA_DETALLE!P420="","",PROGRAMA_DETALLE!P420)</f>
        <v/>
      </c>
    </row>
    <row r="621" ht="15.75" customHeight="1">
      <c r="A621" s="87" t="s">
        <v>229</v>
      </c>
      <c r="B621" s="93" t="str">
        <f>IFERROR(VLOOKUP(PROGRAMA_DETALLE!A421,PROGRAMAS!$A$4:$B$103,2,FALSE()),"")</f>
        <v/>
      </c>
      <c r="C621" s="84" t="str">
        <f>IF(PROGRAMA_DETALLE!A421="","","Tejedora")</f>
        <v/>
      </c>
      <c r="D621" s="94" t="str">
        <f>IF(PROGRAMA_DETALLE!N421="","",PROGRAMA_DETALLE!N421)</f>
        <v/>
      </c>
      <c r="E621" s="84" t="str">
        <f>IF(PROGRAMA_DETALLE!A421="","","Tejido "&amp;PROGRAMA_DETALLE!A421&amp;" "&amp;PROGRAMA_DETALLE!B421)</f>
        <v/>
      </c>
      <c r="F621" s="95" t="str">
        <f>IF(PROGRAMA_DETALLE!M421=0,"",PROGRAMA_DETALLE!M421)</f>
        <v/>
      </c>
      <c r="G621" s="95">
        <f>IF(PROGRAMA_DETALLE!P421="PAGADO",PROGRAMA_DETALLE!M421,0)</f>
        <v>0</v>
      </c>
      <c r="H621" s="95">
        <f>IF(OR(PROGRAMA_DETALLE!P421="PENDIENTE",PROGRAMA_DETALLE!P421="PARCIAL"),PROGRAMA_DETALLE!M421,0)</f>
        <v>0</v>
      </c>
      <c r="I621" s="94" t="str">
        <f>IF(PROGRAMA_DETALLE!P421="","",PROGRAMA_DETALLE!P421)</f>
        <v/>
      </c>
    </row>
    <row r="622" ht="15.75" customHeight="1">
      <c r="A622" s="87" t="s">
        <v>229</v>
      </c>
      <c r="B622" s="93" t="str">
        <f>IFERROR(VLOOKUP(PROGRAMA_DETALLE!A422,PROGRAMAS!$A$4:$B$103,2,FALSE()),"")</f>
        <v/>
      </c>
      <c r="C622" s="84" t="str">
        <f>IF(PROGRAMA_DETALLE!A422="","","Tejedora")</f>
        <v/>
      </c>
      <c r="D622" s="94" t="str">
        <f>IF(PROGRAMA_DETALLE!N422="","",PROGRAMA_DETALLE!N422)</f>
        <v/>
      </c>
      <c r="E622" s="84" t="str">
        <f>IF(PROGRAMA_DETALLE!A422="","","Tejido "&amp;PROGRAMA_DETALLE!A422&amp;" "&amp;PROGRAMA_DETALLE!B422)</f>
        <v/>
      </c>
      <c r="F622" s="95" t="str">
        <f>IF(PROGRAMA_DETALLE!M422=0,"",PROGRAMA_DETALLE!M422)</f>
        <v/>
      </c>
      <c r="G622" s="95">
        <f>IF(PROGRAMA_DETALLE!P422="PAGADO",PROGRAMA_DETALLE!M422,0)</f>
        <v>0</v>
      </c>
      <c r="H622" s="95">
        <f>IF(OR(PROGRAMA_DETALLE!P422="PENDIENTE",PROGRAMA_DETALLE!P422="PARCIAL"),PROGRAMA_DETALLE!M422,0)</f>
        <v>0</v>
      </c>
      <c r="I622" s="94" t="str">
        <f>IF(PROGRAMA_DETALLE!P422="","",PROGRAMA_DETALLE!P422)</f>
        <v/>
      </c>
    </row>
    <row r="623" ht="15.75" customHeight="1">
      <c r="A623" s="87" t="s">
        <v>229</v>
      </c>
      <c r="B623" s="93" t="str">
        <f>IFERROR(VLOOKUP(PROGRAMA_DETALLE!A423,PROGRAMAS!$A$4:$B$103,2,FALSE()),"")</f>
        <v/>
      </c>
      <c r="C623" s="84" t="str">
        <f>IF(PROGRAMA_DETALLE!A423="","","Tejedora")</f>
        <v/>
      </c>
      <c r="D623" s="94" t="str">
        <f>IF(PROGRAMA_DETALLE!N423="","",PROGRAMA_DETALLE!N423)</f>
        <v/>
      </c>
      <c r="E623" s="84" t="str">
        <f>IF(PROGRAMA_DETALLE!A423="","","Tejido "&amp;PROGRAMA_DETALLE!A423&amp;" "&amp;PROGRAMA_DETALLE!B423)</f>
        <v/>
      </c>
      <c r="F623" s="95" t="str">
        <f>IF(PROGRAMA_DETALLE!M423=0,"",PROGRAMA_DETALLE!M423)</f>
        <v/>
      </c>
      <c r="G623" s="95">
        <f>IF(PROGRAMA_DETALLE!P423="PAGADO",PROGRAMA_DETALLE!M423,0)</f>
        <v>0</v>
      </c>
      <c r="H623" s="95">
        <f>IF(OR(PROGRAMA_DETALLE!P423="PENDIENTE",PROGRAMA_DETALLE!P423="PARCIAL"),PROGRAMA_DETALLE!M423,0)</f>
        <v>0</v>
      </c>
      <c r="I623" s="94" t="str">
        <f>IF(PROGRAMA_DETALLE!P423="","",PROGRAMA_DETALLE!P423)</f>
        <v/>
      </c>
    </row>
    <row r="624" ht="15.75" customHeight="1">
      <c r="A624" s="87" t="s">
        <v>229</v>
      </c>
      <c r="B624" s="93" t="str">
        <f>IFERROR(VLOOKUP(PROGRAMA_DETALLE!A424,PROGRAMAS!$A$4:$B$103,2,FALSE()),"")</f>
        <v/>
      </c>
      <c r="C624" s="84" t="str">
        <f>IF(PROGRAMA_DETALLE!A424="","","Tejedora")</f>
        <v/>
      </c>
      <c r="D624" s="94" t="str">
        <f>IF(PROGRAMA_DETALLE!N424="","",PROGRAMA_DETALLE!N424)</f>
        <v/>
      </c>
      <c r="E624" s="84" t="str">
        <f>IF(PROGRAMA_DETALLE!A424="","","Tejido "&amp;PROGRAMA_DETALLE!A424&amp;" "&amp;PROGRAMA_DETALLE!B424)</f>
        <v/>
      </c>
      <c r="F624" s="95" t="str">
        <f>IF(PROGRAMA_DETALLE!M424=0,"",PROGRAMA_DETALLE!M424)</f>
        <v/>
      </c>
      <c r="G624" s="95">
        <f>IF(PROGRAMA_DETALLE!P424="PAGADO",PROGRAMA_DETALLE!M424,0)</f>
        <v>0</v>
      </c>
      <c r="H624" s="95">
        <f>IF(OR(PROGRAMA_DETALLE!P424="PENDIENTE",PROGRAMA_DETALLE!P424="PARCIAL"),PROGRAMA_DETALLE!M424,0)</f>
        <v>0</v>
      </c>
      <c r="I624" s="94" t="str">
        <f>IF(PROGRAMA_DETALLE!P424="","",PROGRAMA_DETALLE!P424)</f>
        <v/>
      </c>
    </row>
    <row r="625" ht="15.75" customHeight="1">
      <c r="A625" s="87" t="s">
        <v>229</v>
      </c>
      <c r="B625" s="93" t="str">
        <f>IFERROR(VLOOKUP(PROGRAMA_DETALLE!A425,PROGRAMAS!$A$4:$B$103,2,FALSE()),"")</f>
        <v/>
      </c>
      <c r="C625" s="84" t="str">
        <f>IF(PROGRAMA_DETALLE!A425="","","Tejedora")</f>
        <v/>
      </c>
      <c r="D625" s="94" t="str">
        <f>IF(PROGRAMA_DETALLE!N425="","",PROGRAMA_DETALLE!N425)</f>
        <v/>
      </c>
      <c r="E625" s="84" t="str">
        <f>IF(PROGRAMA_DETALLE!A425="","","Tejido "&amp;PROGRAMA_DETALLE!A425&amp;" "&amp;PROGRAMA_DETALLE!B425)</f>
        <v/>
      </c>
      <c r="F625" s="95" t="str">
        <f>IF(PROGRAMA_DETALLE!M425=0,"",PROGRAMA_DETALLE!M425)</f>
        <v/>
      </c>
      <c r="G625" s="95">
        <f>IF(PROGRAMA_DETALLE!P425="PAGADO",PROGRAMA_DETALLE!M425,0)</f>
        <v>0</v>
      </c>
      <c r="H625" s="95">
        <f>IF(OR(PROGRAMA_DETALLE!P425="PENDIENTE",PROGRAMA_DETALLE!P425="PARCIAL"),PROGRAMA_DETALLE!M425,0)</f>
        <v>0</v>
      </c>
      <c r="I625" s="94" t="str">
        <f>IF(PROGRAMA_DETALLE!P425="","",PROGRAMA_DETALLE!P425)</f>
        <v/>
      </c>
    </row>
    <row r="626" ht="15.75" customHeight="1">
      <c r="A626" s="87" t="s">
        <v>229</v>
      </c>
      <c r="B626" s="93" t="str">
        <f>IFERROR(VLOOKUP(PROGRAMA_DETALLE!A426,PROGRAMAS!$A$4:$B$103,2,FALSE()),"")</f>
        <v/>
      </c>
      <c r="C626" s="84" t="str">
        <f>IF(PROGRAMA_DETALLE!A426="","","Tejedora")</f>
        <v/>
      </c>
      <c r="D626" s="94" t="str">
        <f>IF(PROGRAMA_DETALLE!N426="","",PROGRAMA_DETALLE!N426)</f>
        <v/>
      </c>
      <c r="E626" s="84" t="str">
        <f>IF(PROGRAMA_DETALLE!A426="","","Tejido "&amp;PROGRAMA_DETALLE!A426&amp;" "&amp;PROGRAMA_DETALLE!B426)</f>
        <v/>
      </c>
      <c r="F626" s="95" t="str">
        <f>IF(PROGRAMA_DETALLE!M426=0,"",PROGRAMA_DETALLE!M426)</f>
        <v/>
      </c>
      <c r="G626" s="95">
        <f>IF(PROGRAMA_DETALLE!P426="PAGADO",PROGRAMA_DETALLE!M426,0)</f>
        <v>0</v>
      </c>
      <c r="H626" s="95">
        <f>IF(OR(PROGRAMA_DETALLE!P426="PENDIENTE",PROGRAMA_DETALLE!P426="PARCIAL"),PROGRAMA_DETALLE!M426,0)</f>
        <v>0</v>
      </c>
      <c r="I626" s="94" t="str">
        <f>IF(PROGRAMA_DETALLE!P426="","",PROGRAMA_DETALLE!P426)</f>
        <v/>
      </c>
    </row>
    <row r="627" ht="15.75" customHeight="1">
      <c r="A627" s="87" t="s">
        <v>229</v>
      </c>
      <c r="B627" s="93" t="str">
        <f>IFERROR(VLOOKUP(PROGRAMA_DETALLE!A427,PROGRAMAS!$A$4:$B$103,2,FALSE()),"")</f>
        <v/>
      </c>
      <c r="C627" s="84" t="str">
        <f>IF(PROGRAMA_DETALLE!A427="","","Tejedora")</f>
        <v/>
      </c>
      <c r="D627" s="94" t="str">
        <f>IF(PROGRAMA_DETALLE!N427="","",PROGRAMA_DETALLE!N427)</f>
        <v/>
      </c>
      <c r="E627" s="84" t="str">
        <f>IF(PROGRAMA_DETALLE!A427="","","Tejido "&amp;PROGRAMA_DETALLE!A427&amp;" "&amp;PROGRAMA_DETALLE!B427)</f>
        <v/>
      </c>
      <c r="F627" s="95" t="str">
        <f>IF(PROGRAMA_DETALLE!M427=0,"",PROGRAMA_DETALLE!M427)</f>
        <v/>
      </c>
      <c r="G627" s="95">
        <f>IF(PROGRAMA_DETALLE!P427="PAGADO",PROGRAMA_DETALLE!M427,0)</f>
        <v>0</v>
      </c>
      <c r="H627" s="95">
        <f>IF(OR(PROGRAMA_DETALLE!P427="PENDIENTE",PROGRAMA_DETALLE!P427="PARCIAL"),PROGRAMA_DETALLE!M427,0)</f>
        <v>0</v>
      </c>
      <c r="I627" s="94" t="str">
        <f>IF(PROGRAMA_DETALLE!P427="","",PROGRAMA_DETALLE!P427)</f>
        <v/>
      </c>
    </row>
    <row r="628" ht="15.75" customHeight="1">
      <c r="A628" s="87" t="s">
        <v>229</v>
      </c>
      <c r="B628" s="93" t="str">
        <f>IFERROR(VLOOKUP(PROGRAMA_DETALLE!A428,PROGRAMAS!$A$4:$B$103,2,FALSE()),"")</f>
        <v/>
      </c>
      <c r="C628" s="84" t="str">
        <f>IF(PROGRAMA_DETALLE!A428="","","Tejedora")</f>
        <v/>
      </c>
      <c r="D628" s="94" t="str">
        <f>IF(PROGRAMA_DETALLE!N428="","",PROGRAMA_DETALLE!N428)</f>
        <v/>
      </c>
      <c r="E628" s="84" t="str">
        <f>IF(PROGRAMA_DETALLE!A428="","","Tejido "&amp;PROGRAMA_DETALLE!A428&amp;" "&amp;PROGRAMA_DETALLE!B428)</f>
        <v/>
      </c>
      <c r="F628" s="95" t="str">
        <f>IF(PROGRAMA_DETALLE!M428=0,"",PROGRAMA_DETALLE!M428)</f>
        <v/>
      </c>
      <c r="G628" s="95">
        <f>IF(PROGRAMA_DETALLE!P428="PAGADO",PROGRAMA_DETALLE!M428,0)</f>
        <v>0</v>
      </c>
      <c r="H628" s="95">
        <f>IF(OR(PROGRAMA_DETALLE!P428="PENDIENTE",PROGRAMA_DETALLE!P428="PARCIAL"),PROGRAMA_DETALLE!M428,0)</f>
        <v>0</v>
      </c>
      <c r="I628" s="94" t="str">
        <f>IF(PROGRAMA_DETALLE!P428="","",PROGRAMA_DETALLE!P428)</f>
        <v/>
      </c>
    </row>
    <row r="629" ht="15.75" customHeight="1">
      <c r="A629" s="87" t="s">
        <v>229</v>
      </c>
      <c r="B629" s="93" t="str">
        <f>IFERROR(VLOOKUP(PROGRAMA_DETALLE!A429,PROGRAMAS!$A$4:$B$103,2,FALSE()),"")</f>
        <v/>
      </c>
      <c r="C629" s="84" t="str">
        <f>IF(PROGRAMA_DETALLE!A429="","","Tejedora")</f>
        <v/>
      </c>
      <c r="D629" s="94" t="str">
        <f>IF(PROGRAMA_DETALLE!N429="","",PROGRAMA_DETALLE!N429)</f>
        <v/>
      </c>
      <c r="E629" s="84" t="str">
        <f>IF(PROGRAMA_DETALLE!A429="","","Tejido "&amp;PROGRAMA_DETALLE!A429&amp;" "&amp;PROGRAMA_DETALLE!B429)</f>
        <v/>
      </c>
      <c r="F629" s="95" t="str">
        <f>IF(PROGRAMA_DETALLE!M429=0,"",PROGRAMA_DETALLE!M429)</f>
        <v/>
      </c>
      <c r="G629" s="95">
        <f>IF(PROGRAMA_DETALLE!P429="PAGADO",PROGRAMA_DETALLE!M429,0)</f>
        <v>0</v>
      </c>
      <c r="H629" s="95">
        <f>IF(OR(PROGRAMA_DETALLE!P429="PENDIENTE",PROGRAMA_DETALLE!P429="PARCIAL"),PROGRAMA_DETALLE!M429,0)</f>
        <v>0</v>
      </c>
      <c r="I629" s="94" t="str">
        <f>IF(PROGRAMA_DETALLE!P429="","",PROGRAMA_DETALLE!P429)</f>
        <v/>
      </c>
    </row>
    <row r="630" ht="15.75" customHeight="1">
      <c r="A630" s="87" t="s">
        <v>229</v>
      </c>
      <c r="B630" s="93" t="str">
        <f>IFERROR(VLOOKUP(PROGRAMA_DETALLE!A430,PROGRAMAS!$A$4:$B$103,2,FALSE()),"")</f>
        <v/>
      </c>
      <c r="C630" s="84" t="str">
        <f>IF(PROGRAMA_DETALLE!A430="","","Tejedora")</f>
        <v/>
      </c>
      <c r="D630" s="94" t="str">
        <f>IF(PROGRAMA_DETALLE!N430="","",PROGRAMA_DETALLE!N430)</f>
        <v/>
      </c>
      <c r="E630" s="84" t="str">
        <f>IF(PROGRAMA_DETALLE!A430="","","Tejido "&amp;PROGRAMA_DETALLE!A430&amp;" "&amp;PROGRAMA_DETALLE!B430)</f>
        <v/>
      </c>
      <c r="F630" s="95" t="str">
        <f>IF(PROGRAMA_DETALLE!M430=0,"",PROGRAMA_DETALLE!M430)</f>
        <v/>
      </c>
      <c r="G630" s="95">
        <f>IF(PROGRAMA_DETALLE!P430="PAGADO",PROGRAMA_DETALLE!M430,0)</f>
        <v>0</v>
      </c>
      <c r="H630" s="95">
        <f>IF(OR(PROGRAMA_DETALLE!P430="PENDIENTE",PROGRAMA_DETALLE!P430="PARCIAL"),PROGRAMA_DETALLE!M430,0)</f>
        <v>0</v>
      </c>
      <c r="I630" s="94" t="str">
        <f>IF(PROGRAMA_DETALLE!P430="","",PROGRAMA_DETALLE!P430)</f>
        <v/>
      </c>
    </row>
    <row r="631" ht="15.75" customHeight="1">
      <c r="A631" s="87" t="s">
        <v>229</v>
      </c>
      <c r="B631" s="93" t="str">
        <f>IFERROR(VLOOKUP(PROGRAMA_DETALLE!A431,PROGRAMAS!$A$4:$B$103,2,FALSE()),"")</f>
        <v/>
      </c>
      <c r="C631" s="84" t="str">
        <f>IF(PROGRAMA_DETALLE!A431="","","Tejedora")</f>
        <v/>
      </c>
      <c r="D631" s="94" t="str">
        <f>IF(PROGRAMA_DETALLE!N431="","",PROGRAMA_DETALLE!N431)</f>
        <v/>
      </c>
      <c r="E631" s="84" t="str">
        <f>IF(PROGRAMA_DETALLE!A431="","","Tejido "&amp;PROGRAMA_DETALLE!A431&amp;" "&amp;PROGRAMA_DETALLE!B431)</f>
        <v/>
      </c>
      <c r="F631" s="95" t="str">
        <f>IF(PROGRAMA_DETALLE!M431=0,"",PROGRAMA_DETALLE!M431)</f>
        <v/>
      </c>
      <c r="G631" s="95">
        <f>IF(PROGRAMA_DETALLE!P431="PAGADO",PROGRAMA_DETALLE!M431,0)</f>
        <v>0</v>
      </c>
      <c r="H631" s="95">
        <f>IF(OR(PROGRAMA_DETALLE!P431="PENDIENTE",PROGRAMA_DETALLE!P431="PARCIAL"),PROGRAMA_DETALLE!M431,0)</f>
        <v>0</v>
      </c>
      <c r="I631" s="94" t="str">
        <f>IF(PROGRAMA_DETALLE!P431="","",PROGRAMA_DETALLE!P431)</f>
        <v/>
      </c>
    </row>
    <row r="632" ht="15.75" customHeight="1">
      <c r="A632" s="87" t="s">
        <v>229</v>
      </c>
      <c r="B632" s="93" t="str">
        <f>IFERROR(VLOOKUP(PROGRAMA_DETALLE!A432,PROGRAMAS!$A$4:$B$103,2,FALSE()),"")</f>
        <v/>
      </c>
      <c r="C632" s="84" t="str">
        <f>IF(PROGRAMA_DETALLE!A432="","","Tejedora")</f>
        <v/>
      </c>
      <c r="D632" s="94" t="str">
        <f>IF(PROGRAMA_DETALLE!N432="","",PROGRAMA_DETALLE!N432)</f>
        <v/>
      </c>
      <c r="E632" s="84" t="str">
        <f>IF(PROGRAMA_DETALLE!A432="","","Tejido "&amp;PROGRAMA_DETALLE!A432&amp;" "&amp;PROGRAMA_DETALLE!B432)</f>
        <v/>
      </c>
      <c r="F632" s="95" t="str">
        <f>IF(PROGRAMA_DETALLE!M432=0,"",PROGRAMA_DETALLE!M432)</f>
        <v/>
      </c>
      <c r="G632" s="95">
        <f>IF(PROGRAMA_DETALLE!P432="PAGADO",PROGRAMA_DETALLE!M432,0)</f>
        <v>0</v>
      </c>
      <c r="H632" s="95">
        <f>IF(OR(PROGRAMA_DETALLE!P432="PENDIENTE",PROGRAMA_DETALLE!P432="PARCIAL"),PROGRAMA_DETALLE!M432,0)</f>
        <v>0</v>
      </c>
      <c r="I632" s="94" t="str">
        <f>IF(PROGRAMA_DETALLE!P432="","",PROGRAMA_DETALLE!P432)</f>
        <v/>
      </c>
    </row>
    <row r="633" ht="15.75" customHeight="1">
      <c r="A633" s="87" t="s">
        <v>229</v>
      </c>
      <c r="B633" s="93" t="str">
        <f>IFERROR(VLOOKUP(PROGRAMA_DETALLE!A433,PROGRAMAS!$A$4:$B$103,2,FALSE()),"")</f>
        <v/>
      </c>
      <c r="C633" s="84" t="str">
        <f>IF(PROGRAMA_DETALLE!A433="","","Tejedora")</f>
        <v/>
      </c>
      <c r="D633" s="94" t="str">
        <f>IF(PROGRAMA_DETALLE!N433="","",PROGRAMA_DETALLE!N433)</f>
        <v/>
      </c>
      <c r="E633" s="84" t="str">
        <f>IF(PROGRAMA_DETALLE!A433="","","Tejido "&amp;PROGRAMA_DETALLE!A433&amp;" "&amp;PROGRAMA_DETALLE!B433)</f>
        <v/>
      </c>
      <c r="F633" s="95" t="str">
        <f>IF(PROGRAMA_DETALLE!M433=0,"",PROGRAMA_DETALLE!M433)</f>
        <v/>
      </c>
      <c r="G633" s="95">
        <f>IF(PROGRAMA_DETALLE!P433="PAGADO",PROGRAMA_DETALLE!M433,0)</f>
        <v>0</v>
      </c>
      <c r="H633" s="95">
        <f>IF(OR(PROGRAMA_DETALLE!P433="PENDIENTE",PROGRAMA_DETALLE!P433="PARCIAL"),PROGRAMA_DETALLE!M433,0)</f>
        <v>0</v>
      </c>
      <c r="I633" s="94" t="str">
        <f>IF(PROGRAMA_DETALLE!P433="","",PROGRAMA_DETALLE!P433)</f>
        <v/>
      </c>
    </row>
    <row r="634" ht="15.75" customHeight="1">
      <c r="A634" s="87" t="s">
        <v>229</v>
      </c>
      <c r="B634" s="93" t="str">
        <f>IFERROR(VLOOKUP(PROGRAMA_DETALLE!A434,PROGRAMAS!$A$4:$B$103,2,FALSE()),"")</f>
        <v/>
      </c>
      <c r="C634" s="84" t="str">
        <f>IF(PROGRAMA_DETALLE!A434="","","Tejedora")</f>
        <v/>
      </c>
      <c r="D634" s="94" t="str">
        <f>IF(PROGRAMA_DETALLE!N434="","",PROGRAMA_DETALLE!N434)</f>
        <v/>
      </c>
      <c r="E634" s="84" t="str">
        <f>IF(PROGRAMA_DETALLE!A434="","","Tejido "&amp;PROGRAMA_DETALLE!A434&amp;" "&amp;PROGRAMA_DETALLE!B434)</f>
        <v/>
      </c>
      <c r="F634" s="95" t="str">
        <f>IF(PROGRAMA_DETALLE!M434=0,"",PROGRAMA_DETALLE!M434)</f>
        <v/>
      </c>
      <c r="G634" s="95">
        <f>IF(PROGRAMA_DETALLE!P434="PAGADO",PROGRAMA_DETALLE!M434,0)</f>
        <v>0</v>
      </c>
      <c r="H634" s="95">
        <f>IF(OR(PROGRAMA_DETALLE!P434="PENDIENTE",PROGRAMA_DETALLE!P434="PARCIAL"),PROGRAMA_DETALLE!M434,0)</f>
        <v>0</v>
      </c>
      <c r="I634" s="94" t="str">
        <f>IF(PROGRAMA_DETALLE!P434="","",PROGRAMA_DETALLE!P434)</f>
        <v/>
      </c>
    </row>
    <row r="635" ht="15.75" customHeight="1">
      <c r="A635" s="87" t="s">
        <v>229</v>
      </c>
      <c r="B635" s="93" t="str">
        <f>IFERROR(VLOOKUP(PROGRAMA_DETALLE!A435,PROGRAMAS!$A$4:$B$103,2,FALSE()),"")</f>
        <v/>
      </c>
      <c r="C635" s="84" t="str">
        <f>IF(PROGRAMA_DETALLE!A435="","","Tejedora")</f>
        <v/>
      </c>
      <c r="D635" s="94" t="str">
        <f>IF(PROGRAMA_DETALLE!N435="","",PROGRAMA_DETALLE!N435)</f>
        <v/>
      </c>
      <c r="E635" s="84" t="str">
        <f>IF(PROGRAMA_DETALLE!A435="","","Tejido "&amp;PROGRAMA_DETALLE!A435&amp;" "&amp;PROGRAMA_DETALLE!B435)</f>
        <v/>
      </c>
      <c r="F635" s="95" t="str">
        <f>IF(PROGRAMA_DETALLE!M435=0,"",PROGRAMA_DETALLE!M435)</f>
        <v/>
      </c>
      <c r="G635" s="95">
        <f>IF(PROGRAMA_DETALLE!P435="PAGADO",PROGRAMA_DETALLE!M435,0)</f>
        <v>0</v>
      </c>
      <c r="H635" s="95">
        <f>IF(OR(PROGRAMA_DETALLE!P435="PENDIENTE",PROGRAMA_DETALLE!P435="PARCIAL"),PROGRAMA_DETALLE!M435,0)</f>
        <v>0</v>
      </c>
      <c r="I635" s="94" t="str">
        <f>IF(PROGRAMA_DETALLE!P435="","",PROGRAMA_DETALLE!P435)</f>
        <v/>
      </c>
    </row>
    <row r="636" ht="15.75" customHeight="1">
      <c r="A636" s="87" t="s">
        <v>229</v>
      </c>
      <c r="B636" s="93" t="str">
        <f>IFERROR(VLOOKUP(PROGRAMA_DETALLE!A436,PROGRAMAS!$A$4:$B$103,2,FALSE()),"")</f>
        <v/>
      </c>
      <c r="C636" s="84" t="str">
        <f>IF(PROGRAMA_DETALLE!A436="","","Tejedora")</f>
        <v/>
      </c>
      <c r="D636" s="94" t="str">
        <f>IF(PROGRAMA_DETALLE!N436="","",PROGRAMA_DETALLE!N436)</f>
        <v/>
      </c>
      <c r="E636" s="84" t="str">
        <f>IF(PROGRAMA_DETALLE!A436="","","Tejido "&amp;PROGRAMA_DETALLE!A436&amp;" "&amp;PROGRAMA_DETALLE!B436)</f>
        <v/>
      </c>
      <c r="F636" s="95" t="str">
        <f>IF(PROGRAMA_DETALLE!M436=0,"",PROGRAMA_DETALLE!M436)</f>
        <v/>
      </c>
      <c r="G636" s="95">
        <f>IF(PROGRAMA_DETALLE!P436="PAGADO",PROGRAMA_DETALLE!M436,0)</f>
        <v>0</v>
      </c>
      <c r="H636" s="95">
        <f>IF(OR(PROGRAMA_DETALLE!P436="PENDIENTE",PROGRAMA_DETALLE!P436="PARCIAL"),PROGRAMA_DETALLE!M436,0)</f>
        <v>0</v>
      </c>
      <c r="I636" s="94" t="str">
        <f>IF(PROGRAMA_DETALLE!P436="","",PROGRAMA_DETALLE!P436)</f>
        <v/>
      </c>
    </row>
    <row r="637" ht="15.75" customHeight="1">
      <c r="A637" s="87" t="s">
        <v>229</v>
      </c>
      <c r="B637" s="93" t="str">
        <f>IFERROR(VLOOKUP(PROGRAMA_DETALLE!A437,PROGRAMAS!$A$4:$B$103,2,FALSE()),"")</f>
        <v/>
      </c>
      <c r="C637" s="84" t="str">
        <f>IF(PROGRAMA_DETALLE!A437="","","Tejedora")</f>
        <v/>
      </c>
      <c r="D637" s="94" t="str">
        <f>IF(PROGRAMA_DETALLE!N437="","",PROGRAMA_DETALLE!N437)</f>
        <v/>
      </c>
      <c r="E637" s="84" t="str">
        <f>IF(PROGRAMA_DETALLE!A437="","","Tejido "&amp;PROGRAMA_DETALLE!A437&amp;" "&amp;PROGRAMA_DETALLE!B437)</f>
        <v/>
      </c>
      <c r="F637" s="95" t="str">
        <f>IF(PROGRAMA_DETALLE!M437=0,"",PROGRAMA_DETALLE!M437)</f>
        <v/>
      </c>
      <c r="G637" s="95">
        <f>IF(PROGRAMA_DETALLE!P437="PAGADO",PROGRAMA_DETALLE!M437,0)</f>
        <v>0</v>
      </c>
      <c r="H637" s="95">
        <f>IF(OR(PROGRAMA_DETALLE!P437="PENDIENTE",PROGRAMA_DETALLE!P437="PARCIAL"),PROGRAMA_DETALLE!M437,0)</f>
        <v>0</v>
      </c>
      <c r="I637" s="94" t="str">
        <f>IF(PROGRAMA_DETALLE!P437="","",PROGRAMA_DETALLE!P437)</f>
        <v/>
      </c>
    </row>
    <row r="638" ht="15.75" customHeight="1">
      <c r="A638" s="87" t="s">
        <v>229</v>
      </c>
      <c r="B638" s="93" t="str">
        <f>IFERROR(VLOOKUP(PROGRAMA_DETALLE!A438,PROGRAMAS!$A$4:$B$103,2,FALSE()),"")</f>
        <v/>
      </c>
      <c r="C638" s="84" t="str">
        <f>IF(PROGRAMA_DETALLE!A438="","","Tejedora")</f>
        <v/>
      </c>
      <c r="D638" s="94" t="str">
        <f>IF(PROGRAMA_DETALLE!N438="","",PROGRAMA_DETALLE!N438)</f>
        <v/>
      </c>
      <c r="E638" s="84" t="str">
        <f>IF(PROGRAMA_DETALLE!A438="","","Tejido "&amp;PROGRAMA_DETALLE!A438&amp;" "&amp;PROGRAMA_DETALLE!B438)</f>
        <v/>
      </c>
      <c r="F638" s="95" t="str">
        <f>IF(PROGRAMA_DETALLE!M438=0,"",PROGRAMA_DETALLE!M438)</f>
        <v/>
      </c>
      <c r="G638" s="95">
        <f>IF(PROGRAMA_DETALLE!P438="PAGADO",PROGRAMA_DETALLE!M438,0)</f>
        <v>0</v>
      </c>
      <c r="H638" s="95">
        <f>IF(OR(PROGRAMA_DETALLE!P438="PENDIENTE",PROGRAMA_DETALLE!P438="PARCIAL"),PROGRAMA_DETALLE!M438,0)</f>
        <v>0</v>
      </c>
      <c r="I638" s="94" t="str">
        <f>IF(PROGRAMA_DETALLE!P438="","",PROGRAMA_DETALLE!P438)</f>
        <v/>
      </c>
    </row>
    <row r="639" ht="15.75" customHeight="1">
      <c r="A639" s="87" t="s">
        <v>229</v>
      </c>
      <c r="B639" s="93" t="str">
        <f>IFERROR(VLOOKUP(PROGRAMA_DETALLE!A439,PROGRAMAS!$A$4:$B$103,2,FALSE()),"")</f>
        <v/>
      </c>
      <c r="C639" s="84" t="str">
        <f>IF(PROGRAMA_DETALLE!A439="","","Tejedora")</f>
        <v/>
      </c>
      <c r="D639" s="94" t="str">
        <f>IF(PROGRAMA_DETALLE!N439="","",PROGRAMA_DETALLE!N439)</f>
        <v/>
      </c>
      <c r="E639" s="84" t="str">
        <f>IF(PROGRAMA_DETALLE!A439="","","Tejido "&amp;PROGRAMA_DETALLE!A439&amp;" "&amp;PROGRAMA_DETALLE!B439)</f>
        <v/>
      </c>
      <c r="F639" s="95" t="str">
        <f>IF(PROGRAMA_DETALLE!M439=0,"",PROGRAMA_DETALLE!M439)</f>
        <v/>
      </c>
      <c r="G639" s="95">
        <f>IF(PROGRAMA_DETALLE!P439="PAGADO",PROGRAMA_DETALLE!M439,0)</f>
        <v>0</v>
      </c>
      <c r="H639" s="95">
        <f>IF(OR(PROGRAMA_DETALLE!P439="PENDIENTE",PROGRAMA_DETALLE!P439="PARCIAL"),PROGRAMA_DETALLE!M439,0)</f>
        <v>0</v>
      </c>
      <c r="I639" s="94" t="str">
        <f>IF(PROGRAMA_DETALLE!P439="","",PROGRAMA_DETALLE!P439)</f>
        <v/>
      </c>
    </row>
    <row r="640" ht="15.75" customHeight="1">
      <c r="A640" s="87" t="s">
        <v>229</v>
      </c>
      <c r="B640" s="93" t="str">
        <f>IFERROR(VLOOKUP(PROGRAMA_DETALLE!A440,PROGRAMAS!$A$4:$B$103,2,FALSE()),"")</f>
        <v/>
      </c>
      <c r="C640" s="84" t="str">
        <f>IF(PROGRAMA_DETALLE!A440="","","Tejedora")</f>
        <v/>
      </c>
      <c r="D640" s="94" t="str">
        <f>IF(PROGRAMA_DETALLE!N440="","",PROGRAMA_DETALLE!N440)</f>
        <v/>
      </c>
      <c r="E640" s="84" t="str">
        <f>IF(PROGRAMA_DETALLE!A440="","","Tejido "&amp;PROGRAMA_DETALLE!A440&amp;" "&amp;PROGRAMA_DETALLE!B440)</f>
        <v/>
      </c>
      <c r="F640" s="95" t="str">
        <f>IF(PROGRAMA_DETALLE!M440=0,"",PROGRAMA_DETALLE!M440)</f>
        <v/>
      </c>
      <c r="G640" s="95">
        <f>IF(PROGRAMA_DETALLE!P440="PAGADO",PROGRAMA_DETALLE!M440,0)</f>
        <v>0</v>
      </c>
      <c r="H640" s="95">
        <f>IF(OR(PROGRAMA_DETALLE!P440="PENDIENTE",PROGRAMA_DETALLE!P440="PARCIAL"),PROGRAMA_DETALLE!M440,0)</f>
        <v>0</v>
      </c>
      <c r="I640" s="94" t="str">
        <f>IF(PROGRAMA_DETALLE!P440="","",PROGRAMA_DETALLE!P440)</f>
        <v/>
      </c>
    </row>
    <row r="641" ht="15.75" customHeight="1">
      <c r="A641" s="87" t="s">
        <v>229</v>
      </c>
      <c r="B641" s="93" t="str">
        <f>IFERROR(VLOOKUP(PROGRAMA_DETALLE!A441,PROGRAMAS!$A$4:$B$103,2,FALSE()),"")</f>
        <v/>
      </c>
      <c r="C641" s="84" t="str">
        <f>IF(PROGRAMA_DETALLE!A441="","","Tejedora")</f>
        <v/>
      </c>
      <c r="D641" s="94" t="str">
        <f>IF(PROGRAMA_DETALLE!N441="","",PROGRAMA_DETALLE!N441)</f>
        <v/>
      </c>
      <c r="E641" s="84" t="str">
        <f>IF(PROGRAMA_DETALLE!A441="","","Tejido "&amp;PROGRAMA_DETALLE!A441&amp;" "&amp;PROGRAMA_DETALLE!B441)</f>
        <v/>
      </c>
      <c r="F641" s="95" t="str">
        <f>IF(PROGRAMA_DETALLE!M441=0,"",PROGRAMA_DETALLE!M441)</f>
        <v/>
      </c>
      <c r="G641" s="95">
        <f>IF(PROGRAMA_DETALLE!P441="PAGADO",PROGRAMA_DETALLE!M441,0)</f>
        <v>0</v>
      </c>
      <c r="H641" s="95">
        <f>IF(OR(PROGRAMA_DETALLE!P441="PENDIENTE",PROGRAMA_DETALLE!P441="PARCIAL"),PROGRAMA_DETALLE!M441,0)</f>
        <v>0</v>
      </c>
      <c r="I641" s="94" t="str">
        <f>IF(PROGRAMA_DETALLE!P441="","",PROGRAMA_DETALLE!P441)</f>
        <v/>
      </c>
    </row>
    <row r="642" ht="15.75" customHeight="1">
      <c r="A642" s="87" t="s">
        <v>229</v>
      </c>
      <c r="B642" s="93" t="str">
        <f>IFERROR(VLOOKUP(PROGRAMA_DETALLE!A442,PROGRAMAS!$A$4:$B$103,2,FALSE()),"")</f>
        <v/>
      </c>
      <c r="C642" s="84" t="str">
        <f>IF(PROGRAMA_DETALLE!A442="","","Tejedora")</f>
        <v/>
      </c>
      <c r="D642" s="94" t="str">
        <f>IF(PROGRAMA_DETALLE!N442="","",PROGRAMA_DETALLE!N442)</f>
        <v/>
      </c>
      <c r="E642" s="84" t="str">
        <f>IF(PROGRAMA_DETALLE!A442="","","Tejido "&amp;PROGRAMA_DETALLE!A442&amp;" "&amp;PROGRAMA_DETALLE!B442)</f>
        <v/>
      </c>
      <c r="F642" s="95" t="str">
        <f>IF(PROGRAMA_DETALLE!M442=0,"",PROGRAMA_DETALLE!M442)</f>
        <v/>
      </c>
      <c r="G642" s="95">
        <f>IF(PROGRAMA_DETALLE!P442="PAGADO",PROGRAMA_DETALLE!M442,0)</f>
        <v>0</v>
      </c>
      <c r="H642" s="95">
        <f>IF(OR(PROGRAMA_DETALLE!P442="PENDIENTE",PROGRAMA_DETALLE!P442="PARCIAL"),PROGRAMA_DETALLE!M442,0)</f>
        <v>0</v>
      </c>
      <c r="I642" s="94" t="str">
        <f>IF(PROGRAMA_DETALLE!P442="","",PROGRAMA_DETALLE!P442)</f>
        <v/>
      </c>
    </row>
    <row r="643" ht="15.75" customHeight="1">
      <c r="A643" s="87" t="s">
        <v>229</v>
      </c>
      <c r="B643" s="93" t="str">
        <f>IFERROR(VLOOKUP(PROGRAMA_DETALLE!A443,PROGRAMAS!$A$4:$B$103,2,FALSE()),"")</f>
        <v/>
      </c>
      <c r="C643" s="84" t="str">
        <f>IF(PROGRAMA_DETALLE!A443="","","Tejedora")</f>
        <v/>
      </c>
      <c r="D643" s="94" t="str">
        <f>IF(PROGRAMA_DETALLE!N443="","",PROGRAMA_DETALLE!N443)</f>
        <v/>
      </c>
      <c r="E643" s="84" t="str">
        <f>IF(PROGRAMA_DETALLE!A443="","","Tejido "&amp;PROGRAMA_DETALLE!A443&amp;" "&amp;PROGRAMA_DETALLE!B443)</f>
        <v/>
      </c>
      <c r="F643" s="95" t="str">
        <f>IF(PROGRAMA_DETALLE!M443=0,"",PROGRAMA_DETALLE!M443)</f>
        <v/>
      </c>
      <c r="G643" s="95">
        <f>IF(PROGRAMA_DETALLE!P443="PAGADO",PROGRAMA_DETALLE!M443,0)</f>
        <v>0</v>
      </c>
      <c r="H643" s="95">
        <f>IF(OR(PROGRAMA_DETALLE!P443="PENDIENTE",PROGRAMA_DETALLE!P443="PARCIAL"),PROGRAMA_DETALLE!M443,0)</f>
        <v>0</v>
      </c>
      <c r="I643" s="94" t="str">
        <f>IF(PROGRAMA_DETALLE!P443="","",PROGRAMA_DETALLE!P443)</f>
        <v/>
      </c>
    </row>
    <row r="644" ht="15.75" customHeight="1">
      <c r="A644" s="87" t="s">
        <v>229</v>
      </c>
      <c r="B644" s="93" t="str">
        <f>IFERROR(VLOOKUP(PROGRAMA_DETALLE!A444,PROGRAMAS!$A$4:$B$103,2,FALSE()),"")</f>
        <v/>
      </c>
      <c r="C644" s="84" t="str">
        <f>IF(PROGRAMA_DETALLE!A444="","","Tejedora")</f>
        <v/>
      </c>
      <c r="D644" s="94" t="str">
        <f>IF(PROGRAMA_DETALLE!N444="","",PROGRAMA_DETALLE!N444)</f>
        <v/>
      </c>
      <c r="E644" s="84" t="str">
        <f>IF(PROGRAMA_DETALLE!A444="","","Tejido "&amp;PROGRAMA_DETALLE!A444&amp;" "&amp;PROGRAMA_DETALLE!B444)</f>
        <v/>
      </c>
      <c r="F644" s="95" t="str">
        <f>IF(PROGRAMA_DETALLE!M444=0,"",PROGRAMA_DETALLE!M444)</f>
        <v/>
      </c>
      <c r="G644" s="95">
        <f>IF(PROGRAMA_DETALLE!P444="PAGADO",PROGRAMA_DETALLE!M444,0)</f>
        <v>0</v>
      </c>
      <c r="H644" s="95">
        <f>IF(OR(PROGRAMA_DETALLE!P444="PENDIENTE",PROGRAMA_DETALLE!P444="PARCIAL"),PROGRAMA_DETALLE!M444,0)</f>
        <v>0</v>
      </c>
      <c r="I644" s="94" t="str">
        <f>IF(PROGRAMA_DETALLE!P444="","",PROGRAMA_DETALLE!P444)</f>
        <v/>
      </c>
    </row>
    <row r="645" ht="15.75" customHeight="1">
      <c r="A645" s="87" t="s">
        <v>229</v>
      </c>
      <c r="B645" s="93" t="str">
        <f>IFERROR(VLOOKUP(PROGRAMA_DETALLE!A445,PROGRAMAS!$A$4:$B$103,2,FALSE()),"")</f>
        <v/>
      </c>
      <c r="C645" s="84" t="str">
        <f>IF(PROGRAMA_DETALLE!A445="","","Tejedora")</f>
        <v/>
      </c>
      <c r="D645" s="94" t="str">
        <f>IF(PROGRAMA_DETALLE!N445="","",PROGRAMA_DETALLE!N445)</f>
        <v/>
      </c>
      <c r="E645" s="84" t="str">
        <f>IF(PROGRAMA_DETALLE!A445="","","Tejido "&amp;PROGRAMA_DETALLE!A445&amp;" "&amp;PROGRAMA_DETALLE!B445)</f>
        <v/>
      </c>
      <c r="F645" s="95" t="str">
        <f>IF(PROGRAMA_DETALLE!M445=0,"",PROGRAMA_DETALLE!M445)</f>
        <v/>
      </c>
      <c r="G645" s="95">
        <f>IF(PROGRAMA_DETALLE!P445="PAGADO",PROGRAMA_DETALLE!M445,0)</f>
        <v>0</v>
      </c>
      <c r="H645" s="95">
        <f>IF(OR(PROGRAMA_DETALLE!P445="PENDIENTE",PROGRAMA_DETALLE!P445="PARCIAL"),PROGRAMA_DETALLE!M445,0)</f>
        <v>0</v>
      </c>
      <c r="I645" s="94" t="str">
        <f>IF(PROGRAMA_DETALLE!P445="","",PROGRAMA_DETALLE!P445)</f>
        <v/>
      </c>
    </row>
    <row r="646" ht="15.75" customHeight="1">
      <c r="A646" s="87" t="s">
        <v>229</v>
      </c>
      <c r="B646" s="93" t="str">
        <f>IFERROR(VLOOKUP(PROGRAMA_DETALLE!A446,PROGRAMAS!$A$4:$B$103,2,FALSE()),"")</f>
        <v/>
      </c>
      <c r="C646" s="84" t="str">
        <f>IF(PROGRAMA_DETALLE!A446="","","Tejedora")</f>
        <v/>
      </c>
      <c r="D646" s="94" t="str">
        <f>IF(PROGRAMA_DETALLE!N446="","",PROGRAMA_DETALLE!N446)</f>
        <v/>
      </c>
      <c r="E646" s="84" t="str">
        <f>IF(PROGRAMA_DETALLE!A446="","","Tejido "&amp;PROGRAMA_DETALLE!A446&amp;" "&amp;PROGRAMA_DETALLE!B446)</f>
        <v/>
      </c>
      <c r="F646" s="95" t="str">
        <f>IF(PROGRAMA_DETALLE!M446=0,"",PROGRAMA_DETALLE!M446)</f>
        <v/>
      </c>
      <c r="G646" s="95">
        <f>IF(PROGRAMA_DETALLE!P446="PAGADO",PROGRAMA_DETALLE!M446,0)</f>
        <v>0</v>
      </c>
      <c r="H646" s="95">
        <f>IF(OR(PROGRAMA_DETALLE!P446="PENDIENTE",PROGRAMA_DETALLE!P446="PARCIAL"),PROGRAMA_DETALLE!M446,0)</f>
        <v>0</v>
      </c>
      <c r="I646" s="94" t="str">
        <f>IF(PROGRAMA_DETALLE!P446="","",PROGRAMA_DETALLE!P446)</f>
        <v/>
      </c>
    </row>
    <row r="647" ht="15.75" customHeight="1">
      <c r="A647" s="87" t="s">
        <v>229</v>
      </c>
      <c r="B647" s="93" t="str">
        <f>IFERROR(VLOOKUP(PROGRAMA_DETALLE!A447,PROGRAMAS!$A$4:$B$103,2,FALSE()),"")</f>
        <v/>
      </c>
      <c r="C647" s="84" t="str">
        <f>IF(PROGRAMA_DETALLE!A447="","","Tejedora")</f>
        <v/>
      </c>
      <c r="D647" s="94" t="str">
        <f>IF(PROGRAMA_DETALLE!N447="","",PROGRAMA_DETALLE!N447)</f>
        <v/>
      </c>
      <c r="E647" s="84" t="str">
        <f>IF(PROGRAMA_DETALLE!A447="","","Tejido "&amp;PROGRAMA_DETALLE!A447&amp;" "&amp;PROGRAMA_DETALLE!B447)</f>
        <v/>
      </c>
      <c r="F647" s="95" t="str">
        <f>IF(PROGRAMA_DETALLE!M447=0,"",PROGRAMA_DETALLE!M447)</f>
        <v/>
      </c>
      <c r="G647" s="95">
        <f>IF(PROGRAMA_DETALLE!P447="PAGADO",PROGRAMA_DETALLE!M447,0)</f>
        <v>0</v>
      </c>
      <c r="H647" s="95">
        <f>IF(OR(PROGRAMA_DETALLE!P447="PENDIENTE",PROGRAMA_DETALLE!P447="PARCIAL"),PROGRAMA_DETALLE!M447,0)</f>
        <v>0</v>
      </c>
      <c r="I647" s="94" t="str">
        <f>IF(PROGRAMA_DETALLE!P447="","",PROGRAMA_DETALLE!P447)</f>
        <v/>
      </c>
    </row>
    <row r="648" ht="15.75" customHeight="1">
      <c r="A648" s="87" t="s">
        <v>229</v>
      </c>
      <c r="B648" s="93" t="str">
        <f>IFERROR(VLOOKUP(PROGRAMA_DETALLE!A448,PROGRAMAS!$A$4:$B$103,2,FALSE()),"")</f>
        <v/>
      </c>
      <c r="C648" s="84" t="str">
        <f>IF(PROGRAMA_DETALLE!A448="","","Tejedora")</f>
        <v/>
      </c>
      <c r="D648" s="94" t="str">
        <f>IF(PROGRAMA_DETALLE!N448="","",PROGRAMA_DETALLE!N448)</f>
        <v/>
      </c>
      <c r="E648" s="84" t="str">
        <f>IF(PROGRAMA_DETALLE!A448="","","Tejido "&amp;PROGRAMA_DETALLE!A448&amp;" "&amp;PROGRAMA_DETALLE!B448)</f>
        <v/>
      </c>
      <c r="F648" s="95" t="str">
        <f>IF(PROGRAMA_DETALLE!M448=0,"",PROGRAMA_DETALLE!M448)</f>
        <v/>
      </c>
      <c r="G648" s="95">
        <f>IF(PROGRAMA_DETALLE!P448="PAGADO",PROGRAMA_DETALLE!M448,0)</f>
        <v>0</v>
      </c>
      <c r="H648" s="95">
        <f>IF(OR(PROGRAMA_DETALLE!P448="PENDIENTE",PROGRAMA_DETALLE!P448="PARCIAL"),PROGRAMA_DETALLE!M448,0)</f>
        <v>0</v>
      </c>
      <c r="I648" s="94" t="str">
        <f>IF(PROGRAMA_DETALLE!P448="","",PROGRAMA_DETALLE!P448)</f>
        <v/>
      </c>
    </row>
    <row r="649" ht="15.75" customHeight="1">
      <c r="A649" s="87" t="s">
        <v>229</v>
      </c>
      <c r="B649" s="93" t="str">
        <f>IFERROR(VLOOKUP(PROGRAMA_DETALLE!A449,PROGRAMAS!$A$4:$B$103,2,FALSE()),"")</f>
        <v/>
      </c>
      <c r="C649" s="84" t="str">
        <f>IF(PROGRAMA_DETALLE!A449="","","Tejedora")</f>
        <v/>
      </c>
      <c r="D649" s="94" t="str">
        <f>IF(PROGRAMA_DETALLE!N449="","",PROGRAMA_DETALLE!N449)</f>
        <v/>
      </c>
      <c r="E649" s="84" t="str">
        <f>IF(PROGRAMA_DETALLE!A449="","","Tejido "&amp;PROGRAMA_DETALLE!A449&amp;" "&amp;PROGRAMA_DETALLE!B449)</f>
        <v/>
      </c>
      <c r="F649" s="95" t="str">
        <f>IF(PROGRAMA_DETALLE!M449=0,"",PROGRAMA_DETALLE!M449)</f>
        <v/>
      </c>
      <c r="G649" s="95">
        <f>IF(PROGRAMA_DETALLE!P449="PAGADO",PROGRAMA_DETALLE!M449,0)</f>
        <v>0</v>
      </c>
      <c r="H649" s="95">
        <f>IF(OR(PROGRAMA_DETALLE!P449="PENDIENTE",PROGRAMA_DETALLE!P449="PARCIAL"),PROGRAMA_DETALLE!M449,0)</f>
        <v>0</v>
      </c>
      <c r="I649" s="94" t="str">
        <f>IF(PROGRAMA_DETALLE!P449="","",PROGRAMA_DETALLE!P449)</f>
        <v/>
      </c>
    </row>
    <row r="650" ht="15.75" customHeight="1">
      <c r="A650" s="87" t="s">
        <v>229</v>
      </c>
      <c r="B650" s="93" t="str">
        <f>IFERROR(VLOOKUP(PROGRAMA_DETALLE!A450,PROGRAMAS!$A$4:$B$103,2,FALSE()),"")</f>
        <v/>
      </c>
      <c r="C650" s="84" t="str">
        <f>IF(PROGRAMA_DETALLE!A450="","","Tejedora")</f>
        <v/>
      </c>
      <c r="D650" s="94" t="str">
        <f>IF(PROGRAMA_DETALLE!N450="","",PROGRAMA_DETALLE!N450)</f>
        <v/>
      </c>
      <c r="E650" s="84" t="str">
        <f>IF(PROGRAMA_DETALLE!A450="","","Tejido "&amp;PROGRAMA_DETALLE!A450&amp;" "&amp;PROGRAMA_DETALLE!B450)</f>
        <v/>
      </c>
      <c r="F650" s="95" t="str">
        <f>IF(PROGRAMA_DETALLE!M450=0,"",PROGRAMA_DETALLE!M450)</f>
        <v/>
      </c>
      <c r="G650" s="95">
        <f>IF(PROGRAMA_DETALLE!P450="PAGADO",PROGRAMA_DETALLE!M450,0)</f>
        <v>0</v>
      </c>
      <c r="H650" s="95">
        <f>IF(OR(PROGRAMA_DETALLE!P450="PENDIENTE",PROGRAMA_DETALLE!P450="PARCIAL"),PROGRAMA_DETALLE!M450,0)</f>
        <v>0</v>
      </c>
      <c r="I650" s="94" t="str">
        <f>IF(PROGRAMA_DETALLE!P450="","",PROGRAMA_DETALLE!P450)</f>
        <v/>
      </c>
    </row>
    <row r="651" ht="15.75" customHeight="1">
      <c r="A651" s="87" t="s">
        <v>229</v>
      </c>
      <c r="B651" s="93" t="str">
        <f>IFERROR(VLOOKUP(PROGRAMA_DETALLE!A451,PROGRAMAS!$A$4:$B$103,2,FALSE()),"")</f>
        <v/>
      </c>
      <c r="C651" s="84" t="str">
        <f>IF(PROGRAMA_DETALLE!A451="","","Tejedora")</f>
        <v/>
      </c>
      <c r="D651" s="94" t="str">
        <f>IF(PROGRAMA_DETALLE!N451="","",PROGRAMA_DETALLE!N451)</f>
        <v/>
      </c>
      <c r="E651" s="84" t="str">
        <f>IF(PROGRAMA_DETALLE!A451="","","Tejido "&amp;PROGRAMA_DETALLE!A451&amp;" "&amp;PROGRAMA_DETALLE!B451)</f>
        <v/>
      </c>
      <c r="F651" s="95" t="str">
        <f>IF(PROGRAMA_DETALLE!M451=0,"",PROGRAMA_DETALLE!M451)</f>
        <v/>
      </c>
      <c r="G651" s="95">
        <f>IF(PROGRAMA_DETALLE!P451="PAGADO",PROGRAMA_DETALLE!M451,0)</f>
        <v>0</v>
      </c>
      <c r="H651" s="95">
        <f>IF(OR(PROGRAMA_DETALLE!P451="PENDIENTE",PROGRAMA_DETALLE!P451="PARCIAL"),PROGRAMA_DETALLE!M451,0)</f>
        <v>0</v>
      </c>
      <c r="I651" s="94" t="str">
        <f>IF(PROGRAMA_DETALLE!P451="","",PROGRAMA_DETALLE!P451)</f>
        <v/>
      </c>
    </row>
    <row r="652" ht="15.75" customHeight="1">
      <c r="A652" s="87" t="s">
        <v>229</v>
      </c>
      <c r="B652" s="93" t="str">
        <f>IFERROR(VLOOKUP(PROGRAMA_DETALLE!A452,PROGRAMAS!$A$4:$B$103,2,FALSE()),"")</f>
        <v/>
      </c>
      <c r="C652" s="84" t="str">
        <f>IF(PROGRAMA_DETALLE!A452="","","Tejedora")</f>
        <v/>
      </c>
      <c r="D652" s="94" t="str">
        <f>IF(PROGRAMA_DETALLE!N452="","",PROGRAMA_DETALLE!N452)</f>
        <v/>
      </c>
      <c r="E652" s="84" t="str">
        <f>IF(PROGRAMA_DETALLE!A452="","","Tejido "&amp;PROGRAMA_DETALLE!A452&amp;" "&amp;PROGRAMA_DETALLE!B452)</f>
        <v/>
      </c>
      <c r="F652" s="95" t="str">
        <f>IF(PROGRAMA_DETALLE!M452=0,"",PROGRAMA_DETALLE!M452)</f>
        <v/>
      </c>
      <c r="G652" s="95">
        <f>IF(PROGRAMA_DETALLE!P452="PAGADO",PROGRAMA_DETALLE!M452,0)</f>
        <v>0</v>
      </c>
      <c r="H652" s="95">
        <f>IF(OR(PROGRAMA_DETALLE!P452="PENDIENTE",PROGRAMA_DETALLE!P452="PARCIAL"),PROGRAMA_DETALLE!M452,0)</f>
        <v>0</v>
      </c>
      <c r="I652" s="94" t="str">
        <f>IF(PROGRAMA_DETALLE!P452="","",PROGRAMA_DETALLE!P452)</f>
        <v/>
      </c>
    </row>
    <row r="653" ht="15.75" customHeight="1">
      <c r="A653" s="87" t="s">
        <v>229</v>
      </c>
      <c r="B653" s="93" t="str">
        <f>IFERROR(VLOOKUP(PROGRAMA_DETALLE!A453,PROGRAMAS!$A$4:$B$103,2,FALSE()),"")</f>
        <v/>
      </c>
      <c r="C653" s="84" t="str">
        <f>IF(PROGRAMA_DETALLE!A453="","","Tejedora")</f>
        <v/>
      </c>
      <c r="D653" s="94" t="str">
        <f>IF(PROGRAMA_DETALLE!N453="","",PROGRAMA_DETALLE!N453)</f>
        <v/>
      </c>
      <c r="E653" s="84" t="str">
        <f>IF(PROGRAMA_DETALLE!A453="","","Tejido "&amp;PROGRAMA_DETALLE!A453&amp;" "&amp;PROGRAMA_DETALLE!B453)</f>
        <v/>
      </c>
      <c r="F653" s="95" t="str">
        <f>IF(PROGRAMA_DETALLE!M453=0,"",PROGRAMA_DETALLE!M453)</f>
        <v/>
      </c>
      <c r="G653" s="95">
        <f>IF(PROGRAMA_DETALLE!P453="PAGADO",PROGRAMA_DETALLE!M453,0)</f>
        <v>0</v>
      </c>
      <c r="H653" s="95">
        <f>IF(OR(PROGRAMA_DETALLE!P453="PENDIENTE",PROGRAMA_DETALLE!P453="PARCIAL"),PROGRAMA_DETALLE!M453,0)</f>
        <v>0</v>
      </c>
      <c r="I653" s="94" t="str">
        <f>IF(PROGRAMA_DETALLE!P453="","",PROGRAMA_DETALLE!P453)</f>
        <v/>
      </c>
    </row>
    <row r="654" ht="15.75" customHeight="1">
      <c r="A654" s="87" t="s">
        <v>229</v>
      </c>
      <c r="B654" s="93" t="str">
        <f>IFERROR(VLOOKUP(PROGRAMA_DETALLE!A454,PROGRAMAS!$A$4:$B$103,2,FALSE()),"")</f>
        <v/>
      </c>
      <c r="C654" s="84" t="str">
        <f>IF(PROGRAMA_DETALLE!A454="","","Tejedora")</f>
        <v/>
      </c>
      <c r="D654" s="94" t="str">
        <f>IF(PROGRAMA_DETALLE!N454="","",PROGRAMA_DETALLE!N454)</f>
        <v/>
      </c>
      <c r="E654" s="84" t="str">
        <f>IF(PROGRAMA_DETALLE!A454="","","Tejido "&amp;PROGRAMA_DETALLE!A454&amp;" "&amp;PROGRAMA_DETALLE!B454)</f>
        <v/>
      </c>
      <c r="F654" s="95" t="str">
        <f>IF(PROGRAMA_DETALLE!M454=0,"",PROGRAMA_DETALLE!M454)</f>
        <v/>
      </c>
      <c r="G654" s="95">
        <f>IF(PROGRAMA_DETALLE!P454="PAGADO",PROGRAMA_DETALLE!M454,0)</f>
        <v>0</v>
      </c>
      <c r="H654" s="95">
        <f>IF(OR(PROGRAMA_DETALLE!P454="PENDIENTE",PROGRAMA_DETALLE!P454="PARCIAL"),PROGRAMA_DETALLE!M454,0)</f>
        <v>0</v>
      </c>
      <c r="I654" s="94" t="str">
        <f>IF(PROGRAMA_DETALLE!P454="","",PROGRAMA_DETALLE!P454)</f>
        <v/>
      </c>
    </row>
    <row r="655" ht="15.75" customHeight="1">
      <c r="A655" s="87" t="s">
        <v>229</v>
      </c>
      <c r="B655" s="93" t="str">
        <f>IFERROR(VLOOKUP(PROGRAMA_DETALLE!A455,PROGRAMAS!$A$4:$B$103,2,FALSE()),"")</f>
        <v/>
      </c>
      <c r="C655" s="84" t="str">
        <f>IF(PROGRAMA_DETALLE!A455="","","Tejedora")</f>
        <v/>
      </c>
      <c r="D655" s="94" t="str">
        <f>IF(PROGRAMA_DETALLE!N455="","",PROGRAMA_DETALLE!N455)</f>
        <v/>
      </c>
      <c r="E655" s="84" t="str">
        <f>IF(PROGRAMA_DETALLE!A455="","","Tejido "&amp;PROGRAMA_DETALLE!A455&amp;" "&amp;PROGRAMA_DETALLE!B455)</f>
        <v/>
      </c>
      <c r="F655" s="95" t="str">
        <f>IF(PROGRAMA_DETALLE!M455=0,"",PROGRAMA_DETALLE!M455)</f>
        <v/>
      </c>
      <c r="G655" s="95">
        <f>IF(PROGRAMA_DETALLE!P455="PAGADO",PROGRAMA_DETALLE!M455,0)</f>
        <v>0</v>
      </c>
      <c r="H655" s="95">
        <f>IF(OR(PROGRAMA_DETALLE!P455="PENDIENTE",PROGRAMA_DETALLE!P455="PARCIAL"),PROGRAMA_DETALLE!M455,0)</f>
        <v>0</v>
      </c>
      <c r="I655" s="94" t="str">
        <f>IF(PROGRAMA_DETALLE!P455="","",PROGRAMA_DETALLE!P455)</f>
        <v/>
      </c>
    </row>
    <row r="656" ht="15.75" customHeight="1">
      <c r="A656" s="87" t="s">
        <v>229</v>
      </c>
      <c r="B656" s="93" t="str">
        <f>IFERROR(VLOOKUP(PROGRAMA_DETALLE!A456,PROGRAMAS!$A$4:$B$103,2,FALSE()),"")</f>
        <v/>
      </c>
      <c r="C656" s="84" t="str">
        <f>IF(PROGRAMA_DETALLE!A456="","","Tejedora")</f>
        <v/>
      </c>
      <c r="D656" s="94" t="str">
        <f>IF(PROGRAMA_DETALLE!N456="","",PROGRAMA_DETALLE!N456)</f>
        <v/>
      </c>
      <c r="E656" s="84" t="str">
        <f>IF(PROGRAMA_DETALLE!A456="","","Tejido "&amp;PROGRAMA_DETALLE!A456&amp;" "&amp;PROGRAMA_DETALLE!B456)</f>
        <v/>
      </c>
      <c r="F656" s="95" t="str">
        <f>IF(PROGRAMA_DETALLE!M456=0,"",PROGRAMA_DETALLE!M456)</f>
        <v/>
      </c>
      <c r="G656" s="95">
        <f>IF(PROGRAMA_DETALLE!P456="PAGADO",PROGRAMA_DETALLE!M456,0)</f>
        <v>0</v>
      </c>
      <c r="H656" s="95">
        <f>IF(OR(PROGRAMA_DETALLE!P456="PENDIENTE",PROGRAMA_DETALLE!P456="PARCIAL"),PROGRAMA_DETALLE!M456,0)</f>
        <v>0</v>
      </c>
      <c r="I656" s="94" t="str">
        <f>IF(PROGRAMA_DETALLE!P456="","",PROGRAMA_DETALLE!P456)</f>
        <v/>
      </c>
    </row>
    <row r="657" ht="15.75" customHeight="1">
      <c r="A657" s="87" t="s">
        <v>229</v>
      </c>
      <c r="B657" s="93" t="str">
        <f>IFERROR(VLOOKUP(PROGRAMA_DETALLE!A457,PROGRAMAS!$A$4:$B$103,2,FALSE()),"")</f>
        <v/>
      </c>
      <c r="C657" s="84" t="str">
        <f>IF(PROGRAMA_DETALLE!A457="","","Tejedora")</f>
        <v/>
      </c>
      <c r="D657" s="94" t="str">
        <f>IF(PROGRAMA_DETALLE!N457="","",PROGRAMA_DETALLE!N457)</f>
        <v/>
      </c>
      <c r="E657" s="84" t="str">
        <f>IF(PROGRAMA_DETALLE!A457="","","Tejido "&amp;PROGRAMA_DETALLE!A457&amp;" "&amp;PROGRAMA_DETALLE!B457)</f>
        <v/>
      </c>
      <c r="F657" s="95" t="str">
        <f>IF(PROGRAMA_DETALLE!M457=0,"",PROGRAMA_DETALLE!M457)</f>
        <v/>
      </c>
      <c r="G657" s="95">
        <f>IF(PROGRAMA_DETALLE!P457="PAGADO",PROGRAMA_DETALLE!M457,0)</f>
        <v>0</v>
      </c>
      <c r="H657" s="95">
        <f>IF(OR(PROGRAMA_DETALLE!P457="PENDIENTE",PROGRAMA_DETALLE!P457="PARCIAL"),PROGRAMA_DETALLE!M457,0)</f>
        <v>0</v>
      </c>
      <c r="I657" s="94" t="str">
        <f>IF(PROGRAMA_DETALLE!P457="","",PROGRAMA_DETALLE!P457)</f>
        <v/>
      </c>
    </row>
    <row r="658" ht="15.75" customHeight="1">
      <c r="A658" s="87" t="s">
        <v>229</v>
      </c>
      <c r="B658" s="93" t="str">
        <f>IFERROR(VLOOKUP(PROGRAMA_DETALLE!A458,PROGRAMAS!$A$4:$B$103,2,FALSE()),"")</f>
        <v/>
      </c>
      <c r="C658" s="84" t="str">
        <f>IF(PROGRAMA_DETALLE!A458="","","Tejedora")</f>
        <v/>
      </c>
      <c r="D658" s="94" t="str">
        <f>IF(PROGRAMA_DETALLE!N458="","",PROGRAMA_DETALLE!N458)</f>
        <v/>
      </c>
      <c r="E658" s="84" t="str">
        <f>IF(PROGRAMA_DETALLE!A458="","","Tejido "&amp;PROGRAMA_DETALLE!A458&amp;" "&amp;PROGRAMA_DETALLE!B458)</f>
        <v/>
      </c>
      <c r="F658" s="95" t="str">
        <f>IF(PROGRAMA_DETALLE!M458=0,"",PROGRAMA_DETALLE!M458)</f>
        <v/>
      </c>
      <c r="G658" s="95">
        <f>IF(PROGRAMA_DETALLE!P458="PAGADO",PROGRAMA_DETALLE!M458,0)</f>
        <v>0</v>
      </c>
      <c r="H658" s="95">
        <f>IF(OR(PROGRAMA_DETALLE!P458="PENDIENTE",PROGRAMA_DETALLE!P458="PARCIAL"),PROGRAMA_DETALLE!M458,0)</f>
        <v>0</v>
      </c>
      <c r="I658" s="94" t="str">
        <f>IF(PROGRAMA_DETALLE!P458="","",PROGRAMA_DETALLE!P458)</f>
        <v/>
      </c>
    </row>
    <row r="659" ht="15.75" customHeight="1">
      <c r="A659" s="87" t="s">
        <v>229</v>
      </c>
      <c r="B659" s="93" t="str">
        <f>IFERROR(VLOOKUP(PROGRAMA_DETALLE!A459,PROGRAMAS!$A$4:$B$103,2,FALSE()),"")</f>
        <v/>
      </c>
      <c r="C659" s="84" t="str">
        <f>IF(PROGRAMA_DETALLE!A459="","","Tejedora")</f>
        <v/>
      </c>
      <c r="D659" s="94" t="str">
        <f>IF(PROGRAMA_DETALLE!N459="","",PROGRAMA_DETALLE!N459)</f>
        <v/>
      </c>
      <c r="E659" s="84" t="str">
        <f>IF(PROGRAMA_DETALLE!A459="","","Tejido "&amp;PROGRAMA_DETALLE!A459&amp;" "&amp;PROGRAMA_DETALLE!B459)</f>
        <v/>
      </c>
      <c r="F659" s="95" t="str">
        <f>IF(PROGRAMA_DETALLE!M459=0,"",PROGRAMA_DETALLE!M459)</f>
        <v/>
      </c>
      <c r="G659" s="95">
        <f>IF(PROGRAMA_DETALLE!P459="PAGADO",PROGRAMA_DETALLE!M459,0)</f>
        <v>0</v>
      </c>
      <c r="H659" s="95">
        <f>IF(OR(PROGRAMA_DETALLE!P459="PENDIENTE",PROGRAMA_DETALLE!P459="PARCIAL"),PROGRAMA_DETALLE!M459,0)</f>
        <v>0</v>
      </c>
      <c r="I659" s="94" t="str">
        <f>IF(PROGRAMA_DETALLE!P459="","",PROGRAMA_DETALLE!P459)</f>
        <v/>
      </c>
    </row>
    <row r="660" ht="15.75" customHeight="1">
      <c r="A660" s="87" t="s">
        <v>229</v>
      </c>
      <c r="B660" s="93" t="str">
        <f>IFERROR(VLOOKUP(PROGRAMA_DETALLE!A460,PROGRAMAS!$A$4:$B$103,2,FALSE()),"")</f>
        <v/>
      </c>
      <c r="C660" s="84" t="str">
        <f>IF(PROGRAMA_DETALLE!A460="","","Tejedora")</f>
        <v/>
      </c>
      <c r="D660" s="94" t="str">
        <f>IF(PROGRAMA_DETALLE!N460="","",PROGRAMA_DETALLE!N460)</f>
        <v/>
      </c>
      <c r="E660" s="84" t="str">
        <f>IF(PROGRAMA_DETALLE!A460="","","Tejido "&amp;PROGRAMA_DETALLE!A460&amp;" "&amp;PROGRAMA_DETALLE!B460)</f>
        <v/>
      </c>
      <c r="F660" s="95" t="str">
        <f>IF(PROGRAMA_DETALLE!M460=0,"",PROGRAMA_DETALLE!M460)</f>
        <v/>
      </c>
      <c r="G660" s="95">
        <f>IF(PROGRAMA_DETALLE!P460="PAGADO",PROGRAMA_DETALLE!M460,0)</f>
        <v>0</v>
      </c>
      <c r="H660" s="95">
        <f>IF(OR(PROGRAMA_DETALLE!P460="PENDIENTE",PROGRAMA_DETALLE!P460="PARCIAL"),PROGRAMA_DETALLE!M460,0)</f>
        <v>0</v>
      </c>
      <c r="I660" s="94" t="str">
        <f>IF(PROGRAMA_DETALLE!P460="","",PROGRAMA_DETALLE!P460)</f>
        <v/>
      </c>
    </row>
    <row r="661" ht="15.75" customHeight="1">
      <c r="A661" s="87" t="s">
        <v>229</v>
      </c>
      <c r="B661" s="93" t="str">
        <f>IFERROR(VLOOKUP(PROGRAMA_DETALLE!A461,PROGRAMAS!$A$4:$B$103,2,FALSE()),"")</f>
        <v/>
      </c>
      <c r="C661" s="84" t="str">
        <f>IF(PROGRAMA_DETALLE!A461="","","Tejedora")</f>
        <v/>
      </c>
      <c r="D661" s="94" t="str">
        <f>IF(PROGRAMA_DETALLE!N461="","",PROGRAMA_DETALLE!N461)</f>
        <v/>
      </c>
      <c r="E661" s="84" t="str">
        <f>IF(PROGRAMA_DETALLE!A461="","","Tejido "&amp;PROGRAMA_DETALLE!A461&amp;" "&amp;PROGRAMA_DETALLE!B461)</f>
        <v/>
      </c>
      <c r="F661" s="95" t="str">
        <f>IF(PROGRAMA_DETALLE!M461=0,"",PROGRAMA_DETALLE!M461)</f>
        <v/>
      </c>
      <c r="G661" s="95">
        <f>IF(PROGRAMA_DETALLE!P461="PAGADO",PROGRAMA_DETALLE!M461,0)</f>
        <v>0</v>
      </c>
      <c r="H661" s="95">
        <f>IF(OR(PROGRAMA_DETALLE!P461="PENDIENTE",PROGRAMA_DETALLE!P461="PARCIAL"),PROGRAMA_DETALLE!M461,0)</f>
        <v>0</v>
      </c>
      <c r="I661" s="94" t="str">
        <f>IF(PROGRAMA_DETALLE!P461="","",PROGRAMA_DETALLE!P461)</f>
        <v/>
      </c>
    </row>
    <row r="662" ht="15.75" customHeight="1">
      <c r="A662" s="87" t="s">
        <v>229</v>
      </c>
      <c r="B662" s="93" t="str">
        <f>IFERROR(VLOOKUP(PROGRAMA_DETALLE!A462,PROGRAMAS!$A$4:$B$103,2,FALSE()),"")</f>
        <v/>
      </c>
      <c r="C662" s="84" t="str">
        <f>IF(PROGRAMA_DETALLE!A462="","","Tejedora")</f>
        <v/>
      </c>
      <c r="D662" s="94" t="str">
        <f>IF(PROGRAMA_DETALLE!N462="","",PROGRAMA_DETALLE!N462)</f>
        <v/>
      </c>
      <c r="E662" s="84" t="str">
        <f>IF(PROGRAMA_DETALLE!A462="","","Tejido "&amp;PROGRAMA_DETALLE!A462&amp;" "&amp;PROGRAMA_DETALLE!B462)</f>
        <v/>
      </c>
      <c r="F662" s="95" t="str">
        <f>IF(PROGRAMA_DETALLE!M462=0,"",PROGRAMA_DETALLE!M462)</f>
        <v/>
      </c>
      <c r="G662" s="95">
        <f>IF(PROGRAMA_DETALLE!P462="PAGADO",PROGRAMA_DETALLE!M462,0)</f>
        <v>0</v>
      </c>
      <c r="H662" s="95">
        <f>IF(OR(PROGRAMA_DETALLE!P462="PENDIENTE",PROGRAMA_DETALLE!P462="PARCIAL"),PROGRAMA_DETALLE!M462,0)</f>
        <v>0</v>
      </c>
      <c r="I662" s="94" t="str">
        <f>IF(PROGRAMA_DETALLE!P462="","",PROGRAMA_DETALLE!P462)</f>
        <v/>
      </c>
    </row>
    <row r="663" ht="15.75" customHeight="1">
      <c r="A663" s="87" t="s">
        <v>229</v>
      </c>
      <c r="B663" s="93" t="str">
        <f>IFERROR(VLOOKUP(PROGRAMA_DETALLE!A463,PROGRAMAS!$A$4:$B$103,2,FALSE()),"")</f>
        <v/>
      </c>
      <c r="C663" s="84" t="str">
        <f>IF(PROGRAMA_DETALLE!A463="","","Tejedora")</f>
        <v/>
      </c>
      <c r="D663" s="94" t="str">
        <f>IF(PROGRAMA_DETALLE!N463="","",PROGRAMA_DETALLE!N463)</f>
        <v/>
      </c>
      <c r="E663" s="84" t="str">
        <f>IF(PROGRAMA_DETALLE!A463="","","Tejido "&amp;PROGRAMA_DETALLE!A463&amp;" "&amp;PROGRAMA_DETALLE!B463)</f>
        <v/>
      </c>
      <c r="F663" s="95" t="str">
        <f>IF(PROGRAMA_DETALLE!M463=0,"",PROGRAMA_DETALLE!M463)</f>
        <v/>
      </c>
      <c r="G663" s="95">
        <f>IF(PROGRAMA_DETALLE!P463="PAGADO",PROGRAMA_DETALLE!M463,0)</f>
        <v>0</v>
      </c>
      <c r="H663" s="95">
        <f>IF(OR(PROGRAMA_DETALLE!P463="PENDIENTE",PROGRAMA_DETALLE!P463="PARCIAL"),PROGRAMA_DETALLE!M463,0)</f>
        <v>0</v>
      </c>
      <c r="I663" s="94" t="str">
        <f>IF(PROGRAMA_DETALLE!P463="","",PROGRAMA_DETALLE!P463)</f>
        <v/>
      </c>
    </row>
    <row r="664" ht="15.75" customHeight="1">
      <c r="A664" s="87" t="s">
        <v>229</v>
      </c>
      <c r="B664" s="93" t="str">
        <f>IFERROR(VLOOKUP(PROGRAMA_DETALLE!A464,PROGRAMAS!$A$4:$B$103,2,FALSE()),"")</f>
        <v/>
      </c>
      <c r="C664" s="84" t="str">
        <f>IF(PROGRAMA_DETALLE!A464="","","Tejedora")</f>
        <v/>
      </c>
      <c r="D664" s="94" t="str">
        <f>IF(PROGRAMA_DETALLE!N464="","",PROGRAMA_DETALLE!N464)</f>
        <v/>
      </c>
      <c r="E664" s="84" t="str">
        <f>IF(PROGRAMA_DETALLE!A464="","","Tejido "&amp;PROGRAMA_DETALLE!A464&amp;" "&amp;PROGRAMA_DETALLE!B464)</f>
        <v/>
      </c>
      <c r="F664" s="95" t="str">
        <f>IF(PROGRAMA_DETALLE!M464=0,"",PROGRAMA_DETALLE!M464)</f>
        <v/>
      </c>
      <c r="G664" s="95">
        <f>IF(PROGRAMA_DETALLE!P464="PAGADO",PROGRAMA_DETALLE!M464,0)</f>
        <v>0</v>
      </c>
      <c r="H664" s="95">
        <f>IF(OR(PROGRAMA_DETALLE!P464="PENDIENTE",PROGRAMA_DETALLE!P464="PARCIAL"),PROGRAMA_DETALLE!M464,0)</f>
        <v>0</v>
      </c>
      <c r="I664" s="94" t="str">
        <f>IF(PROGRAMA_DETALLE!P464="","",PROGRAMA_DETALLE!P464)</f>
        <v/>
      </c>
    </row>
    <row r="665" ht="15.75" customHeight="1">
      <c r="A665" s="87" t="s">
        <v>229</v>
      </c>
      <c r="B665" s="93" t="str">
        <f>IFERROR(VLOOKUP(PROGRAMA_DETALLE!A465,PROGRAMAS!$A$4:$B$103,2,FALSE()),"")</f>
        <v/>
      </c>
      <c r="C665" s="84" t="str">
        <f>IF(PROGRAMA_DETALLE!A465="","","Tejedora")</f>
        <v/>
      </c>
      <c r="D665" s="94" t="str">
        <f>IF(PROGRAMA_DETALLE!N465="","",PROGRAMA_DETALLE!N465)</f>
        <v/>
      </c>
      <c r="E665" s="84" t="str">
        <f>IF(PROGRAMA_DETALLE!A465="","","Tejido "&amp;PROGRAMA_DETALLE!A465&amp;" "&amp;PROGRAMA_DETALLE!B465)</f>
        <v/>
      </c>
      <c r="F665" s="95" t="str">
        <f>IF(PROGRAMA_DETALLE!M465=0,"",PROGRAMA_DETALLE!M465)</f>
        <v/>
      </c>
      <c r="G665" s="95">
        <f>IF(PROGRAMA_DETALLE!P465="PAGADO",PROGRAMA_DETALLE!M465,0)</f>
        <v>0</v>
      </c>
      <c r="H665" s="95">
        <f>IF(OR(PROGRAMA_DETALLE!P465="PENDIENTE",PROGRAMA_DETALLE!P465="PARCIAL"),PROGRAMA_DETALLE!M465,0)</f>
        <v>0</v>
      </c>
      <c r="I665" s="94" t="str">
        <f>IF(PROGRAMA_DETALLE!P465="","",PROGRAMA_DETALLE!P465)</f>
        <v/>
      </c>
    </row>
    <row r="666" ht="15.75" customHeight="1">
      <c r="A666" s="87" t="s">
        <v>229</v>
      </c>
      <c r="B666" s="93" t="str">
        <f>IFERROR(VLOOKUP(PROGRAMA_DETALLE!A466,PROGRAMAS!$A$4:$B$103,2,FALSE()),"")</f>
        <v/>
      </c>
      <c r="C666" s="84" t="str">
        <f>IF(PROGRAMA_DETALLE!A466="","","Tejedora")</f>
        <v/>
      </c>
      <c r="D666" s="94" t="str">
        <f>IF(PROGRAMA_DETALLE!N466="","",PROGRAMA_DETALLE!N466)</f>
        <v/>
      </c>
      <c r="E666" s="84" t="str">
        <f>IF(PROGRAMA_DETALLE!A466="","","Tejido "&amp;PROGRAMA_DETALLE!A466&amp;" "&amp;PROGRAMA_DETALLE!B466)</f>
        <v/>
      </c>
      <c r="F666" s="95" t="str">
        <f>IF(PROGRAMA_DETALLE!M466=0,"",PROGRAMA_DETALLE!M466)</f>
        <v/>
      </c>
      <c r="G666" s="95">
        <f>IF(PROGRAMA_DETALLE!P466="PAGADO",PROGRAMA_DETALLE!M466,0)</f>
        <v>0</v>
      </c>
      <c r="H666" s="95">
        <f>IF(OR(PROGRAMA_DETALLE!P466="PENDIENTE",PROGRAMA_DETALLE!P466="PARCIAL"),PROGRAMA_DETALLE!M466,0)</f>
        <v>0</v>
      </c>
      <c r="I666" s="94" t="str">
        <f>IF(PROGRAMA_DETALLE!P466="","",PROGRAMA_DETALLE!P466)</f>
        <v/>
      </c>
    </row>
    <row r="667" ht="15.75" customHeight="1">
      <c r="A667" s="87" t="s">
        <v>229</v>
      </c>
      <c r="B667" s="93" t="str">
        <f>IFERROR(VLOOKUP(PROGRAMA_DETALLE!A467,PROGRAMAS!$A$4:$B$103,2,FALSE()),"")</f>
        <v/>
      </c>
      <c r="C667" s="84" t="str">
        <f>IF(PROGRAMA_DETALLE!A467="","","Tejedora")</f>
        <v/>
      </c>
      <c r="D667" s="94" t="str">
        <f>IF(PROGRAMA_DETALLE!N467="","",PROGRAMA_DETALLE!N467)</f>
        <v/>
      </c>
      <c r="E667" s="84" t="str">
        <f>IF(PROGRAMA_DETALLE!A467="","","Tejido "&amp;PROGRAMA_DETALLE!A467&amp;" "&amp;PROGRAMA_DETALLE!B467)</f>
        <v/>
      </c>
      <c r="F667" s="95" t="str">
        <f>IF(PROGRAMA_DETALLE!M467=0,"",PROGRAMA_DETALLE!M467)</f>
        <v/>
      </c>
      <c r="G667" s="95">
        <f>IF(PROGRAMA_DETALLE!P467="PAGADO",PROGRAMA_DETALLE!M467,0)</f>
        <v>0</v>
      </c>
      <c r="H667" s="95">
        <f>IF(OR(PROGRAMA_DETALLE!P467="PENDIENTE",PROGRAMA_DETALLE!P467="PARCIAL"),PROGRAMA_DETALLE!M467,0)</f>
        <v>0</v>
      </c>
      <c r="I667" s="94" t="str">
        <f>IF(PROGRAMA_DETALLE!P467="","",PROGRAMA_DETALLE!P467)</f>
        <v/>
      </c>
    </row>
    <row r="668" ht="15.75" customHeight="1">
      <c r="A668" s="87" t="s">
        <v>229</v>
      </c>
      <c r="B668" s="93" t="str">
        <f>IFERROR(VLOOKUP(PROGRAMA_DETALLE!A468,PROGRAMAS!$A$4:$B$103,2,FALSE()),"")</f>
        <v/>
      </c>
      <c r="C668" s="84" t="str">
        <f>IF(PROGRAMA_DETALLE!A468="","","Tejedora")</f>
        <v/>
      </c>
      <c r="D668" s="94" t="str">
        <f>IF(PROGRAMA_DETALLE!N468="","",PROGRAMA_DETALLE!N468)</f>
        <v/>
      </c>
      <c r="E668" s="84" t="str">
        <f>IF(PROGRAMA_DETALLE!A468="","","Tejido "&amp;PROGRAMA_DETALLE!A468&amp;" "&amp;PROGRAMA_DETALLE!B468)</f>
        <v/>
      </c>
      <c r="F668" s="95" t="str">
        <f>IF(PROGRAMA_DETALLE!M468=0,"",PROGRAMA_DETALLE!M468)</f>
        <v/>
      </c>
      <c r="G668" s="95">
        <f>IF(PROGRAMA_DETALLE!P468="PAGADO",PROGRAMA_DETALLE!M468,0)</f>
        <v>0</v>
      </c>
      <c r="H668" s="95">
        <f>IF(OR(PROGRAMA_DETALLE!P468="PENDIENTE",PROGRAMA_DETALLE!P468="PARCIAL"),PROGRAMA_DETALLE!M468,0)</f>
        <v>0</v>
      </c>
      <c r="I668" s="94" t="str">
        <f>IF(PROGRAMA_DETALLE!P468="","",PROGRAMA_DETALLE!P468)</f>
        <v/>
      </c>
    </row>
    <row r="669" ht="15.75" customHeight="1">
      <c r="A669" s="87" t="s">
        <v>229</v>
      </c>
      <c r="B669" s="93" t="str">
        <f>IFERROR(VLOOKUP(PROGRAMA_DETALLE!A469,PROGRAMAS!$A$4:$B$103,2,FALSE()),"")</f>
        <v/>
      </c>
      <c r="C669" s="84" t="str">
        <f>IF(PROGRAMA_DETALLE!A469="","","Tejedora")</f>
        <v/>
      </c>
      <c r="D669" s="94" t="str">
        <f>IF(PROGRAMA_DETALLE!N469="","",PROGRAMA_DETALLE!N469)</f>
        <v/>
      </c>
      <c r="E669" s="84" t="str">
        <f>IF(PROGRAMA_DETALLE!A469="","","Tejido "&amp;PROGRAMA_DETALLE!A469&amp;" "&amp;PROGRAMA_DETALLE!B469)</f>
        <v/>
      </c>
      <c r="F669" s="95" t="str">
        <f>IF(PROGRAMA_DETALLE!M469=0,"",PROGRAMA_DETALLE!M469)</f>
        <v/>
      </c>
      <c r="G669" s="95">
        <f>IF(PROGRAMA_DETALLE!P469="PAGADO",PROGRAMA_DETALLE!M469,0)</f>
        <v>0</v>
      </c>
      <c r="H669" s="95">
        <f>IF(OR(PROGRAMA_DETALLE!P469="PENDIENTE",PROGRAMA_DETALLE!P469="PARCIAL"),PROGRAMA_DETALLE!M469,0)</f>
        <v>0</v>
      </c>
      <c r="I669" s="94" t="str">
        <f>IF(PROGRAMA_DETALLE!P469="","",PROGRAMA_DETALLE!P469)</f>
        <v/>
      </c>
    </row>
    <row r="670" ht="15.75" customHeight="1">
      <c r="A670" s="87" t="s">
        <v>229</v>
      </c>
      <c r="B670" s="93" t="str">
        <f>IFERROR(VLOOKUP(PROGRAMA_DETALLE!A470,PROGRAMAS!$A$4:$B$103,2,FALSE()),"")</f>
        <v/>
      </c>
      <c r="C670" s="84" t="str">
        <f>IF(PROGRAMA_DETALLE!A470="","","Tejedora")</f>
        <v/>
      </c>
      <c r="D670" s="94" t="str">
        <f>IF(PROGRAMA_DETALLE!N470="","",PROGRAMA_DETALLE!N470)</f>
        <v/>
      </c>
      <c r="E670" s="84" t="str">
        <f>IF(PROGRAMA_DETALLE!A470="","","Tejido "&amp;PROGRAMA_DETALLE!A470&amp;" "&amp;PROGRAMA_DETALLE!B470)</f>
        <v/>
      </c>
      <c r="F670" s="95" t="str">
        <f>IF(PROGRAMA_DETALLE!M470=0,"",PROGRAMA_DETALLE!M470)</f>
        <v/>
      </c>
      <c r="G670" s="95">
        <f>IF(PROGRAMA_DETALLE!P470="PAGADO",PROGRAMA_DETALLE!M470,0)</f>
        <v>0</v>
      </c>
      <c r="H670" s="95">
        <f>IF(OR(PROGRAMA_DETALLE!P470="PENDIENTE",PROGRAMA_DETALLE!P470="PARCIAL"),PROGRAMA_DETALLE!M470,0)</f>
        <v>0</v>
      </c>
      <c r="I670" s="94" t="str">
        <f>IF(PROGRAMA_DETALLE!P470="","",PROGRAMA_DETALLE!P470)</f>
        <v/>
      </c>
    </row>
    <row r="671" ht="15.75" customHeight="1">
      <c r="A671" s="87" t="s">
        <v>229</v>
      </c>
      <c r="B671" s="93" t="str">
        <f>IFERROR(VLOOKUP(PROGRAMA_DETALLE!A471,PROGRAMAS!$A$4:$B$103,2,FALSE()),"")</f>
        <v/>
      </c>
      <c r="C671" s="84" t="str">
        <f>IF(PROGRAMA_DETALLE!A471="","","Tejedora")</f>
        <v/>
      </c>
      <c r="D671" s="94" t="str">
        <f>IF(PROGRAMA_DETALLE!N471="","",PROGRAMA_DETALLE!N471)</f>
        <v/>
      </c>
      <c r="E671" s="84" t="str">
        <f>IF(PROGRAMA_DETALLE!A471="","","Tejido "&amp;PROGRAMA_DETALLE!A471&amp;" "&amp;PROGRAMA_DETALLE!B471)</f>
        <v/>
      </c>
      <c r="F671" s="95" t="str">
        <f>IF(PROGRAMA_DETALLE!M471=0,"",PROGRAMA_DETALLE!M471)</f>
        <v/>
      </c>
      <c r="G671" s="95">
        <f>IF(PROGRAMA_DETALLE!P471="PAGADO",PROGRAMA_DETALLE!M471,0)</f>
        <v>0</v>
      </c>
      <c r="H671" s="95">
        <f>IF(OR(PROGRAMA_DETALLE!P471="PENDIENTE",PROGRAMA_DETALLE!P471="PARCIAL"),PROGRAMA_DETALLE!M471,0)</f>
        <v>0</v>
      </c>
      <c r="I671" s="94" t="str">
        <f>IF(PROGRAMA_DETALLE!P471="","",PROGRAMA_DETALLE!P471)</f>
        <v/>
      </c>
    </row>
    <row r="672" ht="15.75" customHeight="1">
      <c r="A672" s="87" t="s">
        <v>229</v>
      </c>
      <c r="B672" s="93" t="str">
        <f>IFERROR(VLOOKUP(PROGRAMA_DETALLE!A472,PROGRAMAS!$A$4:$B$103,2,FALSE()),"")</f>
        <v/>
      </c>
      <c r="C672" s="84" t="str">
        <f>IF(PROGRAMA_DETALLE!A472="","","Tejedora")</f>
        <v/>
      </c>
      <c r="D672" s="94" t="str">
        <f>IF(PROGRAMA_DETALLE!N472="","",PROGRAMA_DETALLE!N472)</f>
        <v/>
      </c>
      <c r="E672" s="84" t="str">
        <f>IF(PROGRAMA_DETALLE!A472="","","Tejido "&amp;PROGRAMA_DETALLE!A472&amp;" "&amp;PROGRAMA_DETALLE!B472)</f>
        <v/>
      </c>
      <c r="F672" s="95" t="str">
        <f>IF(PROGRAMA_DETALLE!M472=0,"",PROGRAMA_DETALLE!M472)</f>
        <v/>
      </c>
      <c r="G672" s="95">
        <f>IF(PROGRAMA_DETALLE!P472="PAGADO",PROGRAMA_DETALLE!M472,0)</f>
        <v>0</v>
      </c>
      <c r="H672" s="95">
        <f>IF(OR(PROGRAMA_DETALLE!P472="PENDIENTE",PROGRAMA_DETALLE!P472="PARCIAL"),PROGRAMA_DETALLE!M472,0)</f>
        <v>0</v>
      </c>
      <c r="I672" s="94" t="str">
        <f>IF(PROGRAMA_DETALLE!P472="","",PROGRAMA_DETALLE!P472)</f>
        <v/>
      </c>
    </row>
    <row r="673" ht="15.75" customHeight="1">
      <c r="A673" s="87" t="s">
        <v>229</v>
      </c>
      <c r="B673" s="93" t="str">
        <f>IFERROR(VLOOKUP(PROGRAMA_DETALLE!A473,PROGRAMAS!$A$4:$B$103,2,FALSE()),"")</f>
        <v/>
      </c>
      <c r="C673" s="84" t="str">
        <f>IF(PROGRAMA_DETALLE!A473="","","Tejedora")</f>
        <v/>
      </c>
      <c r="D673" s="94" t="str">
        <f>IF(PROGRAMA_DETALLE!N473="","",PROGRAMA_DETALLE!N473)</f>
        <v/>
      </c>
      <c r="E673" s="84" t="str">
        <f>IF(PROGRAMA_DETALLE!A473="","","Tejido "&amp;PROGRAMA_DETALLE!A473&amp;" "&amp;PROGRAMA_DETALLE!B473)</f>
        <v/>
      </c>
      <c r="F673" s="95" t="str">
        <f>IF(PROGRAMA_DETALLE!M473=0,"",PROGRAMA_DETALLE!M473)</f>
        <v/>
      </c>
      <c r="G673" s="95">
        <f>IF(PROGRAMA_DETALLE!P473="PAGADO",PROGRAMA_DETALLE!M473,0)</f>
        <v>0</v>
      </c>
      <c r="H673" s="95">
        <f>IF(OR(PROGRAMA_DETALLE!P473="PENDIENTE",PROGRAMA_DETALLE!P473="PARCIAL"),PROGRAMA_DETALLE!M473,0)</f>
        <v>0</v>
      </c>
      <c r="I673" s="94" t="str">
        <f>IF(PROGRAMA_DETALLE!P473="","",PROGRAMA_DETALLE!P473)</f>
        <v/>
      </c>
    </row>
    <row r="674" ht="15.75" customHeight="1">
      <c r="A674" s="87" t="s">
        <v>229</v>
      </c>
      <c r="B674" s="93" t="str">
        <f>IFERROR(VLOOKUP(PROGRAMA_DETALLE!A474,PROGRAMAS!$A$4:$B$103,2,FALSE()),"")</f>
        <v/>
      </c>
      <c r="C674" s="84" t="str">
        <f>IF(PROGRAMA_DETALLE!A474="","","Tejedora")</f>
        <v/>
      </c>
      <c r="D674" s="94" t="str">
        <f>IF(PROGRAMA_DETALLE!N474="","",PROGRAMA_DETALLE!N474)</f>
        <v/>
      </c>
      <c r="E674" s="84" t="str">
        <f>IF(PROGRAMA_DETALLE!A474="","","Tejido "&amp;PROGRAMA_DETALLE!A474&amp;" "&amp;PROGRAMA_DETALLE!B474)</f>
        <v/>
      </c>
      <c r="F674" s="95" t="str">
        <f>IF(PROGRAMA_DETALLE!M474=0,"",PROGRAMA_DETALLE!M474)</f>
        <v/>
      </c>
      <c r="G674" s="95">
        <f>IF(PROGRAMA_DETALLE!P474="PAGADO",PROGRAMA_DETALLE!M474,0)</f>
        <v>0</v>
      </c>
      <c r="H674" s="95">
        <f>IF(OR(PROGRAMA_DETALLE!P474="PENDIENTE",PROGRAMA_DETALLE!P474="PARCIAL"),PROGRAMA_DETALLE!M474,0)</f>
        <v>0</v>
      </c>
      <c r="I674" s="94" t="str">
        <f>IF(PROGRAMA_DETALLE!P474="","",PROGRAMA_DETALLE!P474)</f>
        <v/>
      </c>
    </row>
    <row r="675" ht="15.75" customHeight="1">
      <c r="A675" s="87" t="s">
        <v>229</v>
      </c>
      <c r="B675" s="93" t="str">
        <f>IFERROR(VLOOKUP(PROGRAMA_DETALLE!A475,PROGRAMAS!$A$4:$B$103,2,FALSE()),"")</f>
        <v/>
      </c>
      <c r="C675" s="84" t="str">
        <f>IF(PROGRAMA_DETALLE!A475="","","Tejedora")</f>
        <v/>
      </c>
      <c r="D675" s="94" t="str">
        <f>IF(PROGRAMA_DETALLE!N475="","",PROGRAMA_DETALLE!N475)</f>
        <v/>
      </c>
      <c r="E675" s="84" t="str">
        <f>IF(PROGRAMA_DETALLE!A475="","","Tejido "&amp;PROGRAMA_DETALLE!A475&amp;" "&amp;PROGRAMA_DETALLE!B475)</f>
        <v/>
      </c>
      <c r="F675" s="95" t="str">
        <f>IF(PROGRAMA_DETALLE!M475=0,"",PROGRAMA_DETALLE!M475)</f>
        <v/>
      </c>
      <c r="G675" s="95">
        <f>IF(PROGRAMA_DETALLE!P475="PAGADO",PROGRAMA_DETALLE!M475,0)</f>
        <v>0</v>
      </c>
      <c r="H675" s="95">
        <f>IF(OR(PROGRAMA_DETALLE!P475="PENDIENTE",PROGRAMA_DETALLE!P475="PARCIAL"),PROGRAMA_DETALLE!M475,0)</f>
        <v>0</v>
      </c>
      <c r="I675" s="94" t="str">
        <f>IF(PROGRAMA_DETALLE!P475="","",PROGRAMA_DETALLE!P475)</f>
        <v/>
      </c>
    </row>
    <row r="676" ht="15.75" customHeight="1">
      <c r="A676" s="87" t="s">
        <v>229</v>
      </c>
      <c r="B676" s="93" t="str">
        <f>IFERROR(VLOOKUP(PROGRAMA_DETALLE!A476,PROGRAMAS!$A$4:$B$103,2,FALSE()),"")</f>
        <v/>
      </c>
      <c r="C676" s="84" t="str">
        <f>IF(PROGRAMA_DETALLE!A476="","","Tejedora")</f>
        <v/>
      </c>
      <c r="D676" s="94" t="str">
        <f>IF(PROGRAMA_DETALLE!N476="","",PROGRAMA_DETALLE!N476)</f>
        <v/>
      </c>
      <c r="E676" s="84" t="str">
        <f>IF(PROGRAMA_DETALLE!A476="","","Tejido "&amp;PROGRAMA_DETALLE!A476&amp;" "&amp;PROGRAMA_DETALLE!B476)</f>
        <v/>
      </c>
      <c r="F676" s="95" t="str">
        <f>IF(PROGRAMA_DETALLE!M476=0,"",PROGRAMA_DETALLE!M476)</f>
        <v/>
      </c>
      <c r="G676" s="95">
        <f>IF(PROGRAMA_DETALLE!P476="PAGADO",PROGRAMA_DETALLE!M476,0)</f>
        <v>0</v>
      </c>
      <c r="H676" s="95">
        <f>IF(OR(PROGRAMA_DETALLE!P476="PENDIENTE",PROGRAMA_DETALLE!P476="PARCIAL"),PROGRAMA_DETALLE!M476,0)</f>
        <v>0</v>
      </c>
      <c r="I676" s="94" t="str">
        <f>IF(PROGRAMA_DETALLE!P476="","",PROGRAMA_DETALLE!P476)</f>
        <v/>
      </c>
    </row>
    <row r="677" ht="15.75" customHeight="1">
      <c r="A677" s="87" t="s">
        <v>229</v>
      </c>
      <c r="B677" s="93" t="str">
        <f>IFERROR(VLOOKUP(PROGRAMA_DETALLE!A477,PROGRAMAS!$A$4:$B$103,2,FALSE()),"")</f>
        <v/>
      </c>
      <c r="C677" s="84" t="str">
        <f>IF(PROGRAMA_DETALLE!A477="","","Tejedora")</f>
        <v/>
      </c>
      <c r="D677" s="94" t="str">
        <f>IF(PROGRAMA_DETALLE!N477="","",PROGRAMA_DETALLE!N477)</f>
        <v/>
      </c>
      <c r="E677" s="84" t="str">
        <f>IF(PROGRAMA_DETALLE!A477="","","Tejido "&amp;PROGRAMA_DETALLE!A477&amp;" "&amp;PROGRAMA_DETALLE!B477)</f>
        <v/>
      </c>
      <c r="F677" s="95" t="str">
        <f>IF(PROGRAMA_DETALLE!M477=0,"",PROGRAMA_DETALLE!M477)</f>
        <v/>
      </c>
      <c r="G677" s="95">
        <f>IF(PROGRAMA_DETALLE!P477="PAGADO",PROGRAMA_DETALLE!M477,0)</f>
        <v>0</v>
      </c>
      <c r="H677" s="95">
        <f>IF(OR(PROGRAMA_DETALLE!P477="PENDIENTE",PROGRAMA_DETALLE!P477="PARCIAL"),PROGRAMA_DETALLE!M477,0)</f>
        <v>0</v>
      </c>
      <c r="I677" s="94" t="str">
        <f>IF(PROGRAMA_DETALLE!P477="","",PROGRAMA_DETALLE!P477)</f>
        <v/>
      </c>
    </row>
    <row r="678" ht="15.75" customHeight="1">
      <c r="A678" s="87" t="s">
        <v>229</v>
      </c>
      <c r="B678" s="93" t="str">
        <f>IFERROR(VLOOKUP(PROGRAMA_DETALLE!A478,PROGRAMAS!$A$4:$B$103,2,FALSE()),"")</f>
        <v/>
      </c>
      <c r="C678" s="84" t="str">
        <f>IF(PROGRAMA_DETALLE!A478="","","Tejedora")</f>
        <v/>
      </c>
      <c r="D678" s="94" t="str">
        <f>IF(PROGRAMA_DETALLE!N478="","",PROGRAMA_DETALLE!N478)</f>
        <v/>
      </c>
      <c r="E678" s="84" t="str">
        <f>IF(PROGRAMA_DETALLE!A478="","","Tejido "&amp;PROGRAMA_DETALLE!A478&amp;" "&amp;PROGRAMA_DETALLE!B478)</f>
        <v/>
      </c>
      <c r="F678" s="95" t="str">
        <f>IF(PROGRAMA_DETALLE!M478=0,"",PROGRAMA_DETALLE!M478)</f>
        <v/>
      </c>
      <c r="G678" s="95">
        <f>IF(PROGRAMA_DETALLE!P478="PAGADO",PROGRAMA_DETALLE!M478,0)</f>
        <v>0</v>
      </c>
      <c r="H678" s="95">
        <f>IF(OR(PROGRAMA_DETALLE!P478="PENDIENTE",PROGRAMA_DETALLE!P478="PARCIAL"),PROGRAMA_DETALLE!M478,0)</f>
        <v>0</v>
      </c>
      <c r="I678" s="94" t="str">
        <f>IF(PROGRAMA_DETALLE!P478="","",PROGRAMA_DETALLE!P478)</f>
        <v/>
      </c>
    </row>
    <row r="679" ht="15.75" customHeight="1">
      <c r="A679" s="87" t="s">
        <v>229</v>
      </c>
      <c r="B679" s="93" t="str">
        <f>IFERROR(VLOOKUP(PROGRAMA_DETALLE!A479,PROGRAMAS!$A$4:$B$103,2,FALSE()),"")</f>
        <v/>
      </c>
      <c r="C679" s="84" t="str">
        <f>IF(PROGRAMA_DETALLE!A479="","","Tejedora")</f>
        <v/>
      </c>
      <c r="D679" s="94" t="str">
        <f>IF(PROGRAMA_DETALLE!N479="","",PROGRAMA_DETALLE!N479)</f>
        <v/>
      </c>
      <c r="E679" s="84" t="str">
        <f>IF(PROGRAMA_DETALLE!A479="","","Tejido "&amp;PROGRAMA_DETALLE!A479&amp;" "&amp;PROGRAMA_DETALLE!B479)</f>
        <v/>
      </c>
      <c r="F679" s="95" t="str">
        <f>IF(PROGRAMA_DETALLE!M479=0,"",PROGRAMA_DETALLE!M479)</f>
        <v/>
      </c>
      <c r="G679" s="95">
        <f>IF(PROGRAMA_DETALLE!P479="PAGADO",PROGRAMA_DETALLE!M479,0)</f>
        <v>0</v>
      </c>
      <c r="H679" s="95">
        <f>IF(OR(PROGRAMA_DETALLE!P479="PENDIENTE",PROGRAMA_DETALLE!P479="PARCIAL"),PROGRAMA_DETALLE!M479,0)</f>
        <v>0</v>
      </c>
      <c r="I679" s="94" t="str">
        <f>IF(PROGRAMA_DETALLE!P479="","",PROGRAMA_DETALLE!P479)</f>
        <v/>
      </c>
    </row>
    <row r="680" ht="15.75" customHeight="1">
      <c r="A680" s="87" t="s">
        <v>229</v>
      </c>
      <c r="B680" s="93" t="str">
        <f>IFERROR(VLOOKUP(PROGRAMA_DETALLE!A480,PROGRAMAS!$A$4:$B$103,2,FALSE()),"")</f>
        <v/>
      </c>
      <c r="C680" s="84" t="str">
        <f>IF(PROGRAMA_DETALLE!A480="","","Tejedora")</f>
        <v/>
      </c>
      <c r="D680" s="94" t="str">
        <f>IF(PROGRAMA_DETALLE!N480="","",PROGRAMA_DETALLE!N480)</f>
        <v/>
      </c>
      <c r="E680" s="84" t="str">
        <f>IF(PROGRAMA_DETALLE!A480="","","Tejido "&amp;PROGRAMA_DETALLE!A480&amp;" "&amp;PROGRAMA_DETALLE!B480)</f>
        <v/>
      </c>
      <c r="F680" s="95" t="str">
        <f>IF(PROGRAMA_DETALLE!M480=0,"",PROGRAMA_DETALLE!M480)</f>
        <v/>
      </c>
      <c r="G680" s="95">
        <f>IF(PROGRAMA_DETALLE!P480="PAGADO",PROGRAMA_DETALLE!M480,0)</f>
        <v>0</v>
      </c>
      <c r="H680" s="95">
        <f>IF(OR(PROGRAMA_DETALLE!P480="PENDIENTE",PROGRAMA_DETALLE!P480="PARCIAL"),PROGRAMA_DETALLE!M480,0)</f>
        <v>0</v>
      </c>
      <c r="I680" s="94" t="str">
        <f>IF(PROGRAMA_DETALLE!P480="","",PROGRAMA_DETALLE!P480)</f>
        <v/>
      </c>
    </row>
    <row r="681" ht="15.75" customHeight="1">
      <c r="A681" s="87" t="s">
        <v>229</v>
      </c>
      <c r="B681" s="93" t="str">
        <f>IFERROR(VLOOKUP(PROGRAMA_DETALLE!A481,PROGRAMAS!$A$4:$B$103,2,FALSE()),"")</f>
        <v/>
      </c>
      <c r="C681" s="84" t="str">
        <f>IF(PROGRAMA_DETALLE!A481="","","Tejedora")</f>
        <v/>
      </c>
      <c r="D681" s="94" t="str">
        <f>IF(PROGRAMA_DETALLE!N481="","",PROGRAMA_DETALLE!N481)</f>
        <v/>
      </c>
      <c r="E681" s="84" t="str">
        <f>IF(PROGRAMA_DETALLE!A481="","","Tejido "&amp;PROGRAMA_DETALLE!A481&amp;" "&amp;PROGRAMA_DETALLE!B481)</f>
        <v/>
      </c>
      <c r="F681" s="95" t="str">
        <f>IF(PROGRAMA_DETALLE!M481=0,"",PROGRAMA_DETALLE!M481)</f>
        <v/>
      </c>
      <c r="G681" s="95">
        <f>IF(PROGRAMA_DETALLE!P481="PAGADO",PROGRAMA_DETALLE!M481,0)</f>
        <v>0</v>
      </c>
      <c r="H681" s="95">
        <f>IF(OR(PROGRAMA_DETALLE!P481="PENDIENTE",PROGRAMA_DETALLE!P481="PARCIAL"),PROGRAMA_DETALLE!M481,0)</f>
        <v>0</v>
      </c>
      <c r="I681" s="94" t="str">
        <f>IF(PROGRAMA_DETALLE!P481="","",PROGRAMA_DETALLE!P481)</f>
        <v/>
      </c>
    </row>
    <row r="682" ht="15.75" customHeight="1">
      <c r="A682" s="87" t="s">
        <v>229</v>
      </c>
      <c r="B682" s="93" t="str">
        <f>IFERROR(VLOOKUP(PROGRAMA_DETALLE!A482,PROGRAMAS!$A$4:$B$103,2,FALSE()),"")</f>
        <v/>
      </c>
      <c r="C682" s="84" t="str">
        <f>IF(PROGRAMA_DETALLE!A482="","","Tejedora")</f>
        <v/>
      </c>
      <c r="D682" s="94" t="str">
        <f>IF(PROGRAMA_DETALLE!N482="","",PROGRAMA_DETALLE!N482)</f>
        <v/>
      </c>
      <c r="E682" s="84" t="str">
        <f>IF(PROGRAMA_DETALLE!A482="","","Tejido "&amp;PROGRAMA_DETALLE!A482&amp;" "&amp;PROGRAMA_DETALLE!B482)</f>
        <v/>
      </c>
      <c r="F682" s="95" t="str">
        <f>IF(PROGRAMA_DETALLE!M482=0,"",PROGRAMA_DETALLE!M482)</f>
        <v/>
      </c>
      <c r="G682" s="95">
        <f>IF(PROGRAMA_DETALLE!P482="PAGADO",PROGRAMA_DETALLE!M482,0)</f>
        <v>0</v>
      </c>
      <c r="H682" s="95">
        <f>IF(OR(PROGRAMA_DETALLE!P482="PENDIENTE",PROGRAMA_DETALLE!P482="PARCIAL"),PROGRAMA_DETALLE!M482,0)</f>
        <v>0</v>
      </c>
      <c r="I682" s="94" t="str">
        <f>IF(PROGRAMA_DETALLE!P482="","",PROGRAMA_DETALLE!P482)</f>
        <v/>
      </c>
    </row>
    <row r="683" ht="15.75" customHeight="1">
      <c r="A683" s="87" t="s">
        <v>229</v>
      </c>
      <c r="B683" s="93" t="str">
        <f>IFERROR(VLOOKUP(PROGRAMA_DETALLE!A483,PROGRAMAS!$A$4:$B$103,2,FALSE()),"")</f>
        <v/>
      </c>
      <c r="C683" s="84" t="str">
        <f>IF(PROGRAMA_DETALLE!A483="","","Tejedora")</f>
        <v/>
      </c>
      <c r="D683" s="94" t="str">
        <f>IF(PROGRAMA_DETALLE!N483="","",PROGRAMA_DETALLE!N483)</f>
        <v/>
      </c>
      <c r="E683" s="84" t="str">
        <f>IF(PROGRAMA_DETALLE!A483="","","Tejido "&amp;PROGRAMA_DETALLE!A483&amp;" "&amp;PROGRAMA_DETALLE!B483)</f>
        <v/>
      </c>
      <c r="F683" s="95" t="str">
        <f>IF(PROGRAMA_DETALLE!M483=0,"",PROGRAMA_DETALLE!M483)</f>
        <v/>
      </c>
      <c r="G683" s="95">
        <f>IF(PROGRAMA_DETALLE!P483="PAGADO",PROGRAMA_DETALLE!M483,0)</f>
        <v>0</v>
      </c>
      <c r="H683" s="95">
        <f>IF(OR(PROGRAMA_DETALLE!P483="PENDIENTE",PROGRAMA_DETALLE!P483="PARCIAL"),PROGRAMA_DETALLE!M483,0)</f>
        <v>0</v>
      </c>
      <c r="I683" s="94" t="str">
        <f>IF(PROGRAMA_DETALLE!P483="","",PROGRAMA_DETALLE!P483)</f>
        <v/>
      </c>
    </row>
    <row r="684" ht="15.75" customHeight="1">
      <c r="A684" s="87" t="s">
        <v>229</v>
      </c>
      <c r="B684" s="93" t="str">
        <f>IFERROR(VLOOKUP(PROGRAMA_DETALLE!A484,PROGRAMAS!$A$4:$B$103,2,FALSE()),"")</f>
        <v/>
      </c>
      <c r="C684" s="84" t="str">
        <f>IF(PROGRAMA_DETALLE!A484="","","Tejedora")</f>
        <v/>
      </c>
      <c r="D684" s="94" t="str">
        <f>IF(PROGRAMA_DETALLE!N484="","",PROGRAMA_DETALLE!N484)</f>
        <v/>
      </c>
      <c r="E684" s="84" t="str">
        <f>IF(PROGRAMA_DETALLE!A484="","","Tejido "&amp;PROGRAMA_DETALLE!A484&amp;" "&amp;PROGRAMA_DETALLE!B484)</f>
        <v/>
      </c>
      <c r="F684" s="95" t="str">
        <f>IF(PROGRAMA_DETALLE!M484=0,"",PROGRAMA_DETALLE!M484)</f>
        <v/>
      </c>
      <c r="G684" s="95">
        <f>IF(PROGRAMA_DETALLE!P484="PAGADO",PROGRAMA_DETALLE!M484,0)</f>
        <v>0</v>
      </c>
      <c r="H684" s="95">
        <f>IF(OR(PROGRAMA_DETALLE!P484="PENDIENTE",PROGRAMA_DETALLE!P484="PARCIAL"),PROGRAMA_DETALLE!M484,0)</f>
        <v>0</v>
      </c>
      <c r="I684" s="94" t="str">
        <f>IF(PROGRAMA_DETALLE!P484="","",PROGRAMA_DETALLE!P484)</f>
        <v/>
      </c>
    </row>
    <row r="685" ht="15.75" customHeight="1">
      <c r="A685" s="87" t="s">
        <v>229</v>
      </c>
      <c r="B685" s="93" t="str">
        <f>IFERROR(VLOOKUP(PROGRAMA_DETALLE!A485,PROGRAMAS!$A$4:$B$103,2,FALSE()),"")</f>
        <v/>
      </c>
      <c r="C685" s="84" t="str">
        <f>IF(PROGRAMA_DETALLE!A485="","","Tejedora")</f>
        <v/>
      </c>
      <c r="D685" s="94" t="str">
        <f>IF(PROGRAMA_DETALLE!N485="","",PROGRAMA_DETALLE!N485)</f>
        <v/>
      </c>
      <c r="E685" s="84" t="str">
        <f>IF(PROGRAMA_DETALLE!A485="","","Tejido "&amp;PROGRAMA_DETALLE!A485&amp;" "&amp;PROGRAMA_DETALLE!B485)</f>
        <v/>
      </c>
      <c r="F685" s="95" t="str">
        <f>IF(PROGRAMA_DETALLE!M485=0,"",PROGRAMA_DETALLE!M485)</f>
        <v/>
      </c>
      <c r="G685" s="95">
        <f>IF(PROGRAMA_DETALLE!P485="PAGADO",PROGRAMA_DETALLE!M485,0)</f>
        <v>0</v>
      </c>
      <c r="H685" s="95">
        <f>IF(OR(PROGRAMA_DETALLE!P485="PENDIENTE",PROGRAMA_DETALLE!P485="PARCIAL"),PROGRAMA_DETALLE!M485,0)</f>
        <v>0</v>
      </c>
      <c r="I685" s="94" t="str">
        <f>IF(PROGRAMA_DETALLE!P485="","",PROGRAMA_DETALLE!P485)</f>
        <v/>
      </c>
    </row>
    <row r="686" ht="15.75" customHeight="1">
      <c r="A686" s="87" t="s">
        <v>229</v>
      </c>
      <c r="B686" s="93" t="str">
        <f>IFERROR(VLOOKUP(PROGRAMA_DETALLE!A486,PROGRAMAS!$A$4:$B$103,2,FALSE()),"")</f>
        <v/>
      </c>
      <c r="C686" s="84" t="str">
        <f>IF(PROGRAMA_DETALLE!A486="","","Tejedora")</f>
        <v/>
      </c>
      <c r="D686" s="94" t="str">
        <f>IF(PROGRAMA_DETALLE!N486="","",PROGRAMA_DETALLE!N486)</f>
        <v/>
      </c>
      <c r="E686" s="84" t="str">
        <f>IF(PROGRAMA_DETALLE!A486="","","Tejido "&amp;PROGRAMA_DETALLE!A486&amp;" "&amp;PROGRAMA_DETALLE!B486)</f>
        <v/>
      </c>
      <c r="F686" s="95" t="str">
        <f>IF(PROGRAMA_DETALLE!M486=0,"",PROGRAMA_DETALLE!M486)</f>
        <v/>
      </c>
      <c r="G686" s="95">
        <f>IF(PROGRAMA_DETALLE!P486="PAGADO",PROGRAMA_DETALLE!M486,0)</f>
        <v>0</v>
      </c>
      <c r="H686" s="95">
        <f>IF(OR(PROGRAMA_DETALLE!P486="PENDIENTE",PROGRAMA_DETALLE!P486="PARCIAL"),PROGRAMA_DETALLE!M486,0)</f>
        <v>0</v>
      </c>
      <c r="I686" s="94" t="str">
        <f>IF(PROGRAMA_DETALLE!P486="","",PROGRAMA_DETALLE!P486)</f>
        <v/>
      </c>
    </row>
    <row r="687" ht="15.75" customHeight="1">
      <c r="A687" s="87" t="s">
        <v>229</v>
      </c>
      <c r="B687" s="93" t="str">
        <f>IFERROR(VLOOKUP(PROGRAMA_DETALLE!A487,PROGRAMAS!$A$4:$B$103,2,FALSE()),"")</f>
        <v/>
      </c>
      <c r="C687" s="84" t="str">
        <f>IF(PROGRAMA_DETALLE!A487="","","Tejedora")</f>
        <v/>
      </c>
      <c r="D687" s="94" t="str">
        <f>IF(PROGRAMA_DETALLE!N487="","",PROGRAMA_DETALLE!N487)</f>
        <v/>
      </c>
      <c r="E687" s="84" t="str">
        <f>IF(PROGRAMA_DETALLE!A487="","","Tejido "&amp;PROGRAMA_DETALLE!A487&amp;" "&amp;PROGRAMA_DETALLE!B487)</f>
        <v/>
      </c>
      <c r="F687" s="95" t="str">
        <f>IF(PROGRAMA_DETALLE!M487=0,"",PROGRAMA_DETALLE!M487)</f>
        <v/>
      </c>
      <c r="G687" s="95">
        <f>IF(PROGRAMA_DETALLE!P487="PAGADO",PROGRAMA_DETALLE!M487,0)</f>
        <v>0</v>
      </c>
      <c r="H687" s="95">
        <f>IF(OR(PROGRAMA_DETALLE!P487="PENDIENTE",PROGRAMA_DETALLE!P487="PARCIAL"),PROGRAMA_DETALLE!M487,0)</f>
        <v>0</v>
      </c>
      <c r="I687" s="94" t="str">
        <f>IF(PROGRAMA_DETALLE!P487="","",PROGRAMA_DETALLE!P487)</f>
        <v/>
      </c>
    </row>
    <row r="688" ht="15.75" customHeight="1">
      <c r="A688" s="87" t="s">
        <v>229</v>
      </c>
      <c r="B688" s="93" t="str">
        <f>IFERROR(VLOOKUP(PROGRAMA_DETALLE!A488,PROGRAMAS!$A$4:$B$103,2,FALSE()),"")</f>
        <v/>
      </c>
      <c r="C688" s="84" t="str">
        <f>IF(PROGRAMA_DETALLE!A488="","","Tejedora")</f>
        <v/>
      </c>
      <c r="D688" s="94" t="str">
        <f>IF(PROGRAMA_DETALLE!N488="","",PROGRAMA_DETALLE!N488)</f>
        <v/>
      </c>
      <c r="E688" s="84" t="str">
        <f>IF(PROGRAMA_DETALLE!A488="","","Tejido "&amp;PROGRAMA_DETALLE!A488&amp;" "&amp;PROGRAMA_DETALLE!B488)</f>
        <v/>
      </c>
      <c r="F688" s="95" t="str">
        <f>IF(PROGRAMA_DETALLE!M488=0,"",PROGRAMA_DETALLE!M488)</f>
        <v/>
      </c>
      <c r="G688" s="95">
        <f>IF(PROGRAMA_DETALLE!P488="PAGADO",PROGRAMA_DETALLE!M488,0)</f>
        <v>0</v>
      </c>
      <c r="H688" s="95">
        <f>IF(OR(PROGRAMA_DETALLE!P488="PENDIENTE",PROGRAMA_DETALLE!P488="PARCIAL"),PROGRAMA_DETALLE!M488,0)</f>
        <v>0</v>
      </c>
      <c r="I688" s="94" t="str">
        <f>IF(PROGRAMA_DETALLE!P488="","",PROGRAMA_DETALLE!P488)</f>
        <v/>
      </c>
    </row>
    <row r="689" ht="15.75" customHeight="1">
      <c r="A689" s="87" t="s">
        <v>229</v>
      </c>
      <c r="B689" s="93" t="str">
        <f>IFERROR(VLOOKUP(PROGRAMA_DETALLE!A489,PROGRAMAS!$A$4:$B$103,2,FALSE()),"")</f>
        <v/>
      </c>
      <c r="C689" s="84" t="str">
        <f>IF(PROGRAMA_DETALLE!A489="","","Tejedora")</f>
        <v/>
      </c>
      <c r="D689" s="94" t="str">
        <f>IF(PROGRAMA_DETALLE!N489="","",PROGRAMA_DETALLE!N489)</f>
        <v/>
      </c>
      <c r="E689" s="84" t="str">
        <f>IF(PROGRAMA_DETALLE!A489="","","Tejido "&amp;PROGRAMA_DETALLE!A489&amp;" "&amp;PROGRAMA_DETALLE!B489)</f>
        <v/>
      </c>
      <c r="F689" s="95" t="str">
        <f>IF(PROGRAMA_DETALLE!M489=0,"",PROGRAMA_DETALLE!M489)</f>
        <v/>
      </c>
      <c r="G689" s="95">
        <f>IF(PROGRAMA_DETALLE!P489="PAGADO",PROGRAMA_DETALLE!M489,0)</f>
        <v>0</v>
      </c>
      <c r="H689" s="95">
        <f>IF(OR(PROGRAMA_DETALLE!P489="PENDIENTE",PROGRAMA_DETALLE!P489="PARCIAL"),PROGRAMA_DETALLE!M489,0)</f>
        <v>0</v>
      </c>
      <c r="I689" s="94" t="str">
        <f>IF(PROGRAMA_DETALLE!P489="","",PROGRAMA_DETALLE!P489)</f>
        <v/>
      </c>
    </row>
    <row r="690" ht="15.75" customHeight="1">
      <c r="A690" s="87" t="s">
        <v>229</v>
      </c>
      <c r="B690" s="93" t="str">
        <f>IFERROR(VLOOKUP(PROGRAMA_DETALLE!A490,PROGRAMAS!$A$4:$B$103,2,FALSE()),"")</f>
        <v/>
      </c>
      <c r="C690" s="84" t="str">
        <f>IF(PROGRAMA_DETALLE!A490="","","Tejedora")</f>
        <v/>
      </c>
      <c r="D690" s="94" t="str">
        <f>IF(PROGRAMA_DETALLE!N490="","",PROGRAMA_DETALLE!N490)</f>
        <v/>
      </c>
      <c r="E690" s="84" t="str">
        <f>IF(PROGRAMA_DETALLE!A490="","","Tejido "&amp;PROGRAMA_DETALLE!A490&amp;" "&amp;PROGRAMA_DETALLE!B490)</f>
        <v/>
      </c>
      <c r="F690" s="95" t="str">
        <f>IF(PROGRAMA_DETALLE!M490=0,"",PROGRAMA_DETALLE!M490)</f>
        <v/>
      </c>
      <c r="G690" s="95">
        <f>IF(PROGRAMA_DETALLE!P490="PAGADO",PROGRAMA_DETALLE!M490,0)</f>
        <v>0</v>
      </c>
      <c r="H690" s="95">
        <f>IF(OR(PROGRAMA_DETALLE!P490="PENDIENTE",PROGRAMA_DETALLE!P490="PARCIAL"),PROGRAMA_DETALLE!M490,0)</f>
        <v>0</v>
      </c>
      <c r="I690" s="94" t="str">
        <f>IF(PROGRAMA_DETALLE!P490="","",PROGRAMA_DETALLE!P490)</f>
        <v/>
      </c>
    </row>
    <row r="691" ht="15.75" customHeight="1">
      <c r="A691" s="87" t="s">
        <v>229</v>
      </c>
      <c r="B691" s="93" t="str">
        <f>IFERROR(VLOOKUP(PROGRAMA_DETALLE!A491,PROGRAMAS!$A$4:$B$103,2,FALSE()),"")</f>
        <v/>
      </c>
      <c r="C691" s="84" t="str">
        <f>IF(PROGRAMA_DETALLE!A491="","","Tejedora")</f>
        <v/>
      </c>
      <c r="D691" s="94" t="str">
        <f>IF(PROGRAMA_DETALLE!N491="","",PROGRAMA_DETALLE!N491)</f>
        <v/>
      </c>
      <c r="E691" s="84" t="str">
        <f>IF(PROGRAMA_DETALLE!A491="","","Tejido "&amp;PROGRAMA_DETALLE!A491&amp;" "&amp;PROGRAMA_DETALLE!B491)</f>
        <v/>
      </c>
      <c r="F691" s="95" t="str">
        <f>IF(PROGRAMA_DETALLE!M491=0,"",PROGRAMA_DETALLE!M491)</f>
        <v/>
      </c>
      <c r="G691" s="95">
        <f>IF(PROGRAMA_DETALLE!P491="PAGADO",PROGRAMA_DETALLE!M491,0)</f>
        <v>0</v>
      </c>
      <c r="H691" s="95">
        <f>IF(OR(PROGRAMA_DETALLE!P491="PENDIENTE",PROGRAMA_DETALLE!P491="PARCIAL"),PROGRAMA_DETALLE!M491,0)</f>
        <v>0</v>
      </c>
      <c r="I691" s="94" t="str">
        <f>IF(PROGRAMA_DETALLE!P491="","",PROGRAMA_DETALLE!P491)</f>
        <v/>
      </c>
    </row>
    <row r="692" ht="15.75" customHeight="1">
      <c r="A692" s="87" t="s">
        <v>229</v>
      </c>
      <c r="B692" s="93" t="str">
        <f>IFERROR(VLOOKUP(PROGRAMA_DETALLE!A492,PROGRAMAS!$A$4:$B$103,2,FALSE()),"")</f>
        <v/>
      </c>
      <c r="C692" s="84" t="str">
        <f>IF(PROGRAMA_DETALLE!A492="","","Tejedora")</f>
        <v/>
      </c>
      <c r="D692" s="94" t="str">
        <f>IF(PROGRAMA_DETALLE!N492="","",PROGRAMA_DETALLE!N492)</f>
        <v/>
      </c>
      <c r="E692" s="84" t="str">
        <f>IF(PROGRAMA_DETALLE!A492="","","Tejido "&amp;PROGRAMA_DETALLE!A492&amp;" "&amp;PROGRAMA_DETALLE!B492)</f>
        <v/>
      </c>
      <c r="F692" s="95" t="str">
        <f>IF(PROGRAMA_DETALLE!M492=0,"",PROGRAMA_DETALLE!M492)</f>
        <v/>
      </c>
      <c r="G692" s="95">
        <f>IF(PROGRAMA_DETALLE!P492="PAGADO",PROGRAMA_DETALLE!M492,0)</f>
        <v>0</v>
      </c>
      <c r="H692" s="95">
        <f>IF(OR(PROGRAMA_DETALLE!P492="PENDIENTE",PROGRAMA_DETALLE!P492="PARCIAL"),PROGRAMA_DETALLE!M492,0)</f>
        <v>0</v>
      </c>
      <c r="I692" s="94" t="str">
        <f>IF(PROGRAMA_DETALLE!P492="","",PROGRAMA_DETALLE!P492)</f>
        <v/>
      </c>
    </row>
    <row r="693" ht="15.75" customHeight="1">
      <c r="A693" s="87" t="s">
        <v>229</v>
      </c>
      <c r="B693" s="93" t="str">
        <f>IFERROR(VLOOKUP(PROGRAMA_DETALLE!A493,PROGRAMAS!$A$4:$B$103,2,FALSE()),"")</f>
        <v/>
      </c>
      <c r="C693" s="84" t="str">
        <f>IF(PROGRAMA_DETALLE!A493="","","Tejedora")</f>
        <v/>
      </c>
      <c r="D693" s="94" t="str">
        <f>IF(PROGRAMA_DETALLE!N493="","",PROGRAMA_DETALLE!N493)</f>
        <v/>
      </c>
      <c r="E693" s="84" t="str">
        <f>IF(PROGRAMA_DETALLE!A493="","","Tejido "&amp;PROGRAMA_DETALLE!A493&amp;" "&amp;PROGRAMA_DETALLE!B493)</f>
        <v/>
      </c>
      <c r="F693" s="95" t="str">
        <f>IF(PROGRAMA_DETALLE!M493=0,"",PROGRAMA_DETALLE!M493)</f>
        <v/>
      </c>
      <c r="G693" s="95">
        <f>IF(PROGRAMA_DETALLE!P493="PAGADO",PROGRAMA_DETALLE!M493,0)</f>
        <v>0</v>
      </c>
      <c r="H693" s="95">
        <f>IF(OR(PROGRAMA_DETALLE!P493="PENDIENTE",PROGRAMA_DETALLE!P493="PARCIAL"),PROGRAMA_DETALLE!M493,0)</f>
        <v>0</v>
      </c>
      <c r="I693" s="94" t="str">
        <f>IF(PROGRAMA_DETALLE!P493="","",PROGRAMA_DETALLE!P493)</f>
        <v/>
      </c>
    </row>
    <row r="694" ht="15.75" customHeight="1">
      <c r="A694" s="87" t="s">
        <v>229</v>
      </c>
      <c r="B694" s="93" t="str">
        <f>IFERROR(VLOOKUP(PROGRAMA_DETALLE!A494,PROGRAMAS!$A$4:$B$103,2,FALSE()),"")</f>
        <v/>
      </c>
      <c r="C694" s="84" t="str">
        <f>IF(PROGRAMA_DETALLE!A494="","","Tejedora")</f>
        <v/>
      </c>
      <c r="D694" s="94" t="str">
        <f>IF(PROGRAMA_DETALLE!N494="","",PROGRAMA_DETALLE!N494)</f>
        <v/>
      </c>
      <c r="E694" s="84" t="str">
        <f>IF(PROGRAMA_DETALLE!A494="","","Tejido "&amp;PROGRAMA_DETALLE!A494&amp;" "&amp;PROGRAMA_DETALLE!B494)</f>
        <v/>
      </c>
      <c r="F694" s="95" t="str">
        <f>IF(PROGRAMA_DETALLE!M494=0,"",PROGRAMA_DETALLE!M494)</f>
        <v/>
      </c>
      <c r="G694" s="95">
        <f>IF(PROGRAMA_DETALLE!P494="PAGADO",PROGRAMA_DETALLE!M494,0)</f>
        <v>0</v>
      </c>
      <c r="H694" s="95">
        <f>IF(OR(PROGRAMA_DETALLE!P494="PENDIENTE",PROGRAMA_DETALLE!P494="PARCIAL"),PROGRAMA_DETALLE!M494,0)</f>
        <v>0</v>
      </c>
      <c r="I694" s="94" t="str">
        <f>IF(PROGRAMA_DETALLE!P494="","",PROGRAMA_DETALLE!P494)</f>
        <v/>
      </c>
    </row>
    <row r="695" ht="15.75" customHeight="1">
      <c r="A695" s="87" t="s">
        <v>229</v>
      </c>
      <c r="B695" s="93" t="str">
        <f>IFERROR(VLOOKUP(PROGRAMA_DETALLE!A495,PROGRAMAS!$A$4:$B$103,2,FALSE()),"")</f>
        <v/>
      </c>
      <c r="C695" s="84" t="str">
        <f>IF(PROGRAMA_DETALLE!A495="","","Tejedora")</f>
        <v/>
      </c>
      <c r="D695" s="94" t="str">
        <f>IF(PROGRAMA_DETALLE!N495="","",PROGRAMA_DETALLE!N495)</f>
        <v/>
      </c>
      <c r="E695" s="84" t="str">
        <f>IF(PROGRAMA_DETALLE!A495="","","Tejido "&amp;PROGRAMA_DETALLE!A495&amp;" "&amp;PROGRAMA_DETALLE!B495)</f>
        <v/>
      </c>
      <c r="F695" s="95" t="str">
        <f>IF(PROGRAMA_DETALLE!M495=0,"",PROGRAMA_DETALLE!M495)</f>
        <v/>
      </c>
      <c r="G695" s="95">
        <f>IF(PROGRAMA_DETALLE!P495="PAGADO",PROGRAMA_DETALLE!M495,0)</f>
        <v>0</v>
      </c>
      <c r="H695" s="95">
        <f>IF(OR(PROGRAMA_DETALLE!P495="PENDIENTE",PROGRAMA_DETALLE!P495="PARCIAL"),PROGRAMA_DETALLE!M495,0)</f>
        <v>0</v>
      </c>
      <c r="I695" s="94" t="str">
        <f>IF(PROGRAMA_DETALLE!P495="","",PROGRAMA_DETALLE!P495)</f>
        <v/>
      </c>
    </row>
    <row r="696" ht="15.75" customHeight="1">
      <c r="A696" s="87" t="s">
        <v>229</v>
      </c>
      <c r="B696" s="93" t="str">
        <f>IFERROR(VLOOKUP(PROGRAMA_DETALLE!A496,PROGRAMAS!$A$4:$B$103,2,FALSE()),"")</f>
        <v/>
      </c>
      <c r="C696" s="84" t="str">
        <f>IF(PROGRAMA_DETALLE!A496="","","Tejedora")</f>
        <v/>
      </c>
      <c r="D696" s="94" t="str">
        <f>IF(PROGRAMA_DETALLE!N496="","",PROGRAMA_DETALLE!N496)</f>
        <v/>
      </c>
      <c r="E696" s="84" t="str">
        <f>IF(PROGRAMA_DETALLE!A496="","","Tejido "&amp;PROGRAMA_DETALLE!A496&amp;" "&amp;PROGRAMA_DETALLE!B496)</f>
        <v/>
      </c>
      <c r="F696" s="95" t="str">
        <f>IF(PROGRAMA_DETALLE!M496=0,"",PROGRAMA_DETALLE!M496)</f>
        <v/>
      </c>
      <c r="G696" s="95">
        <f>IF(PROGRAMA_DETALLE!P496="PAGADO",PROGRAMA_DETALLE!M496,0)</f>
        <v>0</v>
      </c>
      <c r="H696" s="95">
        <f>IF(OR(PROGRAMA_DETALLE!P496="PENDIENTE",PROGRAMA_DETALLE!P496="PARCIAL"),PROGRAMA_DETALLE!M496,0)</f>
        <v>0</v>
      </c>
      <c r="I696" s="94" t="str">
        <f>IF(PROGRAMA_DETALLE!P496="","",PROGRAMA_DETALLE!P496)</f>
        <v/>
      </c>
    </row>
    <row r="697" ht="15.75" customHeight="1">
      <c r="A697" s="87" t="s">
        <v>229</v>
      </c>
      <c r="B697" s="93" t="str">
        <f>IFERROR(VLOOKUP(PROGRAMA_DETALLE!A497,PROGRAMAS!$A$4:$B$103,2,FALSE()),"")</f>
        <v/>
      </c>
      <c r="C697" s="84" t="str">
        <f>IF(PROGRAMA_DETALLE!A497="","","Tejedora")</f>
        <v/>
      </c>
      <c r="D697" s="94" t="str">
        <f>IF(PROGRAMA_DETALLE!N497="","",PROGRAMA_DETALLE!N497)</f>
        <v/>
      </c>
      <c r="E697" s="84" t="str">
        <f>IF(PROGRAMA_DETALLE!A497="","","Tejido "&amp;PROGRAMA_DETALLE!A497&amp;" "&amp;PROGRAMA_DETALLE!B497)</f>
        <v/>
      </c>
      <c r="F697" s="95" t="str">
        <f>IF(PROGRAMA_DETALLE!M497=0,"",PROGRAMA_DETALLE!M497)</f>
        <v/>
      </c>
      <c r="G697" s="95">
        <f>IF(PROGRAMA_DETALLE!P497="PAGADO",PROGRAMA_DETALLE!M497,0)</f>
        <v>0</v>
      </c>
      <c r="H697" s="95">
        <f>IF(OR(PROGRAMA_DETALLE!P497="PENDIENTE",PROGRAMA_DETALLE!P497="PARCIAL"),PROGRAMA_DETALLE!M497,0)</f>
        <v>0</v>
      </c>
      <c r="I697" s="94" t="str">
        <f>IF(PROGRAMA_DETALLE!P497="","",PROGRAMA_DETALLE!P497)</f>
        <v/>
      </c>
    </row>
    <row r="698" ht="15.75" customHeight="1">
      <c r="A698" s="87" t="s">
        <v>229</v>
      </c>
      <c r="B698" s="93" t="str">
        <f>IFERROR(VLOOKUP(PROGRAMA_DETALLE!A498,PROGRAMAS!$A$4:$B$103,2,FALSE()),"")</f>
        <v/>
      </c>
      <c r="C698" s="84" t="str">
        <f>IF(PROGRAMA_DETALLE!A498="","","Tejedora")</f>
        <v/>
      </c>
      <c r="D698" s="94" t="str">
        <f>IF(PROGRAMA_DETALLE!N498="","",PROGRAMA_DETALLE!N498)</f>
        <v/>
      </c>
      <c r="E698" s="84" t="str">
        <f>IF(PROGRAMA_DETALLE!A498="","","Tejido "&amp;PROGRAMA_DETALLE!A498&amp;" "&amp;PROGRAMA_DETALLE!B498)</f>
        <v/>
      </c>
      <c r="F698" s="95" t="str">
        <f>IF(PROGRAMA_DETALLE!M498=0,"",PROGRAMA_DETALLE!M498)</f>
        <v/>
      </c>
      <c r="G698" s="95">
        <f>IF(PROGRAMA_DETALLE!P498="PAGADO",PROGRAMA_DETALLE!M498,0)</f>
        <v>0</v>
      </c>
      <c r="H698" s="95">
        <f>IF(OR(PROGRAMA_DETALLE!P498="PENDIENTE",PROGRAMA_DETALLE!P498="PARCIAL"),PROGRAMA_DETALLE!M498,0)</f>
        <v>0</v>
      </c>
      <c r="I698" s="94" t="str">
        <f>IF(PROGRAMA_DETALLE!P498="","",PROGRAMA_DETALLE!P498)</f>
        <v/>
      </c>
    </row>
    <row r="699" ht="15.75" customHeight="1">
      <c r="A699" s="87" t="s">
        <v>229</v>
      </c>
      <c r="B699" s="93" t="str">
        <f>IFERROR(VLOOKUP(PROGRAMA_DETALLE!A499,PROGRAMAS!$A$4:$B$103,2,FALSE()),"")</f>
        <v/>
      </c>
      <c r="C699" s="84" t="str">
        <f>IF(PROGRAMA_DETALLE!A499="","","Tejedora")</f>
        <v/>
      </c>
      <c r="D699" s="94" t="str">
        <f>IF(PROGRAMA_DETALLE!N499="","",PROGRAMA_DETALLE!N499)</f>
        <v/>
      </c>
      <c r="E699" s="84" t="str">
        <f>IF(PROGRAMA_DETALLE!A499="","","Tejido "&amp;PROGRAMA_DETALLE!A499&amp;" "&amp;PROGRAMA_DETALLE!B499)</f>
        <v/>
      </c>
      <c r="F699" s="95" t="str">
        <f>IF(PROGRAMA_DETALLE!M499=0,"",PROGRAMA_DETALLE!M499)</f>
        <v/>
      </c>
      <c r="G699" s="95">
        <f>IF(PROGRAMA_DETALLE!P499="PAGADO",PROGRAMA_DETALLE!M499,0)</f>
        <v>0</v>
      </c>
      <c r="H699" s="95">
        <f>IF(OR(PROGRAMA_DETALLE!P499="PENDIENTE",PROGRAMA_DETALLE!P499="PARCIAL"),PROGRAMA_DETALLE!M499,0)</f>
        <v>0</v>
      </c>
      <c r="I699" s="94" t="str">
        <f>IF(PROGRAMA_DETALLE!P499="","",PROGRAMA_DETALLE!P499)</f>
        <v/>
      </c>
    </row>
    <row r="700" ht="15.75" customHeight="1">
      <c r="A700" s="87" t="s">
        <v>229</v>
      </c>
      <c r="B700" s="93" t="str">
        <f>IFERROR(VLOOKUP(PROGRAMA_DETALLE!A500,PROGRAMAS!$A$4:$B$103,2,FALSE()),"")</f>
        <v/>
      </c>
      <c r="C700" s="84" t="str">
        <f>IF(PROGRAMA_DETALLE!A500="","","Tejedora")</f>
        <v/>
      </c>
      <c r="D700" s="94" t="str">
        <f>IF(PROGRAMA_DETALLE!N500="","",PROGRAMA_DETALLE!N500)</f>
        <v/>
      </c>
      <c r="E700" s="84" t="str">
        <f>IF(PROGRAMA_DETALLE!A500="","","Tejido "&amp;PROGRAMA_DETALLE!A500&amp;" "&amp;PROGRAMA_DETALLE!B500)</f>
        <v/>
      </c>
      <c r="F700" s="95" t="str">
        <f>IF(PROGRAMA_DETALLE!M500=0,"",PROGRAMA_DETALLE!M500)</f>
        <v/>
      </c>
      <c r="G700" s="95">
        <f>IF(PROGRAMA_DETALLE!P500="PAGADO",PROGRAMA_DETALLE!M500,0)</f>
        <v>0</v>
      </c>
      <c r="H700" s="95">
        <f>IF(OR(PROGRAMA_DETALLE!P500="PENDIENTE",PROGRAMA_DETALLE!P500="PARCIAL"),PROGRAMA_DETALLE!M500,0)</f>
        <v>0</v>
      </c>
      <c r="I700" s="94" t="str">
        <f>IF(PROGRAMA_DETALLE!P500="","",PROGRAMA_DETALLE!P500)</f>
        <v/>
      </c>
    </row>
    <row r="701" ht="15.75" customHeight="1">
      <c r="A701" s="87" t="s">
        <v>229</v>
      </c>
      <c r="B701" s="93" t="str">
        <f>IFERROR(VLOOKUP(PROGRAMA_DETALLE!A501,PROGRAMAS!$A$4:$B$103,2,FALSE()),"")</f>
        <v/>
      </c>
      <c r="C701" s="84" t="str">
        <f>IF(PROGRAMA_DETALLE!A501="","","Tejedora")</f>
        <v/>
      </c>
      <c r="D701" s="94" t="str">
        <f>IF(PROGRAMA_DETALLE!N501="","",PROGRAMA_DETALLE!N501)</f>
        <v/>
      </c>
      <c r="E701" s="84" t="str">
        <f>IF(PROGRAMA_DETALLE!A501="","","Tejido "&amp;PROGRAMA_DETALLE!A501&amp;" "&amp;PROGRAMA_DETALLE!B501)</f>
        <v/>
      </c>
      <c r="F701" s="95" t="str">
        <f>IF(PROGRAMA_DETALLE!M501=0,"",PROGRAMA_DETALLE!M501)</f>
        <v/>
      </c>
      <c r="G701" s="95">
        <f>IF(PROGRAMA_DETALLE!P501="PAGADO",PROGRAMA_DETALLE!M501,0)</f>
        <v>0</v>
      </c>
      <c r="H701" s="95">
        <f>IF(OR(PROGRAMA_DETALLE!P501="PENDIENTE",PROGRAMA_DETALLE!P501="PARCIAL"),PROGRAMA_DETALLE!M501,0)</f>
        <v>0</v>
      </c>
      <c r="I701" s="94" t="str">
        <f>IF(PROGRAMA_DETALLE!P501="","",PROGRAMA_DETALLE!P501)</f>
        <v/>
      </c>
    </row>
    <row r="702" ht="15.75" customHeight="1">
      <c r="A702" s="87" t="s">
        <v>229</v>
      </c>
      <c r="B702" s="93" t="str">
        <f>IFERROR(VLOOKUP(PROGRAMA_DETALLE!A502,PROGRAMAS!$A$4:$B$103,2,FALSE()),"")</f>
        <v/>
      </c>
      <c r="C702" s="84" t="str">
        <f>IF(PROGRAMA_DETALLE!A502="","","Tejedora")</f>
        <v/>
      </c>
      <c r="D702" s="94" t="str">
        <f>IF(PROGRAMA_DETALLE!N502="","",PROGRAMA_DETALLE!N502)</f>
        <v/>
      </c>
      <c r="E702" s="84" t="str">
        <f>IF(PROGRAMA_DETALLE!A502="","","Tejido "&amp;PROGRAMA_DETALLE!A502&amp;" "&amp;PROGRAMA_DETALLE!B502)</f>
        <v/>
      </c>
      <c r="F702" s="95" t="str">
        <f>IF(PROGRAMA_DETALLE!M502=0,"",PROGRAMA_DETALLE!M502)</f>
        <v/>
      </c>
      <c r="G702" s="95">
        <f>IF(PROGRAMA_DETALLE!P502="PAGADO",PROGRAMA_DETALLE!M502,0)</f>
        <v>0</v>
      </c>
      <c r="H702" s="95">
        <f>IF(OR(PROGRAMA_DETALLE!P502="PENDIENTE",PROGRAMA_DETALLE!P502="PARCIAL"),PROGRAMA_DETALLE!M502,0)</f>
        <v>0</v>
      </c>
      <c r="I702" s="94" t="str">
        <f>IF(PROGRAMA_DETALLE!P502="","",PROGRAMA_DETALLE!P502)</f>
        <v/>
      </c>
    </row>
    <row r="703" ht="15.75" customHeight="1">
      <c r="A703" s="87" t="s">
        <v>229</v>
      </c>
      <c r="B703" s="93" t="str">
        <f>IFERROR(VLOOKUP(PROGRAMA_DETALLE!A503,PROGRAMAS!$A$4:$B$103,2,FALSE()),"")</f>
        <v/>
      </c>
      <c r="C703" s="84" t="str">
        <f>IF(PROGRAMA_DETALLE!A503="","","Tejedora")</f>
        <v/>
      </c>
      <c r="D703" s="94" t="str">
        <f>IF(PROGRAMA_DETALLE!N503="","",PROGRAMA_DETALLE!N503)</f>
        <v/>
      </c>
      <c r="E703" s="84" t="str">
        <f>IF(PROGRAMA_DETALLE!A503="","","Tejido "&amp;PROGRAMA_DETALLE!A503&amp;" "&amp;PROGRAMA_DETALLE!B503)</f>
        <v/>
      </c>
      <c r="F703" s="95" t="str">
        <f>IF(PROGRAMA_DETALLE!M503=0,"",PROGRAMA_DETALLE!M503)</f>
        <v/>
      </c>
      <c r="G703" s="95">
        <f>IF(PROGRAMA_DETALLE!P503="PAGADO",PROGRAMA_DETALLE!M503,0)</f>
        <v>0</v>
      </c>
      <c r="H703" s="95">
        <f>IF(OR(PROGRAMA_DETALLE!P503="PENDIENTE",PROGRAMA_DETALLE!P503="PARCIAL"),PROGRAMA_DETALLE!M503,0)</f>
        <v>0</v>
      </c>
      <c r="I703" s="94" t="str">
        <f>IF(PROGRAMA_DETALLE!P503="","",PROGRAMA_DETALLE!P503)</f>
        <v/>
      </c>
    </row>
    <row r="704" ht="15.75" customHeight="1">
      <c r="A704" s="96" t="s">
        <v>236</v>
      </c>
      <c r="B704" s="93">
        <f>IF(PROGRAMA_DETALLE!Q4="","",PROGRAMA_DETALLE!Q4)</f>
        <v>46114</v>
      </c>
      <c r="C704" s="84" t="str">
        <f>IF(PROGRAMA_DETALLE!A4="","","Tintorería")</f>
        <v>Tintorería</v>
      </c>
      <c r="D704" s="94" t="str">
        <f>IF(PROGRAMA_DETALLE!AB4="","",PROGRAMA_DETALLE!AB4)</f>
        <v>TIN-001</v>
      </c>
      <c r="E704" s="84" t="str">
        <f>IF(PROGRAMA_DETALLE!A4="","","Teñido "&amp;PROGRAMA_DETALLE!D4&amp;" "&amp;PROGRAMA_DETALLE!B4)</f>
        <v>Teñido REACTIVO (oscuros) Negro</v>
      </c>
      <c r="F704" s="95">
        <f>IF(PROGRAMA_DETALLE!Z4=0,"",PROGRAMA_DETALLE!Z4)</f>
        <v>3786.075</v>
      </c>
      <c r="G704" s="95">
        <f>IF(PROGRAMA_DETALLE!AC4="PAGADO",PROGRAMA_DETALLE!Z4,0)</f>
        <v>3786.075</v>
      </c>
      <c r="H704" s="95">
        <f>IF(OR(PROGRAMA_DETALLE!AC4="PENDIENTE",PROGRAMA_DETALLE!AC4="PARCIAL"),PROGRAMA_DETALLE!Z4,0)</f>
        <v>0</v>
      </c>
      <c r="I704" s="94" t="str">
        <f>IF(PROGRAMA_DETALLE!AC4="","",PROGRAMA_DETALLE!AC4)</f>
        <v>PAGADO</v>
      </c>
    </row>
    <row r="705" ht="15.75" customHeight="1">
      <c r="A705" s="96" t="s">
        <v>236</v>
      </c>
      <c r="B705" s="93">
        <f>IF(PROGRAMA_DETALLE!Q5="","",PROGRAMA_DETALLE!Q5)</f>
        <v>46114</v>
      </c>
      <c r="C705" s="84" t="str">
        <f>IF(PROGRAMA_DETALLE!A5="","","Tintorería")</f>
        <v>Tintorería</v>
      </c>
      <c r="D705" s="94" t="str">
        <f>IF(PROGRAMA_DETALLE!AB5="","",PROGRAMA_DETALLE!AB5)</f>
        <v>TIN-002</v>
      </c>
      <c r="E705" s="84" t="str">
        <f>IF(PROGRAMA_DETALLE!A5="","","Teñido "&amp;PROGRAMA_DETALLE!D5&amp;" "&amp;PROGRAMA_DETALLE!B5)</f>
        <v>Teñido PPT (perla/blanco) Perla</v>
      </c>
      <c r="F705" s="95">
        <f>IF(PROGRAMA_DETALLE!Z5=0,"",PROGRAMA_DETALLE!Z5)</f>
        <v>761.475</v>
      </c>
      <c r="G705" s="95">
        <f>IF(PROGRAMA_DETALLE!AC5="PAGADO",PROGRAMA_DETALLE!Z5,0)</f>
        <v>761.475</v>
      </c>
      <c r="H705" s="95">
        <f>IF(OR(PROGRAMA_DETALLE!AC5="PENDIENTE",PROGRAMA_DETALLE!AC5="PARCIAL"),PROGRAMA_DETALLE!Z5,0)</f>
        <v>0</v>
      </c>
      <c r="I705" s="94" t="str">
        <f>IF(PROGRAMA_DETALLE!AC5="","",PROGRAMA_DETALLE!AC5)</f>
        <v>PAGADO</v>
      </c>
    </row>
    <row r="706" ht="15.75" customHeight="1">
      <c r="A706" s="96" t="s">
        <v>236</v>
      </c>
      <c r="B706" s="93">
        <f>IF(PROGRAMA_DETALLE!Q6="","",PROGRAMA_DETALLE!Q6)</f>
        <v>46114</v>
      </c>
      <c r="C706" s="84" t="str">
        <f>IF(PROGRAMA_DETALLE!A6="","","Tintorería")</f>
        <v>Tintorería</v>
      </c>
      <c r="D706" s="94" t="str">
        <f>IF(PROGRAMA_DETALLE!AB6="","",PROGRAMA_DETALLE!AB6)</f>
        <v>TIN-003</v>
      </c>
      <c r="E706" s="84" t="str">
        <f>IF(PROGRAMA_DETALLE!A6="","","Teñido "&amp;PROGRAMA_DETALLE!D6&amp;" "&amp;PROGRAMA_DETALLE!B6)</f>
        <v>Teñido DIRECTO (claros) Beige</v>
      </c>
      <c r="F706" s="95">
        <f>IF(PROGRAMA_DETALLE!Z6=0,"",PROGRAMA_DETALLE!Z6)</f>
        <v>1330.875</v>
      </c>
      <c r="G706" s="95">
        <f>IF(PROGRAMA_DETALLE!AC6="PAGADO",PROGRAMA_DETALLE!Z6,0)</f>
        <v>1330.875</v>
      </c>
      <c r="H706" s="95">
        <f>IF(OR(PROGRAMA_DETALLE!AC6="PENDIENTE",PROGRAMA_DETALLE!AC6="PARCIAL"),PROGRAMA_DETALLE!Z6,0)</f>
        <v>0</v>
      </c>
      <c r="I706" s="94" t="str">
        <f>IF(PROGRAMA_DETALLE!AC6="","",PROGRAMA_DETALLE!AC6)</f>
        <v>PAGADO</v>
      </c>
    </row>
    <row r="707" ht="15.75" customHeight="1">
      <c r="A707" s="96" t="s">
        <v>236</v>
      </c>
      <c r="B707" s="93">
        <f>IF(PROGRAMA_DETALLE!Q7="","",PROGRAMA_DETALLE!Q7)</f>
        <v>46114</v>
      </c>
      <c r="C707" s="84" t="str">
        <f>IF(PROGRAMA_DETALLE!A7="","","Tintorería")</f>
        <v>Tintorería</v>
      </c>
      <c r="D707" s="94" t="str">
        <f>IF(PROGRAMA_DETALLE!AB7="","",PROGRAMA_DETALLE!AB7)</f>
        <v>TIN-004</v>
      </c>
      <c r="E707" s="84" t="str">
        <f>IF(PROGRAMA_DETALLE!A7="","","Teñido "&amp;PROGRAMA_DETALLE!D7&amp;" "&amp;PROGRAMA_DETALLE!B7)</f>
        <v>Teñido LAVADO (melange) Melange</v>
      </c>
      <c r="F707" s="95">
        <f>IF(PROGRAMA_DETALLE!Z7=0,"",PROGRAMA_DETALLE!Z7)</f>
        <v>750.75</v>
      </c>
      <c r="G707" s="95">
        <f>IF(PROGRAMA_DETALLE!AC7="PAGADO",PROGRAMA_DETALLE!Z7,0)</f>
        <v>750.75</v>
      </c>
      <c r="H707" s="95">
        <f>IF(OR(PROGRAMA_DETALLE!AC7="PENDIENTE",PROGRAMA_DETALLE!AC7="PARCIAL"),PROGRAMA_DETALLE!Z7,0)</f>
        <v>0</v>
      </c>
      <c r="I707" s="94" t="str">
        <f>IF(PROGRAMA_DETALLE!AC7="","",PROGRAMA_DETALLE!AC7)</f>
        <v>PAGADO</v>
      </c>
    </row>
    <row r="708" ht="15.75" customHeight="1">
      <c r="A708" s="96" t="s">
        <v>236</v>
      </c>
      <c r="B708" s="93" t="str">
        <f>IF(PROGRAMA_DETALLE!Q8="","",PROGRAMA_DETALLE!Q8)</f>
        <v/>
      </c>
      <c r="C708" s="84" t="str">
        <f>IF(PROGRAMA_DETALLE!A8="","","Tintorería")</f>
        <v/>
      </c>
      <c r="D708" s="94" t="str">
        <f>IF(PROGRAMA_DETALLE!AB8="","",PROGRAMA_DETALLE!AB8)</f>
        <v/>
      </c>
      <c r="E708" s="84" t="str">
        <f>IF(PROGRAMA_DETALLE!A8="","","Teñido "&amp;PROGRAMA_DETALLE!D8&amp;" "&amp;PROGRAMA_DETALLE!B8)</f>
        <v/>
      </c>
      <c r="F708" s="95" t="str">
        <f>IF(PROGRAMA_DETALLE!Z8=0,"",PROGRAMA_DETALLE!Z8)</f>
        <v/>
      </c>
      <c r="G708" s="95">
        <f>IF(PROGRAMA_DETALLE!AC8="PAGADO",PROGRAMA_DETALLE!Z8,0)</f>
        <v>0</v>
      </c>
      <c r="H708" s="95">
        <f>IF(OR(PROGRAMA_DETALLE!AC8="PENDIENTE",PROGRAMA_DETALLE!AC8="PARCIAL"),PROGRAMA_DETALLE!Z8,0)</f>
        <v>0</v>
      </c>
      <c r="I708" s="94" t="str">
        <f>IF(PROGRAMA_DETALLE!AC8="","",PROGRAMA_DETALLE!AC8)</f>
        <v/>
      </c>
    </row>
    <row r="709" ht="15.75" customHeight="1">
      <c r="A709" s="96" t="s">
        <v>236</v>
      </c>
      <c r="B709" s="93" t="str">
        <f>IF(PROGRAMA_DETALLE!Q9="","",PROGRAMA_DETALLE!Q9)</f>
        <v/>
      </c>
      <c r="C709" s="84" t="str">
        <f>IF(PROGRAMA_DETALLE!A9="","","Tintorería")</f>
        <v/>
      </c>
      <c r="D709" s="94" t="str">
        <f>IF(PROGRAMA_DETALLE!AB9="","",PROGRAMA_DETALLE!AB9)</f>
        <v/>
      </c>
      <c r="E709" s="84" t="str">
        <f>IF(PROGRAMA_DETALLE!A9="","","Teñido "&amp;PROGRAMA_DETALLE!D9&amp;" "&amp;PROGRAMA_DETALLE!B9)</f>
        <v/>
      </c>
      <c r="F709" s="95" t="str">
        <f>IF(PROGRAMA_DETALLE!Z9=0,"",PROGRAMA_DETALLE!Z9)</f>
        <v/>
      </c>
      <c r="G709" s="95">
        <f>IF(PROGRAMA_DETALLE!AC9="PAGADO",PROGRAMA_DETALLE!Z9,0)</f>
        <v>0</v>
      </c>
      <c r="H709" s="95">
        <f>IF(OR(PROGRAMA_DETALLE!AC9="PENDIENTE",PROGRAMA_DETALLE!AC9="PARCIAL"),PROGRAMA_DETALLE!Z9,0)</f>
        <v>0</v>
      </c>
      <c r="I709" s="94" t="str">
        <f>IF(PROGRAMA_DETALLE!AC9="","",PROGRAMA_DETALLE!AC9)</f>
        <v/>
      </c>
    </row>
    <row r="710" ht="15.75" customHeight="1">
      <c r="A710" s="96" t="s">
        <v>236</v>
      </c>
      <c r="B710" s="93" t="str">
        <f>IF(PROGRAMA_DETALLE!Q10="","",PROGRAMA_DETALLE!Q10)</f>
        <v/>
      </c>
      <c r="C710" s="84" t="str">
        <f>IF(PROGRAMA_DETALLE!A10="","","Tintorería")</f>
        <v>Tintorería</v>
      </c>
      <c r="D710" s="94" t="str">
        <f>IF(PROGRAMA_DETALLE!AB10="","",PROGRAMA_DETALLE!AB10)</f>
        <v/>
      </c>
      <c r="E710" s="84" t="str">
        <f>IF(PROGRAMA_DETALLE!A10="","","Teñido "&amp;PROGRAMA_DETALLE!D10&amp;" "&amp;PROGRAMA_DETALLE!B10)</f>
        <v>Teñido REACTIVO (oscuros) Negro</v>
      </c>
      <c r="F710" s="95" t="str">
        <f>IF(PROGRAMA_DETALLE!Z10=0,"",PROGRAMA_DETALLE!Z10)</f>
        <v/>
      </c>
      <c r="G710" s="95">
        <f>IF(PROGRAMA_DETALLE!AC10="PAGADO",PROGRAMA_DETALLE!Z10,0)</f>
        <v>0</v>
      </c>
      <c r="H710" s="95">
        <f>IF(OR(PROGRAMA_DETALLE!AC10="PENDIENTE",PROGRAMA_DETALLE!AC10="PARCIAL"),PROGRAMA_DETALLE!Z10,0)</f>
        <v>0</v>
      </c>
      <c r="I710" s="94" t="str">
        <f>IF(PROGRAMA_DETALLE!AC10="","",PROGRAMA_DETALLE!AC10)</f>
        <v/>
      </c>
    </row>
    <row r="711" ht="15.75" customHeight="1">
      <c r="A711" s="96" t="s">
        <v>236</v>
      </c>
      <c r="B711" s="93" t="str">
        <f>IF(PROGRAMA_DETALLE!Q11="","",PROGRAMA_DETALLE!Q11)</f>
        <v/>
      </c>
      <c r="C711" s="84" t="str">
        <f>IF(PROGRAMA_DETALLE!A11="","","Tintorería")</f>
        <v>Tintorería</v>
      </c>
      <c r="D711" s="94" t="str">
        <f>IF(PROGRAMA_DETALLE!AB11="","",PROGRAMA_DETALLE!AB11)</f>
        <v/>
      </c>
      <c r="E711" s="84" t="str">
        <f>IF(PROGRAMA_DETALLE!A11="","","Teñido "&amp;PROGRAMA_DETALLE!D11&amp;" "&amp;PROGRAMA_DETALLE!B11)</f>
        <v>Teñido PPT (perla/blanco) Perla</v>
      </c>
      <c r="F711" s="95" t="str">
        <f>IF(PROGRAMA_DETALLE!Z11=0,"",PROGRAMA_DETALLE!Z11)</f>
        <v/>
      </c>
      <c r="G711" s="95">
        <f>IF(PROGRAMA_DETALLE!AC11="PAGADO",PROGRAMA_DETALLE!Z11,0)</f>
        <v>0</v>
      </c>
      <c r="H711" s="95">
        <f>IF(OR(PROGRAMA_DETALLE!AC11="PENDIENTE",PROGRAMA_DETALLE!AC11="PARCIAL"),PROGRAMA_DETALLE!Z11,0)</f>
        <v>0</v>
      </c>
      <c r="I711" s="94" t="str">
        <f>IF(PROGRAMA_DETALLE!AC11="","",PROGRAMA_DETALLE!AC11)</f>
        <v/>
      </c>
    </row>
    <row r="712" ht="15.75" customHeight="1">
      <c r="A712" s="96" t="s">
        <v>236</v>
      </c>
      <c r="B712" s="93" t="str">
        <f>IF(PROGRAMA_DETALLE!Q12="","",PROGRAMA_DETALLE!Q12)</f>
        <v/>
      </c>
      <c r="C712" s="84" t="str">
        <f>IF(PROGRAMA_DETALLE!A12="","","Tintorería")</f>
        <v>Tintorería</v>
      </c>
      <c r="D712" s="94" t="str">
        <f>IF(PROGRAMA_DETALLE!AB12="","",PROGRAMA_DETALLE!AB12)</f>
        <v/>
      </c>
      <c r="E712" s="84" t="str">
        <f>IF(PROGRAMA_DETALLE!A12="","","Teñido "&amp;PROGRAMA_DETALLE!D12&amp;" "&amp;PROGRAMA_DETALLE!B12)</f>
        <v>Teñido REACTIVO (oscuros) Colegial</v>
      </c>
      <c r="F712" s="95" t="str">
        <f>IF(PROGRAMA_DETALLE!Z12=0,"",PROGRAMA_DETALLE!Z12)</f>
        <v/>
      </c>
      <c r="G712" s="95">
        <f>IF(PROGRAMA_DETALLE!AC12="PAGADO",PROGRAMA_DETALLE!Z12,0)</f>
        <v>0</v>
      </c>
      <c r="H712" s="95">
        <f>IF(OR(PROGRAMA_DETALLE!AC12="PENDIENTE",PROGRAMA_DETALLE!AC12="PARCIAL"),PROGRAMA_DETALLE!Z12,0)</f>
        <v>0</v>
      </c>
      <c r="I712" s="94" t="str">
        <f>IF(PROGRAMA_DETALLE!AC12="","",PROGRAMA_DETALLE!AC12)</f>
        <v/>
      </c>
    </row>
    <row r="713" ht="15.75" customHeight="1">
      <c r="A713" s="96" t="s">
        <v>236</v>
      </c>
      <c r="B713" s="93" t="str">
        <f>IF(PROGRAMA_DETALLE!Q13="","",PROGRAMA_DETALLE!Q13)</f>
        <v/>
      </c>
      <c r="C713" s="84" t="str">
        <f>IF(PROGRAMA_DETALLE!A13="","","Tintorería")</f>
        <v/>
      </c>
      <c r="D713" s="94" t="str">
        <f>IF(PROGRAMA_DETALLE!AB13="","",PROGRAMA_DETALLE!AB13)</f>
        <v/>
      </c>
      <c r="E713" s="84" t="str">
        <f>IF(PROGRAMA_DETALLE!A13="","","Teñido "&amp;PROGRAMA_DETALLE!D13&amp;" "&amp;PROGRAMA_DETALLE!B13)</f>
        <v/>
      </c>
      <c r="F713" s="95" t="str">
        <f>IF(PROGRAMA_DETALLE!Z13=0,"",PROGRAMA_DETALLE!Z13)</f>
        <v/>
      </c>
      <c r="G713" s="95">
        <f>IF(PROGRAMA_DETALLE!AC13="PAGADO",PROGRAMA_DETALLE!Z13,0)</f>
        <v>0</v>
      </c>
      <c r="H713" s="95">
        <f>IF(OR(PROGRAMA_DETALLE!AC13="PENDIENTE",PROGRAMA_DETALLE!AC13="PARCIAL"),PROGRAMA_DETALLE!Z13,0)</f>
        <v>0</v>
      </c>
      <c r="I713" s="94" t="str">
        <f>IF(PROGRAMA_DETALLE!AC13="","",PROGRAMA_DETALLE!AC13)</f>
        <v/>
      </c>
    </row>
    <row r="714" ht="15.75" customHeight="1">
      <c r="A714" s="96" t="s">
        <v>236</v>
      </c>
      <c r="B714" s="93" t="str">
        <f>IF(PROGRAMA_DETALLE!Q14="","",PROGRAMA_DETALLE!Q14)</f>
        <v/>
      </c>
      <c r="C714" s="84" t="str">
        <f>IF(PROGRAMA_DETALLE!A14="","","Tintorería")</f>
        <v>Tintorería</v>
      </c>
      <c r="D714" s="94" t="str">
        <f>IF(PROGRAMA_DETALLE!AB14="","",PROGRAMA_DETALLE!AB14)</f>
        <v/>
      </c>
      <c r="E714" s="84" t="str">
        <f>IF(PROGRAMA_DETALLE!A14="","","Teñido "&amp;PROGRAMA_DETALLE!D14&amp;" "&amp;PROGRAMA_DETALLE!B14)</f>
        <v>Teñido REACTIVO (oscuros) Negro</v>
      </c>
      <c r="F714" s="95" t="str">
        <f>IF(PROGRAMA_DETALLE!Z14=0,"",PROGRAMA_DETALLE!Z14)</f>
        <v/>
      </c>
      <c r="G714" s="95">
        <f>IF(PROGRAMA_DETALLE!AC14="PAGADO",PROGRAMA_DETALLE!Z14,0)</f>
        <v>0</v>
      </c>
      <c r="H714" s="95">
        <f>IF(OR(PROGRAMA_DETALLE!AC14="PENDIENTE",PROGRAMA_DETALLE!AC14="PARCIAL"),PROGRAMA_DETALLE!Z14,0)</f>
        <v>0</v>
      </c>
      <c r="I714" s="94" t="str">
        <f>IF(PROGRAMA_DETALLE!AC14="","",PROGRAMA_DETALLE!AC14)</f>
        <v/>
      </c>
    </row>
    <row r="715" ht="15.75" customHeight="1">
      <c r="A715" s="96" t="s">
        <v>236</v>
      </c>
      <c r="B715" s="93" t="str">
        <f>IF(PROGRAMA_DETALLE!Q15="","",PROGRAMA_DETALLE!Q15)</f>
        <v/>
      </c>
      <c r="C715" s="84" t="str">
        <f>IF(PROGRAMA_DETALLE!A15="","","Tintorería")</f>
        <v>Tintorería</v>
      </c>
      <c r="D715" s="94" t="str">
        <f>IF(PROGRAMA_DETALLE!AB15="","",PROGRAMA_DETALLE!AB15)</f>
        <v/>
      </c>
      <c r="E715" s="84" t="str">
        <f>IF(PROGRAMA_DETALLE!A15="","","Teñido "&amp;PROGRAMA_DETALLE!D15&amp;" "&amp;PROGRAMA_DETALLE!B15)</f>
        <v>Teñido PPT (perla/blanco) Perla</v>
      </c>
      <c r="F715" s="95" t="str">
        <f>IF(PROGRAMA_DETALLE!Z15=0,"",PROGRAMA_DETALLE!Z15)</f>
        <v/>
      </c>
      <c r="G715" s="95">
        <f>IF(PROGRAMA_DETALLE!AC15="PAGADO",PROGRAMA_DETALLE!Z15,0)</f>
        <v>0</v>
      </c>
      <c r="H715" s="95">
        <f>IF(OR(PROGRAMA_DETALLE!AC15="PENDIENTE",PROGRAMA_DETALLE!AC15="PARCIAL"),PROGRAMA_DETALLE!Z15,0)</f>
        <v>0</v>
      </c>
      <c r="I715" s="94" t="str">
        <f>IF(PROGRAMA_DETALLE!AC15="","",PROGRAMA_DETALLE!AC15)</f>
        <v/>
      </c>
    </row>
    <row r="716" ht="15.75" customHeight="1">
      <c r="A716" s="96" t="s">
        <v>236</v>
      </c>
      <c r="B716" s="93" t="str">
        <f>IF(PROGRAMA_DETALLE!Q16="","",PROGRAMA_DETALLE!Q16)</f>
        <v/>
      </c>
      <c r="C716" s="84" t="str">
        <f>IF(PROGRAMA_DETALLE!A16="","","Tintorería")</f>
        <v>Tintorería</v>
      </c>
      <c r="D716" s="94" t="str">
        <f>IF(PROGRAMA_DETALLE!AB16="","",PROGRAMA_DETALLE!AB16)</f>
        <v/>
      </c>
      <c r="E716" s="84" t="str">
        <f>IF(PROGRAMA_DETALLE!A16="","","Teñido "&amp;PROGRAMA_DETALLE!D16&amp;" "&amp;PROGRAMA_DETALLE!B16)</f>
        <v>Teñido REACTIVO (oscuros) Azul Marino</v>
      </c>
      <c r="F716" s="95" t="str">
        <f>IF(PROGRAMA_DETALLE!Z16=0,"",PROGRAMA_DETALLE!Z16)</f>
        <v/>
      </c>
      <c r="G716" s="95">
        <f>IF(PROGRAMA_DETALLE!AC16="PAGADO",PROGRAMA_DETALLE!Z16,0)</f>
        <v>0</v>
      </c>
      <c r="H716" s="95">
        <f>IF(OR(PROGRAMA_DETALLE!AC16="PENDIENTE",PROGRAMA_DETALLE!AC16="PARCIAL"),PROGRAMA_DETALLE!Z16,0)</f>
        <v>0</v>
      </c>
      <c r="I716" s="94" t="str">
        <f>IF(PROGRAMA_DETALLE!AC16="","",PROGRAMA_DETALLE!AC16)</f>
        <v/>
      </c>
    </row>
    <row r="717" ht="15.75" customHeight="1">
      <c r="A717" s="96" t="s">
        <v>236</v>
      </c>
      <c r="B717" s="93" t="str">
        <f>IF(PROGRAMA_DETALLE!Q17="","",PROGRAMA_DETALLE!Q17)</f>
        <v/>
      </c>
      <c r="C717" s="84" t="str">
        <f>IF(PROGRAMA_DETALLE!A17="","","Tintorería")</f>
        <v>Tintorería</v>
      </c>
      <c r="D717" s="94" t="str">
        <f>IF(PROGRAMA_DETALLE!AB17="","",PROGRAMA_DETALLE!AB17)</f>
        <v/>
      </c>
      <c r="E717" s="84" t="str">
        <f>IF(PROGRAMA_DETALLE!A17="","","Teñido "&amp;PROGRAMA_DETALLE!D17&amp;" "&amp;PROGRAMA_DETALLE!B17)</f>
        <v>Teñido REACTIVO (oscuros) Vino</v>
      </c>
      <c r="F717" s="95" t="str">
        <f>IF(PROGRAMA_DETALLE!Z17=0,"",PROGRAMA_DETALLE!Z17)</f>
        <v/>
      </c>
      <c r="G717" s="95">
        <f>IF(PROGRAMA_DETALLE!AC17="PAGADO",PROGRAMA_DETALLE!Z17,0)</f>
        <v>0</v>
      </c>
      <c r="H717" s="95">
        <f>IF(OR(PROGRAMA_DETALLE!AC17="PENDIENTE",PROGRAMA_DETALLE!AC17="PARCIAL"),PROGRAMA_DETALLE!Z17,0)</f>
        <v>0</v>
      </c>
      <c r="I717" s="94" t="str">
        <f>IF(PROGRAMA_DETALLE!AC17="","",PROGRAMA_DETALLE!AC17)</f>
        <v/>
      </c>
    </row>
    <row r="718" ht="15.75" customHeight="1">
      <c r="A718" s="96" t="s">
        <v>236</v>
      </c>
      <c r="B718" s="93" t="str">
        <f>IF(PROGRAMA_DETALLE!Q18="","",PROGRAMA_DETALLE!Q18)</f>
        <v/>
      </c>
      <c r="C718" s="84" t="str">
        <f>IF(PROGRAMA_DETALLE!A18="","","Tintorería")</f>
        <v>Tintorería</v>
      </c>
      <c r="D718" s="94" t="str">
        <f>IF(PROGRAMA_DETALLE!AB18="","",PROGRAMA_DETALLE!AB18)</f>
        <v/>
      </c>
      <c r="E718" s="84" t="str">
        <f>IF(PROGRAMA_DETALLE!A18="","","Teñido "&amp;PROGRAMA_DETALLE!D18&amp;" "&amp;PROGRAMA_DETALLE!B18)</f>
        <v>Teñido DIRECTO (claros) Denim</v>
      </c>
      <c r="F718" s="95" t="str">
        <f>IF(PROGRAMA_DETALLE!Z18=0,"",PROGRAMA_DETALLE!Z18)</f>
        <v/>
      </c>
      <c r="G718" s="95">
        <f>IF(PROGRAMA_DETALLE!AC18="PAGADO",PROGRAMA_DETALLE!Z18,0)</f>
        <v>0</v>
      </c>
      <c r="H718" s="95">
        <f>IF(OR(PROGRAMA_DETALLE!AC18="PENDIENTE",PROGRAMA_DETALLE!AC18="PARCIAL"),PROGRAMA_DETALLE!Z18,0)</f>
        <v>0</v>
      </c>
      <c r="I718" s="94" t="str">
        <f>IF(PROGRAMA_DETALLE!AC18="","",PROGRAMA_DETALLE!AC18)</f>
        <v/>
      </c>
    </row>
    <row r="719" ht="15.75" customHeight="1">
      <c r="A719" s="96" t="s">
        <v>236</v>
      </c>
      <c r="B719" s="93" t="str">
        <f>IF(PROGRAMA_DETALLE!Q19="","",PROGRAMA_DETALLE!Q19)</f>
        <v/>
      </c>
      <c r="C719" s="84" t="str">
        <f>IF(PROGRAMA_DETALLE!A19="","","Tintorería")</f>
        <v>Tintorería</v>
      </c>
      <c r="D719" s="94" t="str">
        <f>IF(PROGRAMA_DETALLE!AB19="","",PROGRAMA_DETALLE!AB19)</f>
        <v/>
      </c>
      <c r="E719" s="84" t="str">
        <f>IF(PROGRAMA_DETALLE!A19="","","Teñido "&amp;PROGRAMA_DETALLE!D19&amp;" "&amp;PROGRAMA_DETALLE!B19)</f>
        <v>Teñido DIRECTO (claros) Pacay</v>
      </c>
      <c r="F719" s="95" t="str">
        <f>IF(PROGRAMA_DETALLE!Z19=0,"",PROGRAMA_DETALLE!Z19)</f>
        <v/>
      </c>
      <c r="G719" s="95">
        <f>IF(PROGRAMA_DETALLE!AC19="PAGADO",PROGRAMA_DETALLE!Z19,0)</f>
        <v>0</v>
      </c>
      <c r="H719" s="95">
        <f>IF(OR(PROGRAMA_DETALLE!AC19="PENDIENTE",PROGRAMA_DETALLE!AC19="PARCIAL"),PROGRAMA_DETALLE!Z19,0)</f>
        <v>0</v>
      </c>
      <c r="I719" s="94" t="str">
        <f>IF(PROGRAMA_DETALLE!AC19="","",PROGRAMA_DETALLE!AC19)</f>
        <v/>
      </c>
    </row>
    <row r="720" ht="15.75" customHeight="1">
      <c r="A720" s="96" t="s">
        <v>236</v>
      </c>
      <c r="B720" s="93" t="str">
        <f>IF(PROGRAMA_DETALLE!Q20="","",PROGRAMA_DETALLE!Q20)</f>
        <v/>
      </c>
      <c r="C720" s="84" t="str">
        <f>IF(PROGRAMA_DETALLE!A20="","","Tintorería")</f>
        <v>Tintorería</v>
      </c>
      <c r="D720" s="94" t="str">
        <f>IF(PROGRAMA_DETALLE!AB20="","",PROGRAMA_DETALLE!AB20)</f>
        <v/>
      </c>
      <c r="E720" s="84" t="str">
        <f>IF(PROGRAMA_DETALLE!A20="","","Teñido "&amp;PROGRAMA_DETALLE!D20&amp;" "&amp;PROGRAMA_DETALLE!B20)</f>
        <v>Teñido DIRECTO (claros) Topo</v>
      </c>
      <c r="F720" s="95" t="str">
        <f>IF(PROGRAMA_DETALLE!Z20=0,"",PROGRAMA_DETALLE!Z20)</f>
        <v/>
      </c>
      <c r="G720" s="95">
        <f>IF(PROGRAMA_DETALLE!AC20="PAGADO",PROGRAMA_DETALLE!Z20,0)</f>
        <v>0</v>
      </c>
      <c r="H720" s="95">
        <f>IF(OR(PROGRAMA_DETALLE!AC20="PENDIENTE",PROGRAMA_DETALLE!AC20="PARCIAL"),PROGRAMA_DETALLE!Z20,0)</f>
        <v>0</v>
      </c>
      <c r="I720" s="94" t="str">
        <f>IF(PROGRAMA_DETALLE!AC20="","",PROGRAMA_DETALLE!AC20)</f>
        <v/>
      </c>
    </row>
    <row r="721" ht="15.75" customHeight="1">
      <c r="A721" s="96" t="s">
        <v>236</v>
      </c>
      <c r="B721" s="93" t="str">
        <f>IF(PROGRAMA_DETALLE!Q21="","",PROGRAMA_DETALLE!Q21)</f>
        <v/>
      </c>
      <c r="C721" s="84" t="str">
        <f>IF(PROGRAMA_DETALLE!A21="","","Tintorería")</f>
        <v>Tintorería</v>
      </c>
      <c r="D721" s="94" t="str">
        <f>IF(PROGRAMA_DETALLE!AB21="","",PROGRAMA_DETALLE!AB21)</f>
        <v/>
      </c>
      <c r="E721" s="84" t="str">
        <f>IF(PROGRAMA_DETALLE!A21="","","Teñido "&amp;PROGRAMA_DETALLE!D21&amp;" "&amp;PROGRAMA_DETALLE!B21)</f>
        <v>Teñido DIRECTO (claros) Palo Rosa</v>
      </c>
      <c r="F721" s="95" t="str">
        <f>IF(PROGRAMA_DETALLE!Z21=0,"",PROGRAMA_DETALLE!Z21)</f>
        <v/>
      </c>
      <c r="G721" s="95">
        <f>IF(PROGRAMA_DETALLE!AC21="PAGADO",PROGRAMA_DETALLE!Z21,0)</f>
        <v>0</v>
      </c>
      <c r="H721" s="95">
        <f>IF(OR(PROGRAMA_DETALLE!AC21="PENDIENTE",PROGRAMA_DETALLE!AC21="PARCIAL"),PROGRAMA_DETALLE!Z21,0)</f>
        <v>0</v>
      </c>
      <c r="I721" s="94" t="str">
        <f>IF(PROGRAMA_DETALLE!AC21="","",PROGRAMA_DETALLE!AC21)</f>
        <v/>
      </c>
    </row>
    <row r="722" ht="15.75" customHeight="1">
      <c r="A722" s="96" t="s">
        <v>236</v>
      </c>
      <c r="B722" s="93" t="str">
        <f>IF(PROGRAMA_DETALLE!Q22="","",PROGRAMA_DETALLE!Q22)</f>
        <v/>
      </c>
      <c r="C722" s="84" t="str">
        <f>IF(PROGRAMA_DETALLE!A22="","","Tintorería")</f>
        <v>Tintorería</v>
      </c>
      <c r="D722" s="94" t="str">
        <f>IF(PROGRAMA_DETALLE!AB22="","",PROGRAMA_DETALLE!AB22)</f>
        <v/>
      </c>
      <c r="E722" s="84" t="str">
        <f>IF(PROGRAMA_DETALLE!A22="","","Teñido "&amp;PROGRAMA_DETALLE!D22&amp;" "&amp;PROGRAMA_DETALLE!B22)</f>
        <v>Teñido DIRECTO (claros) Beige</v>
      </c>
      <c r="F722" s="95" t="str">
        <f>IF(PROGRAMA_DETALLE!Z22=0,"",PROGRAMA_DETALLE!Z22)</f>
        <v/>
      </c>
      <c r="G722" s="95">
        <f>IF(PROGRAMA_DETALLE!AC22="PAGADO",PROGRAMA_DETALLE!Z22,0)</f>
        <v>0</v>
      </c>
      <c r="H722" s="95">
        <f>IF(OR(PROGRAMA_DETALLE!AC22="PENDIENTE",PROGRAMA_DETALLE!AC22="PARCIAL"),PROGRAMA_DETALLE!Z22,0)</f>
        <v>0</v>
      </c>
      <c r="I722" s="94" t="str">
        <f>IF(PROGRAMA_DETALLE!AC22="","",PROGRAMA_DETALLE!AC22)</f>
        <v/>
      </c>
    </row>
    <row r="723" ht="15.75" customHeight="1">
      <c r="A723" s="96" t="s">
        <v>236</v>
      </c>
      <c r="B723" s="93" t="str">
        <f>IF(PROGRAMA_DETALLE!Q23="","",PROGRAMA_DETALLE!Q23)</f>
        <v/>
      </c>
      <c r="C723" s="84" t="str">
        <f>IF(PROGRAMA_DETALLE!A23="","","Tintorería")</f>
        <v/>
      </c>
      <c r="D723" s="94" t="str">
        <f>IF(PROGRAMA_DETALLE!AB23="","",PROGRAMA_DETALLE!AB23)</f>
        <v/>
      </c>
      <c r="E723" s="84" t="str">
        <f>IF(PROGRAMA_DETALLE!A23="","","Teñido "&amp;PROGRAMA_DETALLE!D23&amp;" "&amp;PROGRAMA_DETALLE!B23)</f>
        <v/>
      </c>
      <c r="F723" s="95" t="str">
        <f>IF(PROGRAMA_DETALLE!Z23=0,"",PROGRAMA_DETALLE!Z23)</f>
        <v/>
      </c>
      <c r="G723" s="95">
        <f>IF(PROGRAMA_DETALLE!AC23="PAGADO",PROGRAMA_DETALLE!Z23,0)</f>
        <v>0</v>
      </c>
      <c r="H723" s="95">
        <f>IF(OR(PROGRAMA_DETALLE!AC23="PENDIENTE",PROGRAMA_DETALLE!AC23="PARCIAL"),PROGRAMA_DETALLE!Z23,0)</f>
        <v>0</v>
      </c>
      <c r="I723" s="94" t="str">
        <f>IF(PROGRAMA_DETALLE!AC23="","",PROGRAMA_DETALLE!AC23)</f>
        <v/>
      </c>
    </row>
    <row r="724" ht="15.75" customHeight="1">
      <c r="A724" s="96" t="s">
        <v>236</v>
      </c>
      <c r="B724" s="93" t="str">
        <f>IF(PROGRAMA_DETALLE!Q24="","",PROGRAMA_DETALLE!Q24)</f>
        <v/>
      </c>
      <c r="C724" s="84" t="str">
        <f>IF(PROGRAMA_DETALLE!A24="","","Tintorería")</f>
        <v>Tintorería</v>
      </c>
      <c r="D724" s="94" t="str">
        <f>IF(PROGRAMA_DETALLE!AB24="","",PROGRAMA_DETALLE!AB24)</f>
        <v/>
      </c>
      <c r="E724" s="84" t="str">
        <f>IF(PROGRAMA_DETALLE!A24="","","Teñido "&amp;PROGRAMA_DETALLE!D24&amp;" "&amp;PROGRAMA_DETALLE!B24)</f>
        <v>Teñido REACTIVO (oscuros) Negro</v>
      </c>
      <c r="F724" s="95" t="str">
        <f>IF(PROGRAMA_DETALLE!Z24=0,"",PROGRAMA_DETALLE!Z24)</f>
        <v/>
      </c>
      <c r="G724" s="95">
        <f>IF(PROGRAMA_DETALLE!AC24="PAGADO",PROGRAMA_DETALLE!Z24,0)</f>
        <v>0</v>
      </c>
      <c r="H724" s="95">
        <f>IF(OR(PROGRAMA_DETALLE!AC24="PENDIENTE",PROGRAMA_DETALLE!AC24="PARCIAL"),PROGRAMA_DETALLE!Z24,0)</f>
        <v>0</v>
      </c>
      <c r="I724" s="94" t="str">
        <f>IF(PROGRAMA_DETALLE!AC24="","",PROGRAMA_DETALLE!AC24)</f>
        <v/>
      </c>
    </row>
    <row r="725" ht="15.75" customHeight="1">
      <c r="A725" s="96" t="s">
        <v>236</v>
      </c>
      <c r="B725" s="93" t="str">
        <f>IF(PROGRAMA_DETALLE!Q25="","",PROGRAMA_DETALLE!Q25)</f>
        <v/>
      </c>
      <c r="C725" s="84" t="str">
        <f>IF(PROGRAMA_DETALLE!A25="","","Tintorería")</f>
        <v>Tintorería</v>
      </c>
      <c r="D725" s="94" t="str">
        <f>IF(PROGRAMA_DETALLE!AB25="","",PROGRAMA_DETALLE!AB25)</f>
        <v/>
      </c>
      <c r="E725" s="84" t="str">
        <f>IF(PROGRAMA_DETALLE!A25="","","Teñido "&amp;PROGRAMA_DETALLE!D25&amp;" "&amp;PROGRAMA_DETALLE!B25)</f>
        <v>Teñido REACTIVO (oscuros) Negro</v>
      </c>
      <c r="F725" s="95" t="str">
        <f>IF(PROGRAMA_DETALLE!Z25=0,"",PROGRAMA_DETALLE!Z25)</f>
        <v/>
      </c>
      <c r="G725" s="95">
        <f>IF(PROGRAMA_DETALLE!AC25="PAGADO",PROGRAMA_DETALLE!Z25,0)</f>
        <v>0</v>
      </c>
      <c r="H725" s="95">
        <f>IF(OR(PROGRAMA_DETALLE!AC25="PENDIENTE",PROGRAMA_DETALLE!AC25="PARCIAL"),PROGRAMA_DETALLE!Z25,0)</f>
        <v>0</v>
      </c>
      <c r="I725" s="94" t="str">
        <f>IF(PROGRAMA_DETALLE!AC25="","",PROGRAMA_DETALLE!AC25)</f>
        <v/>
      </c>
    </row>
    <row r="726" ht="15.75" customHeight="1">
      <c r="A726" s="96" t="s">
        <v>236</v>
      </c>
      <c r="B726" s="93" t="str">
        <f>IF(PROGRAMA_DETALLE!Q26="","",PROGRAMA_DETALLE!Q26)</f>
        <v/>
      </c>
      <c r="C726" s="84" t="str">
        <f>IF(PROGRAMA_DETALLE!A26="","","Tintorería")</f>
        <v>Tintorería</v>
      </c>
      <c r="D726" s="94" t="str">
        <f>IF(PROGRAMA_DETALLE!AB26="","",PROGRAMA_DETALLE!AB26)</f>
        <v/>
      </c>
      <c r="E726" s="84" t="str">
        <f>IF(PROGRAMA_DETALLE!A26="","","Teñido "&amp;PROGRAMA_DETALLE!D26&amp;" "&amp;PROGRAMA_DETALLE!B26)</f>
        <v>Teñido REACTIVO (oscuros) Perla</v>
      </c>
      <c r="F726" s="95" t="str">
        <f>IF(PROGRAMA_DETALLE!Z26=0,"",PROGRAMA_DETALLE!Z26)</f>
        <v/>
      </c>
      <c r="G726" s="95">
        <f>IF(PROGRAMA_DETALLE!AC26="PAGADO",PROGRAMA_DETALLE!Z26,0)</f>
        <v>0</v>
      </c>
      <c r="H726" s="95">
        <f>IF(OR(PROGRAMA_DETALLE!AC26="PENDIENTE",PROGRAMA_DETALLE!AC26="PARCIAL"),PROGRAMA_DETALLE!Z26,0)</f>
        <v>0</v>
      </c>
      <c r="I726" s="94" t="str">
        <f>IF(PROGRAMA_DETALLE!AC26="","",PROGRAMA_DETALLE!AC26)</f>
        <v/>
      </c>
    </row>
    <row r="727" ht="15.75" customHeight="1">
      <c r="A727" s="96" t="s">
        <v>236</v>
      </c>
      <c r="B727" s="93" t="str">
        <f>IF(PROGRAMA_DETALLE!Q27="","",PROGRAMA_DETALLE!Q27)</f>
        <v/>
      </c>
      <c r="C727" s="84" t="str">
        <f>IF(PROGRAMA_DETALLE!A27="","","Tintorería")</f>
        <v>Tintorería</v>
      </c>
      <c r="D727" s="94" t="str">
        <f>IF(PROGRAMA_DETALLE!AB27="","",PROGRAMA_DETALLE!AB27)</f>
        <v/>
      </c>
      <c r="E727" s="84" t="str">
        <f>IF(PROGRAMA_DETALLE!A27="","","Teñido "&amp;PROGRAMA_DETALLE!D27&amp;" "&amp;PROGRAMA_DETALLE!B27)</f>
        <v>Teñido REACTIVO (oscuros) Perla</v>
      </c>
      <c r="F727" s="95" t="str">
        <f>IF(PROGRAMA_DETALLE!Z27=0,"",PROGRAMA_DETALLE!Z27)</f>
        <v/>
      </c>
      <c r="G727" s="95">
        <f>IF(PROGRAMA_DETALLE!AC27="PAGADO",PROGRAMA_DETALLE!Z27,0)</f>
        <v>0</v>
      </c>
      <c r="H727" s="95">
        <f>IF(OR(PROGRAMA_DETALLE!AC27="PENDIENTE",PROGRAMA_DETALLE!AC27="PARCIAL"),PROGRAMA_DETALLE!Z27,0)</f>
        <v>0</v>
      </c>
      <c r="I727" s="94" t="str">
        <f>IF(PROGRAMA_DETALLE!AC27="","",PROGRAMA_DETALLE!AC27)</f>
        <v/>
      </c>
    </row>
    <row r="728" ht="15.75" customHeight="1">
      <c r="A728" s="96" t="s">
        <v>236</v>
      </c>
      <c r="B728" s="93" t="str">
        <f>IF(PROGRAMA_DETALLE!Q28="","",PROGRAMA_DETALLE!Q28)</f>
        <v/>
      </c>
      <c r="C728" s="84" t="str">
        <f>IF(PROGRAMA_DETALLE!A28="","","Tintorería")</f>
        <v>Tintorería</v>
      </c>
      <c r="D728" s="94" t="str">
        <f>IF(PROGRAMA_DETALLE!AB28="","",PROGRAMA_DETALLE!AB28)</f>
        <v/>
      </c>
      <c r="E728" s="84" t="str">
        <f>IF(PROGRAMA_DETALLE!A28="","","Teñido "&amp;PROGRAMA_DETALLE!D28&amp;" "&amp;PROGRAMA_DETALLE!B28)</f>
        <v>Teñido  Beige</v>
      </c>
      <c r="F728" s="95" t="str">
        <f>IF(PROGRAMA_DETALLE!Z28=0,"",PROGRAMA_DETALLE!Z28)</f>
        <v/>
      </c>
      <c r="G728" s="95">
        <f>IF(PROGRAMA_DETALLE!AC28="PAGADO",PROGRAMA_DETALLE!Z28,0)</f>
        <v>0</v>
      </c>
      <c r="H728" s="95">
        <f>IF(OR(PROGRAMA_DETALLE!AC28="PENDIENTE",PROGRAMA_DETALLE!AC28="PARCIAL"),PROGRAMA_DETALLE!Z28,0)</f>
        <v>0</v>
      </c>
      <c r="I728" s="94" t="str">
        <f>IF(PROGRAMA_DETALLE!AC28="","",PROGRAMA_DETALLE!AC28)</f>
        <v/>
      </c>
    </row>
    <row r="729" ht="15.75" customHeight="1">
      <c r="A729" s="96" t="s">
        <v>236</v>
      </c>
      <c r="B729" s="93" t="str">
        <f>IF(PROGRAMA_DETALLE!Q29="","",PROGRAMA_DETALLE!Q29)</f>
        <v/>
      </c>
      <c r="C729" s="84" t="str">
        <f>IF(PROGRAMA_DETALLE!A29="","","Tintorería")</f>
        <v>Tintorería</v>
      </c>
      <c r="D729" s="94" t="str">
        <f>IF(PROGRAMA_DETALLE!AB29="","",PROGRAMA_DETALLE!AB29)</f>
        <v/>
      </c>
      <c r="E729" s="84" t="str">
        <f>IF(PROGRAMA_DETALLE!A29="","","Teñido "&amp;PROGRAMA_DETALLE!D29&amp;" "&amp;PROGRAMA_DETALLE!B29)</f>
        <v>Teñido  Beige</v>
      </c>
      <c r="F729" s="95" t="str">
        <f>IF(PROGRAMA_DETALLE!Z29=0,"",PROGRAMA_DETALLE!Z29)</f>
        <v/>
      </c>
      <c r="G729" s="95">
        <f>IF(PROGRAMA_DETALLE!AC29="PAGADO",PROGRAMA_DETALLE!Z29,0)</f>
        <v>0</v>
      </c>
      <c r="H729" s="95">
        <f>IF(OR(PROGRAMA_DETALLE!AC29="PENDIENTE",PROGRAMA_DETALLE!AC29="PARCIAL"),PROGRAMA_DETALLE!Z29,0)</f>
        <v>0</v>
      </c>
      <c r="I729" s="94" t="str">
        <f>IF(PROGRAMA_DETALLE!AC29="","",PROGRAMA_DETALLE!AC29)</f>
        <v/>
      </c>
    </row>
    <row r="730" ht="15.75" customHeight="1">
      <c r="A730" s="96" t="s">
        <v>236</v>
      </c>
      <c r="B730" s="93" t="str">
        <f>IF(PROGRAMA_DETALLE!Q30="","",PROGRAMA_DETALLE!Q30)</f>
        <v/>
      </c>
      <c r="C730" s="84" t="str">
        <f>IF(PROGRAMA_DETALLE!A30="","","Tintorería")</f>
        <v>Tintorería</v>
      </c>
      <c r="D730" s="94" t="str">
        <f>IF(PROGRAMA_DETALLE!AB30="","",PROGRAMA_DETALLE!AB30)</f>
        <v/>
      </c>
      <c r="E730" s="84" t="str">
        <f>IF(PROGRAMA_DETALLE!A30="","","Teñido "&amp;PROGRAMA_DETALLE!D30&amp;" "&amp;PROGRAMA_DETALLE!B30)</f>
        <v>Teñido  Acero</v>
      </c>
      <c r="F730" s="95" t="str">
        <f>IF(PROGRAMA_DETALLE!Z30=0,"",PROGRAMA_DETALLE!Z30)</f>
        <v/>
      </c>
      <c r="G730" s="95">
        <f>IF(PROGRAMA_DETALLE!AC30="PAGADO",PROGRAMA_DETALLE!Z30,0)</f>
        <v>0</v>
      </c>
      <c r="H730" s="95">
        <f>IF(OR(PROGRAMA_DETALLE!AC30="PENDIENTE",PROGRAMA_DETALLE!AC30="PARCIAL"),PROGRAMA_DETALLE!Z30,0)</f>
        <v>0</v>
      </c>
      <c r="I730" s="94" t="str">
        <f>IF(PROGRAMA_DETALLE!AC30="","",PROGRAMA_DETALLE!AC30)</f>
        <v/>
      </c>
    </row>
    <row r="731" ht="15.75" customHeight="1">
      <c r="A731" s="96" t="s">
        <v>236</v>
      </c>
      <c r="B731" s="93" t="str">
        <f>IF(PROGRAMA_DETALLE!Q31="","",PROGRAMA_DETALLE!Q31)</f>
        <v/>
      </c>
      <c r="C731" s="84" t="str">
        <f>IF(PROGRAMA_DETALLE!A31="","","Tintorería")</f>
        <v>Tintorería</v>
      </c>
      <c r="D731" s="94" t="str">
        <f>IF(PROGRAMA_DETALLE!AB31="","",PROGRAMA_DETALLE!AB31)</f>
        <v/>
      </c>
      <c r="E731" s="84" t="str">
        <f>IF(PROGRAMA_DETALLE!A31="","","Teñido "&amp;PROGRAMA_DETALLE!D31&amp;" "&amp;PROGRAMA_DETALLE!B31)</f>
        <v>Teñido  Acero</v>
      </c>
      <c r="F731" s="95" t="str">
        <f>IF(PROGRAMA_DETALLE!Z31=0,"",PROGRAMA_DETALLE!Z31)</f>
        <v/>
      </c>
      <c r="G731" s="95">
        <f>IF(PROGRAMA_DETALLE!AC31="PAGADO",PROGRAMA_DETALLE!Z31,0)</f>
        <v>0</v>
      </c>
      <c r="H731" s="95">
        <f>IF(OR(PROGRAMA_DETALLE!AC31="PENDIENTE",PROGRAMA_DETALLE!AC31="PARCIAL"),PROGRAMA_DETALLE!Z31,0)</f>
        <v>0</v>
      </c>
      <c r="I731" s="94" t="str">
        <f>IF(PROGRAMA_DETALLE!AC31="","",PROGRAMA_DETALLE!AC31)</f>
        <v/>
      </c>
    </row>
    <row r="732" ht="15.75" customHeight="1">
      <c r="A732" s="96" t="s">
        <v>236</v>
      </c>
      <c r="B732" s="93" t="str">
        <f>IF(PROGRAMA_DETALLE!Q32="","",PROGRAMA_DETALLE!Q32)</f>
        <v/>
      </c>
      <c r="C732" s="84" t="str">
        <f>IF(PROGRAMA_DETALLE!A32="","","Tintorería")</f>
        <v/>
      </c>
      <c r="D732" s="94" t="str">
        <f>IF(PROGRAMA_DETALLE!AB32="","",PROGRAMA_DETALLE!AB32)</f>
        <v/>
      </c>
      <c r="E732" s="84" t="str">
        <f>IF(PROGRAMA_DETALLE!A32="","","Teñido "&amp;PROGRAMA_DETALLE!D32&amp;" "&amp;PROGRAMA_DETALLE!B32)</f>
        <v/>
      </c>
      <c r="F732" s="95" t="str">
        <f>IF(PROGRAMA_DETALLE!Z32=0,"",PROGRAMA_DETALLE!Z32)</f>
        <v/>
      </c>
      <c r="G732" s="95">
        <f>IF(PROGRAMA_DETALLE!AC32="PAGADO",PROGRAMA_DETALLE!Z32,0)</f>
        <v>0</v>
      </c>
      <c r="H732" s="95">
        <f>IF(OR(PROGRAMA_DETALLE!AC32="PENDIENTE",PROGRAMA_DETALLE!AC32="PARCIAL"),PROGRAMA_DETALLE!Z32,0)</f>
        <v>0</v>
      </c>
      <c r="I732" s="94" t="str">
        <f>IF(PROGRAMA_DETALLE!AC32="","",PROGRAMA_DETALLE!AC32)</f>
        <v/>
      </c>
    </row>
    <row r="733" ht="15.75" customHeight="1">
      <c r="A733" s="96" t="s">
        <v>236</v>
      </c>
      <c r="B733" s="93" t="str">
        <f>IF(PROGRAMA_DETALLE!Q33="","",PROGRAMA_DETALLE!Q33)</f>
        <v/>
      </c>
      <c r="C733" s="84" t="str">
        <f>IF(PROGRAMA_DETALLE!A33="","","Tintorería")</f>
        <v/>
      </c>
      <c r="D733" s="94" t="str">
        <f>IF(PROGRAMA_DETALLE!AB33="","",PROGRAMA_DETALLE!AB33)</f>
        <v/>
      </c>
      <c r="E733" s="84" t="str">
        <f>IF(PROGRAMA_DETALLE!A33="","","Teñido "&amp;PROGRAMA_DETALLE!D33&amp;" "&amp;PROGRAMA_DETALLE!B33)</f>
        <v/>
      </c>
      <c r="F733" s="95" t="str">
        <f>IF(PROGRAMA_DETALLE!Z33=0,"",PROGRAMA_DETALLE!Z33)</f>
        <v/>
      </c>
      <c r="G733" s="95">
        <f>IF(PROGRAMA_DETALLE!AC33="PAGADO",PROGRAMA_DETALLE!Z33,0)</f>
        <v>0</v>
      </c>
      <c r="H733" s="95">
        <f>IF(OR(PROGRAMA_DETALLE!AC33="PENDIENTE",PROGRAMA_DETALLE!AC33="PARCIAL"),PROGRAMA_DETALLE!Z33,0)</f>
        <v>0</v>
      </c>
      <c r="I733" s="94" t="str">
        <f>IF(PROGRAMA_DETALLE!AC33="","",PROGRAMA_DETALLE!AC33)</f>
        <v/>
      </c>
    </row>
    <row r="734" ht="15.75" customHeight="1">
      <c r="A734" s="96" t="s">
        <v>236</v>
      </c>
      <c r="B734" s="93" t="str">
        <f>IF(PROGRAMA_DETALLE!Q34="","",PROGRAMA_DETALLE!Q34)</f>
        <v/>
      </c>
      <c r="C734" s="84" t="str">
        <f>IF(PROGRAMA_DETALLE!A34="","","Tintorería")</f>
        <v/>
      </c>
      <c r="D734" s="94" t="str">
        <f>IF(PROGRAMA_DETALLE!AB34="","",PROGRAMA_DETALLE!AB34)</f>
        <v/>
      </c>
      <c r="E734" s="84" t="str">
        <f>IF(PROGRAMA_DETALLE!A34="","","Teñido "&amp;PROGRAMA_DETALLE!D34&amp;" "&amp;PROGRAMA_DETALLE!B34)</f>
        <v/>
      </c>
      <c r="F734" s="95" t="str">
        <f>IF(PROGRAMA_DETALLE!Z34=0,"",PROGRAMA_DETALLE!Z34)</f>
        <v/>
      </c>
      <c r="G734" s="95">
        <f>IF(PROGRAMA_DETALLE!AC34="PAGADO",PROGRAMA_DETALLE!Z34,0)</f>
        <v>0</v>
      </c>
      <c r="H734" s="95">
        <f>IF(OR(PROGRAMA_DETALLE!AC34="PENDIENTE",PROGRAMA_DETALLE!AC34="PARCIAL"),PROGRAMA_DETALLE!Z34,0)</f>
        <v>0</v>
      </c>
      <c r="I734" s="94" t="str">
        <f>IF(PROGRAMA_DETALLE!AC34="","",PROGRAMA_DETALLE!AC34)</f>
        <v/>
      </c>
    </row>
    <row r="735" ht="15.75" customHeight="1">
      <c r="A735" s="96" t="s">
        <v>236</v>
      </c>
      <c r="B735" s="93" t="str">
        <f>IF(PROGRAMA_DETALLE!Q35="","",PROGRAMA_DETALLE!Q35)</f>
        <v/>
      </c>
      <c r="C735" s="84" t="str">
        <f>IF(PROGRAMA_DETALLE!A35="","","Tintorería")</f>
        <v/>
      </c>
      <c r="D735" s="94" t="str">
        <f>IF(PROGRAMA_DETALLE!AB35="","",PROGRAMA_DETALLE!AB35)</f>
        <v/>
      </c>
      <c r="E735" s="84" t="str">
        <f>IF(PROGRAMA_DETALLE!A35="","","Teñido "&amp;PROGRAMA_DETALLE!D35&amp;" "&amp;PROGRAMA_DETALLE!B35)</f>
        <v/>
      </c>
      <c r="F735" s="95" t="str">
        <f>IF(PROGRAMA_DETALLE!Z35=0,"",PROGRAMA_DETALLE!Z35)</f>
        <v/>
      </c>
      <c r="G735" s="95">
        <f>IF(PROGRAMA_DETALLE!AC35="PAGADO",PROGRAMA_DETALLE!Z35,0)</f>
        <v>0</v>
      </c>
      <c r="H735" s="95">
        <f>IF(OR(PROGRAMA_DETALLE!AC35="PENDIENTE",PROGRAMA_DETALLE!AC35="PARCIAL"),PROGRAMA_DETALLE!Z35,0)</f>
        <v>0</v>
      </c>
      <c r="I735" s="94" t="str">
        <f>IF(PROGRAMA_DETALLE!AC35="","",PROGRAMA_DETALLE!AC35)</f>
        <v/>
      </c>
    </row>
    <row r="736" ht="15.75" customHeight="1">
      <c r="A736" s="96" t="s">
        <v>236</v>
      </c>
      <c r="B736" s="93" t="str">
        <f>IF(PROGRAMA_DETALLE!Q36="","",PROGRAMA_DETALLE!Q36)</f>
        <v/>
      </c>
      <c r="C736" s="84" t="str">
        <f>IF(PROGRAMA_DETALLE!A36="","","Tintorería")</f>
        <v/>
      </c>
      <c r="D736" s="94" t="str">
        <f>IF(PROGRAMA_DETALLE!AB36="","",PROGRAMA_DETALLE!AB36)</f>
        <v/>
      </c>
      <c r="E736" s="84" t="str">
        <f>IF(PROGRAMA_DETALLE!A36="","","Teñido "&amp;PROGRAMA_DETALLE!D36&amp;" "&amp;PROGRAMA_DETALLE!B36)</f>
        <v/>
      </c>
      <c r="F736" s="95" t="str">
        <f>IF(PROGRAMA_DETALLE!Z36=0,"",PROGRAMA_DETALLE!Z36)</f>
        <v/>
      </c>
      <c r="G736" s="95">
        <f>IF(PROGRAMA_DETALLE!AC36="PAGADO",PROGRAMA_DETALLE!Z36,0)</f>
        <v>0</v>
      </c>
      <c r="H736" s="95">
        <f>IF(OR(PROGRAMA_DETALLE!AC36="PENDIENTE",PROGRAMA_DETALLE!AC36="PARCIAL"),PROGRAMA_DETALLE!Z36,0)</f>
        <v>0</v>
      </c>
      <c r="I736" s="94" t="str">
        <f>IF(PROGRAMA_DETALLE!AC36="","",PROGRAMA_DETALLE!AC36)</f>
        <v/>
      </c>
    </row>
    <row r="737" ht="15.75" customHeight="1">
      <c r="A737" s="96" t="s">
        <v>236</v>
      </c>
      <c r="B737" s="93" t="str">
        <f>IF(PROGRAMA_DETALLE!Q37="","",PROGRAMA_DETALLE!Q37)</f>
        <v/>
      </c>
      <c r="C737" s="84" t="str">
        <f>IF(PROGRAMA_DETALLE!A37="","","Tintorería")</f>
        <v/>
      </c>
      <c r="D737" s="94" t="str">
        <f>IF(PROGRAMA_DETALLE!AB37="","",PROGRAMA_DETALLE!AB37)</f>
        <v/>
      </c>
      <c r="E737" s="84" t="str">
        <f>IF(PROGRAMA_DETALLE!A37="","","Teñido "&amp;PROGRAMA_DETALLE!D37&amp;" "&amp;PROGRAMA_DETALLE!B37)</f>
        <v/>
      </c>
      <c r="F737" s="95" t="str">
        <f>IF(PROGRAMA_DETALLE!Z37=0,"",PROGRAMA_DETALLE!Z37)</f>
        <v/>
      </c>
      <c r="G737" s="95">
        <f>IF(PROGRAMA_DETALLE!AC37="PAGADO",PROGRAMA_DETALLE!Z37,0)</f>
        <v>0</v>
      </c>
      <c r="H737" s="95">
        <f>IF(OR(PROGRAMA_DETALLE!AC37="PENDIENTE",PROGRAMA_DETALLE!AC37="PARCIAL"),PROGRAMA_DETALLE!Z37,0)</f>
        <v>0</v>
      </c>
      <c r="I737" s="94" t="str">
        <f>IF(PROGRAMA_DETALLE!AC37="","",PROGRAMA_DETALLE!AC37)</f>
        <v/>
      </c>
    </row>
    <row r="738" ht="15.75" customHeight="1">
      <c r="A738" s="96" t="s">
        <v>236</v>
      </c>
      <c r="B738" s="93" t="str">
        <f>IF(PROGRAMA_DETALLE!Q38="","",PROGRAMA_DETALLE!Q38)</f>
        <v/>
      </c>
      <c r="C738" s="84" t="str">
        <f>IF(PROGRAMA_DETALLE!A38="","","Tintorería")</f>
        <v/>
      </c>
      <c r="D738" s="94" t="str">
        <f>IF(PROGRAMA_DETALLE!AB38="","",PROGRAMA_DETALLE!AB38)</f>
        <v/>
      </c>
      <c r="E738" s="84" t="str">
        <f>IF(PROGRAMA_DETALLE!A38="","","Teñido "&amp;PROGRAMA_DETALLE!D38&amp;" "&amp;PROGRAMA_DETALLE!B38)</f>
        <v/>
      </c>
      <c r="F738" s="95" t="str">
        <f>IF(PROGRAMA_DETALLE!Z38=0,"",PROGRAMA_DETALLE!Z38)</f>
        <v/>
      </c>
      <c r="G738" s="95">
        <f>IF(PROGRAMA_DETALLE!AC38="PAGADO",PROGRAMA_DETALLE!Z38,0)</f>
        <v>0</v>
      </c>
      <c r="H738" s="95">
        <f>IF(OR(PROGRAMA_DETALLE!AC38="PENDIENTE",PROGRAMA_DETALLE!AC38="PARCIAL"),PROGRAMA_DETALLE!Z38,0)</f>
        <v>0</v>
      </c>
      <c r="I738" s="94" t="str">
        <f>IF(PROGRAMA_DETALLE!AC38="","",PROGRAMA_DETALLE!AC38)</f>
        <v/>
      </c>
    </row>
    <row r="739" ht="15.75" customHeight="1">
      <c r="A739" s="96" t="s">
        <v>236</v>
      </c>
      <c r="B739" s="93" t="str">
        <f>IF(PROGRAMA_DETALLE!Q39="","",PROGRAMA_DETALLE!Q39)</f>
        <v/>
      </c>
      <c r="C739" s="84" t="str">
        <f>IF(PROGRAMA_DETALLE!A39="","","Tintorería")</f>
        <v/>
      </c>
      <c r="D739" s="94" t="str">
        <f>IF(PROGRAMA_DETALLE!AB39="","",PROGRAMA_DETALLE!AB39)</f>
        <v/>
      </c>
      <c r="E739" s="84" t="str">
        <f>IF(PROGRAMA_DETALLE!A39="","","Teñido "&amp;PROGRAMA_DETALLE!D39&amp;" "&amp;PROGRAMA_DETALLE!B39)</f>
        <v/>
      </c>
      <c r="F739" s="95" t="str">
        <f>IF(PROGRAMA_DETALLE!Z39=0,"",PROGRAMA_DETALLE!Z39)</f>
        <v/>
      </c>
      <c r="G739" s="95">
        <f>IF(PROGRAMA_DETALLE!AC39="PAGADO",PROGRAMA_DETALLE!Z39,0)</f>
        <v>0</v>
      </c>
      <c r="H739" s="95">
        <f>IF(OR(PROGRAMA_DETALLE!AC39="PENDIENTE",PROGRAMA_DETALLE!AC39="PARCIAL"),PROGRAMA_DETALLE!Z39,0)</f>
        <v>0</v>
      </c>
      <c r="I739" s="94" t="str">
        <f>IF(PROGRAMA_DETALLE!AC39="","",PROGRAMA_DETALLE!AC39)</f>
        <v/>
      </c>
    </row>
    <row r="740" ht="15.75" customHeight="1">
      <c r="A740" s="96" t="s">
        <v>236</v>
      </c>
      <c r="B740" s="93" t="str">
        <f>IF(PROGRAMA_DETALLE!Q40="","",PROGRAMA_DETALLE!Q40)</f>
        <v/>
      </c>
      <c r="C740" s="84" t="str">
        <f>IF(PROGRAMA_DETALLE!A40="","","Tintorería")</f>
        <v/>
      </c>
      <c r="D740" s="94" t="str">
        <f>IF(PROGRAMA_DETALLE!AB40="","",PROGRAMA_DETALLE!AB40)</f>
        <v/>
      </c>
      <c r="E740" s="84" t="str">
        <f>IF(PROGRAMA_DETALLE!A40="","","Teñido "&amp;PROGRAMA_DETALLE!D40&amp;" "&amp;PROGRAMA_DETALLE!B40)</f>
        <v/>
      </c>
      <c r="F740" s="95" t="str">
        <f>IF(PROGRAMA_DETALLE!Z40=0,"",PROGRAMA_DETALLE!Z40)</f>
        <v/>
      </c>
      <c r="G740" s="95">
        <f>IF(PROGRAMA_DETALLE!AC40="PAGADO",PROGRAMA_DETALLE!Z40,0)</f>
        <v>0</v>
      </c>
      <c r="H740" s="95">
        <f>IF(OR(PROGRAMA_DETALLE!AC40="PENDIENTE",PROGRAMA_DETALLE!AC40="PARCIAL"),PROGRAMA_DETALLE!Z40,0)</f>
        <v>0</v>
      </c>
      <c r="I740" s="94" t="str">
        <f>IF(PROGRAMA_DETALLE!AC40="","",PROGRAMA_DETALLE!AC40)</f>
        <v/>
      </c>
    </row>
    <row r="741" ht="15.75" customHeight="1">
      <c r="A741" s="96" t="s">
        <v>236</v>
      </c>
      <c r="B741" s="93" t="str">
        <f>IF(PROGRAMA_DETALLE!Q41="","",PROGRAMA_DETALLE!Q41)</f>
        <v/>
      </c>
      <c r="C741" s="84" t="str">
        <f>IF(PROGRAMA_DETALLE!A41="","","Tintorería")</f>
        <v/>
      </c>
      <c r="D741" s="94" t="str">
        <f>IF(PROGRAMA_DETALLE!AB41="","",PROGRAMA_DETALLE!AB41)</f>
        <v/>
      </c>
      <c r="E741" s="84" t="str">
        <f>IF(PROGRAMA_DETALLE!A41="","","Teñido "&amp;PROGRAMA_DETALLE!D41&amp;" "&amp;PROGRAMA_DETALLE!B41)</f>
        <v/>
      </c>
      <c r="F741" s="95" t="str">
        <f>IF(PROGRAMA_DETALLE!Z41=0,"",PROGRAMA_DETALLE!Z41)</f>
        <v/>
      </c>
      <c r="G741" s="95">
        <f>IF(PROGRAMA_DETALLE!AC41="PAGADO",PROGRAMA_DETALLE!Z41,0)</f>
        <v>0</v>
      </c>
      <c r="H741" s="95">
        <f>IF(OR(PROGRAMA_DETALLE!AC41="PENDIENTE",PROGRAMA_DETALLE!AC41="PARCIAL"),PROGRAMA_DETALLE!Z41,0)</f>
        <v>0</v>
      </c>
      <c r="I741" s="94" t="str">
        <f>IF(PROGRAMA_DETALLE!AC41="","",PROGRAMA_DETALLE!AC41)</f>
        <v/>
      </c>
    </row>
    <row r="742" ht="15.75" customHeight="1">
      <c r="A742" s="96" t="s">
        <v>236</v>
      </c>
      <c r="B742" s="93" t="str">
        <f>IF(PROGRAMA_DETALLE!Q42="","",PROGRAMA_DETALLE!Q42)</f>
        <v/>
      </c>
      <c r="C742" s="84" t="str">
        <f>IF(PROGRAMA_DETALLE!A42="","","Tintorería")</f>
        <v/>
      </c>
      <c r="D742" s="94" t="str">
        <f>IF(PROGRAMA_DETALLE!AB42="","",PROGRAMA_DETALLE!AB42)</f>
        <v/>
      </c>
      <c r="E742" s="84" t="str">
        <f>IF(PROGRAMA_DETALLE!A42="","","Teñido "&amp;PROGRAMA_DETALLE!D42&amp;" "&amp;PROGRAMA_DETALLE!B42)</f>
        <v/>
      </c>
      <c r="F742" s="95" t="str">
        <f>IF(PROGRAMA_DETALLE!Z42=0,"",PROGRAMA_DETALLE!Z42)</f>
        <v/>
      </c>
      <c r="G742" s="95">
        <f>IF(PROGRAMA_DETALLE!AC42="PAGADO",PROGRAMA_DETALLE!Z42,0)</f>
        <v>0</v>
      </c>
      <c r="H742" s="95">
        <f>IF(OR(PROGRAMA_DETALLE!AC42="PENDIENTE",PROGRAMA_DETALLE!AC42="PARCIAL"),PROGRAMA_DETALLE!Z42,0)</f>
        <v>0</v>
      </c>
      <c r="I742" s="94" t="str">
        <f>IF(PROGRAMA_DETALLE!AC42="","",PROGRAMA_DETALLE!AC42)</f>
        <v/>
      </c>
    </row>
    <row r="743" ht="15.75" customHeight="1">
      <c r="A743" s="96" t="s">
        <v>236</v>
      </c>
      <c r="B743" s="93" t="str">
        <f>IF(PROGRAMA_DETALLE!Q43="","",PROGRAMA_DETALLE!Q43)</f>
        <v/>
      </c>
      <c r="C743" s="84" t="str">
        <f>IF(PROGRAMA_DETALLE!A43="","","Tintorería")</f>
        <v/>
      </c>
      <c r="D743" s="94" t="str">
        <f>IF(PROGRAMA_DETALLE!AB43="","",PROGRAMA_DETALLE!AB43)</f>
        <v/>
      </c>
      <c r="E743" s="84" t="str">
        <f>IF(PROGRAMA_DETALLE!A43="","","Teñido "&amp;PROGRAMA_DETALLE!D43&amp;" "&amp;PROGRAMA_DETALLE!B43)</f>
        <v/>
      </c>
      <c r="F743" s="95" t="str">
        <f>IF(PROGRAMA_DETALLE!Z43=0,"",PROGRAMA_DETALLE!Z43)</f>
        <v/>
      </c>
      <c r="G743" s="95">
        <f>IF(PROGRAMA_DETALLE!AC43="PAGADO",PROGRAMA_DETALLE!Z43,0)</f>
        <v>0</v>
      </c>
      <c r="H743" s="95">
        <f>IF(OR(PROGRAMA_DETALLE!AC43="PENDIENTE",PROGRAMA_DETALLE!AC43="PARCIAL"),PROGRAMA_DETALLE!Z43,0)</f>
        <v>0</v>
      </c>
      <c r="I743" s="94" t="str">
        <f>IF(PROGRAMA_DETALLE!AC43="","",PROGRAMA_DETALLE!AC43)</f>
        <v/>
      </c>
    </row>
    <row r="744" ht="15.75" customHeight="1">
      <c r="A744" s="96" t="s">
        <v>236</v>
      </c>
      <c r="B744" s="93" t="str">
        <f>IF(PROGRAMA_DETALLE!Q44="","",PROGRAMA_DETALLE!Q44)</f>
        <v/>
      </c>
      <c r="C744" s="84" t="str">
        <f>IF(PROGRAMA_DETALLE!A44="","","Tintorería")</f>
        <v/>
      </c>
      <c r="D744" s="94" t="str">
        <f>IF(PROGRAMA_DETALLE!AB44="","",PROGRAMA_DETALLE!AB44)</f>
        <v/>
      </c>
      <c r="E744" s="84" t="str">
        <f>IF(PROGRAMA_DETALLE!A44="","","Teñido "&amp;PROGRAMA_DETALLE!D44&amp;" "&amp;PROGRAMA_DETALLE!B44)</f>
        <v/>
      </c>
      <c r="F744" s="95" t="str">
        <f>IF(PROGRAMA_DETALLE!Z44=0,"",PROGRAMA_DETALLE!Z44)</f>
        <v/>
      </c>
      <c r="G744" s="95">
        <f>IF(PROGRAMA_DETALLE!AC44="PAGADO",PROGRAMA_DETALLE!Z44,0)</f>
        <v>0</v>
      </c>
      <c r="H744" s="95">
        <f>IF(OR(PROGRAMA_DETALLE!AC44="PENDIENTE",PROGRAMA_DETALLE!AC44="PARCIAL"),PROGRAMA_DETALLE!Z44,0)</f>
        <v>0</v>
      </c>
      <c r="I744" s="94" t="str">
        <f>IF(PROGRAMA_DETALLE!AC44="","",PROGRAMA_DETALLE!AC44)</f>
        <v/>
      </c>
    </row>
    <row r="745" ht="15.75" customHeight="1">
      <c r="A745" s="96" t="s">
        <v>236</v>
      </c>
      <c r="B745" s="93" t="str">
        <f>IF(PROGRAMA_DETALLE!Q45="","",PROGRAMA_DETALLE!Q45)</f>
        <v/>
      </c>
      <c r="C745" s="84" t="str">
        <f>IF(PROGRAMA_DETALLE!A45="","","Tintorería")</f>
        <v/>
      </c>
      <c r="D745" s="94" t="str">
        <f>IF(PROGRAMA_DETALLE!AB45="","",PROGRAMA_DETALLE!AB45)</f>
        <v/>
      </c>
      <c r="E745" s="84" t="str">
        <f>IF(PROGRAMA_DETALLE!A45="","","Teñido "&amp;PROGRAMA_DETALLE!D45&amp;" "&amp;PROGRAMA_DETALLE!B45)</f>
        <v/>
      </c>
      <c r="F745" s="95" t="str">
        <f>IF(PROGRAMA_DETALLE!Z45=0,"",PROGRAMA_DETALLE!Z45)</f>
        <v/>
      </c>
      <c r="G745" s="95">
        <f>IF(PROGRAMA_DETALLE!AC45="PAGADO",PROGRAMA_DETALLE!Z45,0)</f>
        <v>0</v>
      </c>
      <c r="H745" s="95">
        <f>IF(OR(PROGRAMA_DETALLE!AC45="PENDIENTE",PROGRAMA_DETALLE!AC45="PARCIAL"),PROGRAMA_DETALLE!Z45,0)</f>
        <v>0</v>
      </c>
      <c r="I745" s="94" t="str">
        <f>IF(PROGRAMA_DETALLE!AC45="","",PROGRAMA_DETALLE!AC45)</f>
        <v/>
      </c>
    </row>
    <row r="746" ht="15.75" customHeight="1">
      <c r="A746" s="96" t="s">
        <v>236</v>
      </c>
      <c r="B746" s="93" t="str">
        <f>IF(PROGRAMA_DETALLE!Q46="","",PROGRAMA_DETALLE!Q46)</f>
        <v/>
      </c>
      <c r="C746" s="84" t="str">
        <f>IF(PROGRAMA_DETALLE!A46="","","Tintorería")</f>
        <v/>
      </c>
      <c r="D746" s="94" t="str">
        <f>IF(PROGRAMA_DETALLE!AB46="","",PROGRAMA_DETALLE!AB46)</f>
        <v/>
      </c>
      <c r="E746" s="84" t="str">
        <f>IF(PROGRAMA_DETALLE!A46="","","Teñido "&amp;PROGRAMA_DETALLE!D46&amp;" "&amp;PROGRAMA_DETALLE!B46)</f>
        <v/>
      </c>
      <c r="F746" s="95" t="str">
        <f>IF(PROGRAMA_DETALLE!Z46=0,"",PROGRAMA_DETALLE!Z46)</f>
        <v/>
      </c>
      <c r="G746" s="95">
        <f>IF(PROGRAMA_DETALLE!AC46="PAGADO",PROGRAMA_DETALLE!Z46,0)</f>
        <v>0</v>
      </c>
      <c r="H746" s="95">
        <f>IF(OR(PROGRAMA_DETALLE!AC46="PENDIENTE",PROGRAMA_DETALLE!AC46="PARCIAL"),PROGRAMA_DETALLE!Z46,0)</f>
        <v>0</v>
      </c>
      <c r="I746" s="94" t="str">
        <f>IF(PROGRAMA_DETALLE!AC46="","",PROGRAMA_DETALLE!AC46)</f>
        <v/>
      </c>
    </row>
    <row r="747" ht="15.75" customHeight="1">
      <c r="A747" s="96" t="s">
        <v>236</v>
      </c>
      <c r="B747" s="93" t="str">
        <f>IF(PROGRAMA_DETALLE!Q47="","",PROGRAMA_DETALLE!Q47)</f>
        <v/>
      </c>
      <c r="C747" s="84" t="str">
        <f>IF(PROGRAMA_DETALLE!A47="","","Tintorería")</f>
        <v/>
      </c>
      <c r="D747" s="94" t="str">
        <f>IF(PROGRAMA_DETALLE!AB47="","",PROGRAMA_DETALLE!AB47)</f>
        <v/>
      </c>
      <c r="E747" s="84" t="str">
        <f>IF(PROGRAMA_DETALLE!A47="","","Teñido "&amp;PROGRAMA_DETALLE!D47&amp;" "&amp;PROGRAMA_DETALLE!B47)</f>
        <v/>
      </c>
      <c r="F747" s="95" t="str">
        <f>IF(PROGRAMA_DETALLE!Z47=0,"",PROGRAMA_DETALLE!Z47)</f>
        <v/>
      </c>
      <c r="G747" s="95">
        <f>IF(PROGRAMA_DETALLE!AC47="PAGADO",PROGRAMA_DETALLE!Z47,0)</f>
        <v>0</v>
      </c>
      <c r="H747" s="95">
        <f>IF(OR(PROGRAMA_DETALLE!AC47="PENDIENTE",PROGRAMA_DETALLE!AC47="PARCIAL"),PROGRAMA_DETALLE!Z47,0)</f>
        <v>0</v>
      </c>
      <c r="I747" s="94" t="str">
        <f>IF(PROGRAMA_DETALLE!AC47="","",PROGRAMA_DETALLE!AC47)</f>
        <v/>
      </c>
    </row>
    <row r="748" ht="15.75" customHeight="1">
      <c r="A748" s="96" t="s">
        <v>236</v>
      </c>
      <c r="B748" s="93" t="str">
        <f>IF(PROGRAMA_DETALLE!Q48="","",PROGRAMA_DETALLE!Q48)</f>
        <v/>
      </c>
      <c r="C748" s="84" t="str">
        <f>IF(PROGRAMA_DETALLE!A48="","","Tintorería")</f>
        <v/>
      </c>
      <c r="D748" s="94" t="str">
        <f>IF(PROGRAMA_DETALLE!AB48="","",PROGRAMA_DETALLE!AB48)</f>
        <v/>
      </c>
      <c r="E748" s="84" t="str">
        <f>IF(PROGRAMA_DETALLE!A48="","","Teñido "&amp;PROGRAMA_DETALLE!D48&amp;" "&amp;PROGRAMA_DETALLE!B48)</f>
        <v/>
      </c>
      <c r="F748" s="95" t="str">
        <f>IF(PROGRAMA_DETALLE!Z48=0,"",PROGRAMA_DETALLE!Z48)</f>
        <v/>
      </c>
      <c r="G748" s="95">
        <f>IF(PROGRAMA_DETALLE!AC48="PAGADO",PROGRAMA_DETALLE!Z48,0)</f>
        <v>0</v>
      </c>
      <c r="H748" s="95">
        <f>IF(OR(PROGRAMA_DETALLE!AC48="PENDIENTE",PROGRAMA_DETALLE!AC48="PARCIAL"),PROGRAMA_DETALLE!Z48,0)</f>
        <v>0</v>
      </c>
      <c r="I748" s="94" t="str">
        <f>IF(PROGRAMA_DETALLE!AC48="","",PROGRAMA_DETALLE!AC48)</f>
        <v/>
      </c>
    </row>
    <row r="749" ht="15.75" customHeight="1">
      <c r="A749" s="96" t="s">
        <v>236</v>
      </c>
      <c r="B749" s="93" t="str">
        <f>IF(PROGRAMA_DETALLE!Q49="","",PROGRAMA_DETALLE!Q49)</f>
        <v/>
      </c>
      <c r="C749" s="84" t="str">
        <f>IF(PROGRAMA_DETALLE!A49="","","Tintorería")</f>
        <v/>
      </c>
      <c r="D749" s="94" t="str">
        <f>IF(PROGRAMA_DETALLE!AB49="","",PROGRAMA_DETALLE!AB49)</f>
        <v/>
      </c>
      <c r="E749" s="84" t="str">
        <f>IF(PROGRAMA_DETALLE!A49="","","Teñido "&amp;PROGRAMA_DETALLE!D49&amp;" "&amp;PROGRAMA_DETALLE!B49)</f>
        <v/>
      </c>
      <c r="F749" s="95" t="str">
        <f>IF(PROGRAMA_DETALLE!Z49=0,"",PROGRAMA_DETALLE!Z49)</f>
        <v/>
      </c>
      <c r="G749" s="95">
        <f>IF(PROGRAMA_DETALLE!AC49="PAGADO",PROGRAMA_DETALLE!Z49,0)</f>
        <v>0</v>
      </c>
      <c r="H749" s="95">
        <f>IF(OR(PROGRAMA_DETALLE!AC49="PENDIENTE",PROGRAMA_DETALLE!AC49="PARCIAL"),PROGRAMA_DETALLE!Z49,0)</f>
        <v>0</v>
      </c>
      <c r="I749" s="94" t="str">
        <f>IF(PROGRAMA_DETALLE!AC49="","",PROGRAMA_DETALLE!AC49)</f>
        <v/>
      </c>
    </row>
    <row r="750" ht="15.75" customHeight="1">
      <c r="A750" s="96" t="s">
        <v>236</v>
      </c>
      <c r="B750" s="93" t="str">
        <f>IF(PROGRAMA_DETALLE!Q50="","",PROGRAMA_DETALLE!Q50)</f>
        <v/>
      </c>
      <c r="C750" s="84" t="str">
        <f>IF(PROGRAMA_DETALLE!A50="","","Tintorería")</f>
        <v/>
      </c>
      <c r="D750" s="94" t="str">
        <f>IF(PROGRAMA_DETALLE!AB50="","",PROGRAMA_DETALLE!AB50)</f>
        <v/>
      </c>
      <c r="E750" s="84" t="str">
        <f>IF(PROGRAMA_DETALLE!A50="","","Teñido "&amp;PROGRAMA_DETALLE!D50&amp;" "&amp;PROGRAMA_DETALLE!B50)</f>
        <v/>
      </c>
      <c r="F750" s="95" t="str">
        <f>IF(PROGRAMA_DETALLE!Z50=0,"",PROGRAMA_DETALLE!Z50)</f>
        <v/>
      </c>
      <c r="G750" s="95">
        <f>IF(PROGRAMA_DETALLE!AC50="PAGADO",PROGRAMA_DETALLE!Z50,0)</f>
        <v>0</v>
      </c>
      <c r="H750" s="95">
        <f>IF(OR(PROGRAMA_DETALLE!AC50="PENDIENTE",PROGRAMA_DETALLE!AC50="PARCIAL"),PROGRAMA_DETALLE!Z50,0)</f>
        <v>0</v>
      </c>
      <c r="I750" s="94" t="str">
        <f>IF(PROGRAMA_DETALLE!AC50="","",PROGRAMA_DETALLE!AC50)</f>
        <v/>
      </c>
    </row>
    <row r="751" ht="15.75" customHeight="1">
      <c r="A751" s="96" t="s">
        <v>236</v>
      </c>
      <c r="B751" s="93" t="str">
        <f>IF(PROGRAMA_DETALLE!Q51="","",PROGRAMA_DETALLE!Q51)</f>
        <v/>
      </c>
      <c r="C751" s="84" t="str">
        <f>IF(PROGRAMA_DETALLE!A51="","","Tintorería")</f>
        <v/>
      </c>
      <c r="D751" s="94" t="str">
        <f>IF(PROGRAMA_DETALLE!AB51="","",PROGRAMA_DETALLE!AB51)</f>
        <v/>
      </c>
      <c r="E751" s="84" t="str">
        <f>IF(PROGRAMA_DETALLE!A51="","","Teñido "&amp;PROGRAMA_DETALLE!D51&amp;" "&amp;PROGRAMA_DETALLE!B51)</f>
        <v/>
      </c>
      <c r="F751" s="95" t="str">
        <f>IF(PROGRAMA_DETALLE!Z51=0,"",PROGRAMA_DETALLE!Z51)</f>
        <v/>
      </c>
      <c r="G751" s="95">
        <f>IF(PROGRAMA_DETALLE!AC51="PAGADO",PROGRAMA_DETALLE!Z51,0)</f>
        <v>0</v>
      </c>
      <c r="H751" s="95">
        <f>IF(OR(PROGRAMA_DETALLE!AC51="PENDIENTE",PROGRAMA_DETALLE!AC51="PARCIAL"),PROGRAMA_DETALLE!Z51,0)</f>
        <v>0</v>
      </c>
      <c r="I751" s="94" t="str">
        <f>IF(PROGRAMA_DETALLE!AC51="","",PROGRAMA_DETALLE!AC51)</f>
        <v/>
      </c>
    </row>
    <row r="752" ht="15.75" customHeight="1">
      <c r="A752" s="96" t="s">
        <v>236</v>
      </c>
      <c r="B752" s="93" t="str">
        <f>IF(PROGRAMA_DETALLE!Q52="","",PROGRAMA_DETALLE!Q52)</f>
        <v/>
      </c>
      <c r="C752" s="84" t="str">
        <f>IF(PROGRAMA_DETALLE!A52="","","Tintorería")</f>
        <v/>
      </c>
      <c r="D752" s="94" t="str">
        <f>IF(PROGRAMA_DETALLE!AB52="","",PROGRAMA_DETALLE!AB52)</f>
        <v/>
      </c>
      <c r="E752" s="84" t="str">
        <f>IF(PROGRAMA_DETALLE!A52="","","Teñido "&amp;PROGRAMA_DETALLE!D52&amp;" "&amp;PROGRAMA_DETALLE!B52)</f>
        <v/>
      </c>
      <c r="F752" s="95" t="str">
        <f>IF(PROGRAMA_DETALLE!Z52=0,"",PROGRAMA_DETALLE!Z52)</f>
        <v/>
      </c>
      <c r="G752" s="95">
        <f>IF(PROGRAMA_DETALLE!AC52="PAGADO",PROGRAMA_DETALLE!Z52,0)</f>
        <v>0</v>
      </c>
      <c r="H752" s="95">
        <f>IF(OR(PROGRAMA_DETALLE!AC52="PENDIENTE",PROGRAMA_DETALLE!AC52="PARCIAL"),PROGRAMA_DETALLE!Z52,0)</f>
        <v>0</v>
      </c>
      <c r="I752" s="94" t="str">
        <f>IF(PROGRAMA_DETALLE!AC52="","",PROGRAMA_DETALLE!AC52)</f>
        <v/>
      </c>
    </row>
    <row r="753" ht="15.75" customHeight="1">
      <c r="A753" s="96" t="s">
        <v>236</v>
      </c>
      <c r="B753" s="93" t="str">
        <f>IF(PROGRAMA_DETALLE!Q53="","",PROGRAMA_DETALLE!Q53)</f>
        <v/>
      </c>
      <c r="C753" s="84" t="str">
        <f>IF(PROGRAMA_DETALLE!A53="","","Tintorería")</f>
        <v/>
      </c>
      <c r="D753" s="94" t="str">
        <f>IF(PROGRAMA_DETALLE!AB53="","",PROGRAMA_DETALLE!AB53)</f>
        <v/>
      </c>
      <c r="E753" s="84" t="str">
        <f>IF(PROGRAMA_DETALLE!A53="","","Teñido "&amp;PROGRAMA_DETALLE!D53&amp;" "&amp;PROGRAMA_DETALLE!B53)</f>
        <v/>
      </c>
      <c r="F753" s="95" t="str">
        <f>IF(PROGRAMA_DETALLE!Z53=0,"",PROGRAMA_DETALLE!Z53)</f>
        <v/>
      </c>
      <c r="G753" s="95">
        <f>IF(PROGRAMA_DETALLE!AC53="PAGADO",PROGRAMA_DETALLE!Z53,0)</f>
        <v>0</v>
      </c>
      <c r="H753" s="95">
        <f>IF(OR(PROGRAMA_DETALLE!AC53="PENDIENTE",PROGRAMA_DETALLE!AC53="PARCIAL"),PROGRAMA_DETALLE!Z53,0)</f>
        <v>0</v>
      </c>
      <c r="I753" s="94" t="str">
        <f>IF(PROGRAMA_DETALLE!AC53="","",PROGRAMA_DETALLE!AC53)</f>
        <v/>
      </c>
    </row>
    <row r="754" ht="15.75" customHeight="1">
      <c r="A754" s="96" t="s">
        <v>236</v>
      </c>
      <c r="B754" s="93" t="str">
        <f>IF(PROGRAMA_DETALLE!Q54="","",PROGRAMA_DETALLE!Q54)</f>
        <v/>
      </c>
      <c r="C754" s="84" t="str">
        <f>IF(PROGRAMA_DETALLE!A54="","","Tintorería")</f>
        <v/>
      </c>
      <c r="D754" s="94" t="str">
        <f>IF(PROGRAMA_DETALLE!AB54="","",PROGRAMA_DETALLE!AB54)</f>
        <v/>
      </c>
      <c r="E754" s="84" t="str">
        <f>IF(PROGRAMA_DETALLE!A54="","","Teñido "&amp;PROGRAMA_DETALLE!D54&amp;" "&amp;PROGRAMA_DETALLE!B54)</f>
        <v/>
      </c>
      <c r="F754" s="95" t="str">
        <f>IF(PROGRAMA_DETALLE!Z54=0,"",PROGRAMA_DETALLE!Z54)</f>
        <v/>
      </c>
      <c r="G754" s="95">
        <f>IF(PROGRAMA_DETALLE!AC54="PAGADO",PROGRAMA_DETALLE!Z54,0)</f>
        <v>0</v>
      </c>
      <c r="H754" s="95">
        <f>IF(OR(PROGRAMA_DETALLE!AC54="PENDIENTE",PROGRAMA_DETALLE!AC54="PARCIAL"),PROGRAMA_DETALLE!Z54,0)</f>
        <v>0</v>
      </c>
      <c r="I754" s="94" t="str">
        <f>IF(PROGRAMA_DETALLE!AC54="","",PROGRAMA_DETALLE!AC54)</f>
        <v/>
      </c>
    </row>
    <row r="755" ht="15.75" customHeight="1">
      <c r="A755" s="96" t="s">
        <v>236</v>
      </c>
      <c r="B755" s="93" t="str">
        <f>IF(PROGRAMA_DETALLE!Q55="","",PROGRAMA_DETALLE!Q55)</f>
        <v/>
      </c>
      <c r="C755" s="84" t="str">
        <f>IF(PROGRAMA_DETALLE!A55="","","Tintorería")</f>
        <v/>
      </c>
      <c r="D755" s="94" t="str">
        <f>IF(PROGRAMA_DETALLE!AB55="","",PROGRAMA_DETALLE!AB55)</f>
        <v/>
      </c>
      <c r="E755" s="84" t="str">
        <f>IF(PROGRAMA_DETALLE!A55="","","Teñido "&amp;PROGRAMA_DETALLE!D55&amp;" "&amp;PROGRAMA_DETALLE!B55)</f>
        <v/>
      </c>
      <c r="F755" s="95" t="str">
        <f>IF(PROGRAMA_DETALLE!Z55=0,"",PROGRAMA_DETALLE!Z55)</f>
        <v/>
      </c>
      <c r="G755" s="95">
        <f>IF(PROGRAMA_DETALLE!AC55="PAGADO",PROGRAMA_DETALLE!Z55,0)</f>
        <v>0</v>
      </c>
      <c r="H755" s="95">
        <f>IF(OR(PROGRAMA_DETALLE!AC55="PENDIENTE",PROGRAMA_DETALLE!AC55="PARCIAL"),PROGRAMA_DETALLE!Z55,0)</f>
        <v>0</v>
      </c>
      <c r="I755" s="94" t="str">
        <f>IF(PROGRAMA_DETALLE!AC55="","",PROGRAMA_DETALLE!AC55)</f>
        <v/>
      </c>
    </row>
    <row r="756" ht="15.75" customHeight="1">
      <c r="A756" s="96" t="s">
        <v>236</v>
      </c>
      <c r="B756" s="93" t="str">
        <f>IF(PROGRAMA_DETALLE!Q56="","",PROGRAMA_DETALLE!Q56)</f>
        <v/>
      </c>
      <c r="C756" s="84" t="str">
        <f>IF(PROGRAMA_DETALLE!A56="","","Tintorería")</f>
        <v/>
      </c>
      <c r="D756" s="94" t="str">
        <f>IF(PROGRAMA_DETALLE!AB56="","",PROGRAMA_DETALLE!AB56)</f>
        <v/>
      </c>
      <c r="E756" s="84" t="str">
        <f>IF(PROGRAMA_DETALLE!A56="","","Teñido "&amp;PROGRAMA_DETALLE!D56&amp;" "&amp;PROGRAMA_DETALLE!B56)</f>
        <v/>
      </c>
      <c r="F756" s="95" t="str">
        <f>IF(PROGRAMA_DETALLE!Z56=0,"",PROGRAMA_DETALLE!Z56)</f>
        <v/>
      </c>
      <c r="G756" s="95">
        <f>IF(PROGRAMA_DETALLE!AC56="PAGADO",PROGRAMA_DETALLE!Z56,0)</f>
        <v>0</v>
      </c>
      <c r="H756" s="95">
        <f>IF(OR(PROGRAMA_DETALLE!AC56="PENDIENTE",PROGRAMA_DETALLE!AC56="PARCIAL"),PROGRAMA_DETALLE!Z56,0)</f>
        <v>0</v>
      </c>
      <c r="I756" s="94" t="str">
        <f>IF(PROGRAMA_DETALLE!AC56="","",PROGRAMA_DETALLE!AC56)</f>
        <v/>
      </c>
    </row>
    <row r="757" ht="15.75" customHeight="1">
      <c r="A757" s="96" t="s">
        <v>236</v>
      </c>
      <c r="B757" s="93" t="str">
        <f>IF(PROGRAMA_DETALLE!Q57="","",PROGRAMA_DETALLE!Q57)</f>
        <v/>
      </c>
      <c r="C757" s="84" t="str">
        <f>IF(PROGRAMA_DETALLE!A57="","","Tintorería")</f>
        <v/>
      </c>
      <c r="D757" s="94" t="str">
        <f>IF(PROGRAMA_DETALLE!AB57="","",PROGRAMA_DETALLE!AB57)</f>
        <v/>
      </c>
      <c r="E757" s="84" t="str">
        <f>IF(PROGRAMA_DETALLE!A57="","","Teñido "&amp;PROGRAMA_DETALLE!D57&amp;" "&amp;PROGRAMA_DETALLE!B57)</f>
        <v/>
      </c>
      <c r="F757" s="95" t="str">
        <f>IF(PROGRAMA_DETALLE!Z57=0,"",PROGRAMA_DETALLE!Z57)</f>
        <v/>
      </c>
      <c r="G757" s="95">
        <f>IF(PROGRAMA_DETALLE!AC57="PAGADO",PROGRAMA_DETALLE!Z57,0)</f>
        <v>0</v>
      </c>
      <c r="H757" s="95">
        <f>IF(OR(PROGRAMA_DETALLE!AC57="PENDIENTE",PROGRAMA_DETALLE!AC57="PARCIAL"),PROGRAMA_DETALLE!Z57,0)</f>
        <v>0</v>
      </c>
      <c r="I757" s="94" t="str">
        <f>IF(PROGRAMA_DETALLE!AC57="","",PROGRAMA_DETALLE!AC57)</f>
        <v/>
      </c>
    </row>
    <row r="758" ht="15.75" customHeight="1">
      <c r="A758" s="96" t="s">
        <v>236</v>
      </c>
      <c r="B758" s="93" t="str">
        <f>IF(PROGRAMA_DETALLE!Q58="","",PROGRAMA_DETALLE!Q58)</f>
        <v/>
      </c>
      <c r="C758" s="84" t="str">
        <f>IF(PROGRAMA_DETALLE!A58="","","Tintorería")</f>
        <v/>
      </c>
      <c r="D758" s="94" t="str">
        <f>IF(PROGRAMA_DETALLE!AB58="","",PROGRAMA_DETALLE!AB58)</f>
        <v/>
      </c>
      <c r="E758" s="84" t="str">
        <f>IF(PROGRAMA_DETALLE!A58="","","Teñido "&amp;PROGRAMA_DETALLE!D58&amp;" "&amp;PROGRAMA_DETALLE!B58)</f>
        <v/>
      </c>
      <c r="F758" s="95" t="str">
        <f>IF(PROGRAMA_DETALLE!Z58=0,"",PROGRAMA_DETALLE!Z58)</f>
        <v/>
      </c>
      <c r="G758" s="95">
        <f>IF(PROGRAMA_DETALLE!AC58="PAGADO",PROGRAMA_DETALLE!Z58,0)</f>
        <v>0</v>
      </c>
      <c r="H758" s="95">
        <f>IF(OR(PROGRAMA_DETALLE!AC58="PENDIENTE",PROGRAMA_DETALLE!AC58="PARCIAL"),PROGRAMA_DETALLE!Z58,0)</f>
        <v>0</v>
      </c>
      <c r="I758" s="94" t="str">
        <f>IF(PROGRAMA_DETALLE!AC58="","",PROGRAMA_DETALLE!AC58)</f>
        <v/>
      </c>
    </row>
    <row r="759" ht="15.75" customHeight="1">
      <c r="A759" s="96" t="s">
        <v>236</v>
      </c>
      <c r="B759" s="93" t="str">
        <f>IF(PROGRAMA_DETALLE!Q59="","",PROGRAMA_DETALLE!Q59)</f>
        <v/>
      </c>
      <c r="C759" s="84" t="str">
        <f>IF(PROGRAMA_DETALLE!A59="","","Tintorería")</f>
        <v/>
      </c>
      <c r="D759" s="94" t="str">
        <f>IF(PROGRAMA_DETALLE!AB59="","",PROGRAMA_DETALLE!AB59)</f>
        <v/>
      </c>
      <c r="E759" s="84" t="str">
        <f>IF(PROGRAMA_DETALLE!A59="","","Teñido "&amp;PROGRAMA_DETALLE!D59&amp;" "&amp;PROGRAMA_DETALLE!B59)</f>
        <v/>
      </c>
      <c r="F759" s="95" t="str">
        <f>IF(PROGRAMA_DETALLE!Z59=0,"",PROGRAMA_DETALLE!Z59)</f>
        <v/>
      </c>
      <c r="G759" s="95">
        <f>IF(PROGRAMA_DETALLE!AC59="PAGADO",PROGRAMA_DETALLE!Z59,0)</f>
        <v>0</v>
      </c>
      <c r="H759" s="95">
        <f>IF(OR(PROGRAMA_DETALLE!AC59="PENDIENTE",PROGRAMA_DETALLE!AC59="PARCIAL"),PROGRAMA_DETALLE!Z59,0)</f>
        <v>0</v>
      </c>
      <c r="I759" s="94" t="str">
        <f>IF(PROGRAMA_DETALLE!AC59="","",PROGRAMA_DETALLE!AC59)</f>
        <v/>
      </c>
    </row>
    <row r="760" ht="15.75" customHeight="1">
      <c r="A760" s="96" t="s">
        <v>236</v>
      </c>
      <c r="B760" s="93" t="str">
        <f>IF(PROGRAMA_DETALLE!Q60="","",PROGRAMA_DETALLE!Q60)</f>
        <v/>
      </c>
      <c r="C760" s="84" t="str">
        <f>IF(PROGRAMA_DETALLE!A60="","","Tintorería")</f>
        <v/>
      </c>
      <c r="D760" s="94" t="str">
        <f>IF(PROGRAMA_DETALLE!AB60="","",PROGRAMA_DETALLE!AB60)</f>
        <v/>
      </c>
      <c r="E760" s="84" t="str">
        <f>IF(PROGRAMA_DETALLE!A60="","","Teñido "&amp;PROGRAMA_DETALLE!D60&amp;" "&amp;PROGRAMA_DETALLE!B60)</f>
        <v/>
      </c>
      <c r="F760" s="95" t="str">
        <f>IF(PROGRAMA_DETALLE!Z60=0,"",PROGRAMA_DETALLE!Z60)</f>
        <v/>
      </c>
      <c r="G760" s="95">
        <f>IF(PROGRAMA_DETALLE!AC60="PAGADO",PROGRAMA_DETALLE!Z60,0)</f>
        <v>0</v>
      </c>
      <c r="H760" s="95">
        <f>IF(OR(PROGRAMA_DETALLE!AC60="PENDIENTE",PROGRAMA_DETALLE!AC60="PARCIAL"),PROGRAMA_DETALLE!Z60,0)</f>
        <v>0</v>
      </c>
      <c r="I760" s="94" t="str">
        <f>IF(PROGRAMA_DETALLE!AC60="","",PROGRAMA_DETALLE!AC60)</f>
        <v/>
      </c>
    </row>
    <row r="761" ht="15.75" customHeight="1">
      <c r="A761" s="96" t="s">
        <v>236</v>
      </c>
      <c r="B761" s="93" t="str">
        <f>IF(PROGRAMA_DETALLE!Q61="","",PROGRAMA_DETALLE!Q61)</f>
        <v/>
      </c>
      <c r="C761" s="84" t="str">
        <f>IF(PROGRAMA_DETALLE!A61="","","Tintorería")</f>
        <v/>
      </c>
      <c r="D761" s="94" t="str">
        <f>IF(PROGRAMA_DETALLE!AB61="","",PROGRAMA_DETALLE!AB61)</f>
        <v/>
      </c>
      <c r="E761" s="84" t="str">
        <f>IF(PROGRAMA_DETALLE!A61="","","Teñido "&amp;PROGRAMA_DETALLE!D61&amp;" "&amp;PROGRAMA_DETALLE!B61)</f>
        <v/>
      </c>
      <c r="F761" s="95" t="str">
        <f>IF(PROGRAMA_DETALLE!Z61=0,"",PROGRAMA_DETALLE!Z61)</f>
        <v/>
      </c>
      <c r="G761" s="95">
        <f>IF(PROGRAMA_DETALLE!AC61="PAGADO",PROGRAMA_DETALLE!Z61,0)</f>
        <v>0</v>
      </c>
      <c r="H761" s="95">
        <f>IF(OR(PROGRAMA_DETALLE!AC61="PENDIENTE",PROGRAMA_DETALLE!AC61="PARCIAL"),PROGRAMA_DETALLE!Z61,0)</f>
        <v>0</v>
      </c>
      <c r="I761" s="94" t="str">
        <f>IF(PROGRAMA_DETALLE!AC61="","",PROGRAMA_DETALLE!AC61)</f>
        <v/>
      </c>
    </row>
    <row r="762" ht="15.75" customHeight="1">
      <c r="A762" s="96" t="s">
        <v>236</v>
      </c>
      <c r="B762" s="93" t="str">
        <f>IF(PROGRAMA_DETALLE!Q62="","",PROGRAMA_DETALLE!Q62)</f>
        <v/>
      </c>
      <c r="C762" s="84" t="str">
        <f>IF(PROGRAMA_DETALLE!A62="","","Tintorería")</f>
        <v/>
      </c>
      <c r="D762" s="94" t="str">
        <f>IF(PROGRAMA_DETALLE!AB62="","",PROGRAMA_DETALLE!AB62)</f>
        <v/>
      </c>
      <c r="E762" s="84" t="str">
        <f>IF(PROGRAMA_DETALLE!A62="","","Teñido "&amp;PROGRAMA_DETALLE!D62&amp;" "&amp;PROGRAMA_DETALLE!B62)</f>
        <v/>
      </c>
      <c r="F762" s="95" t="str">
        <f>IF(PROGRAMA_DETALLE!Z62=0,"",PROGRAMA_DETALLE!Z62)</f>
        <v/>
      </c>
      <c r="G762" s="95">
        <f>IF(PROGRAMA_DETALLE!AC62="PAGADO",PROGRAMA_DETALLE!Z62,0)</f>
        <v>0</v>
      </c>
      <c r="H762" s="95">
        <f>IF(OR(PROGRAMA_DETALLE!AC62="PENDIENTE",PROGRAMA_DETALLE!AC62="PARCIAL"),PROGRAMA_DETALLE!Z62,0)</f>
        <v>0</v>
      </c>
      <c r="I762" s="94" t="str">
        <f>IF(PROGRAMA_DETALLE!AC62="","",PROGRAMA_DETALLE!AC62)</f>
        <v/>
      </c>
    </row>
    <row r="763" ht="15.75" customHeight="1">
      <c r="A763" s="96" t="s">
        <v>236</v>
      </c>
      <c r="B763" s="93" t="str">
        <f>IF(PROGRAMA_DETALLE!Q63="","",PROGRAMA_DETALLE!Q63)</f>
        <v/>
      </c>
      <c r="C763" s="84" t="str">
        <f>IF(PROGRAMA_DETALLE!A63="","","Tintorería")</f>
        <v/>
      </c>
      <c r="D763" s="94" t="str">
        <f>IF(PROGRAMA_DETALLE!AB63="","",PROGRAMA_DETALLE!AB63)</f>
        <v/>
      </c>
      <c r="E763" s="84" t="str">
        <f>IF(PROGRAMA_DETALLE!A63="","","Teñido "&amp;PROGRAMA_DETALLE!D63&amp;" "&amp;PROGRAMA_DETALLE!B63)</f>
        <v/>
      </c>
      <c r="F763" s="95" t="str">
        <f>IF(PROGRAMA_DETALLE!Z63=0,"",PROGRAMA_DETALLE!Z63)</f>
        <v/>
      </c>
      <c r="G763" s="95">
        <f>IF(PROGRAMA_DETALLE!AC63="PAGADO",PROGRAMA_DETALLE!Z63,0)</f>
        <v>0</v>
      </c>
      <c r="H763" s="95">
        <f>IF(OR(PROGRAMA_DETALLE!AC63="PENDIENTE",PROGRAMA_DETALLE!AC63="PARCIAL"),PROGRAMA_DETALLE!Z63,0)</f>
        <v>0</v>
      </c>
      <c r="I763" s="94" t="str">
        <f>IF(PROGRAMA_DETALLE!AC63="","",PROGRAMA_DETALLE!AC63)</f>
        <v/>
      </c>
    </row>
    <row r="764" ht="15.75" customHeight="1">
      <c r="A764" s="96" t="s">
        <v>236</v>
      </c>
      <c r="B764" s="93" t="str">
        <f>IF(PROGRAMA_DETALLE!Q64="","",PROGRAMA_DETALLE!Q64)</f>
        <v/>
      </c>
      <c r="C764" s="84" t="str">
        <f>IF(PROGRAMA_DETALLE!A64="","","Tintorería")</f>
        <v/>
      </c>
      <c r="D764" s="94" t="str">
        <f>IF(PROGRAMA_DETALLE!AB64="","",PROGRAMA_DETALLE!AB64)</f>
        <v/>
      </c>
      <c r="E764" s="84" t="str">
        <f>IF(PROGRAMA_DETALLE!A64="","","Teñido "&amp;PROGRAMA_DETALLE!D64&amp;" "&amp;PROGRAMA_DETALLE!B64)</f>
        <v/>
      </c>
      <c r="F764" s="95" t="str">
        <f>IF(PROGRAMA_DETALLE!Z64=0,"",PROGRAMA_DETALLE!Z64)</f>
        <v/>
      </c>
      <c r="G764" s="95">
        <f>IF(PROGRAMA_DETALLE!AC64="PAGADO",PROGRAMA_DETALLE!Z64,0)</f>
        <v>0</v>
      </c>
      <c r="H764" s="95">
        <f>IF(OR(PROGRAMA_DETALLE!AC64="PENDIENTE",PROGRAMA_DETALLE!AC64="PARCIAL"),PROGRAMA_DETALLE!Z64,0)</f>
        <v>0</v>
      </c>
      <c r="I764" s="94" t="str">
        <f>IF(PROGRAMA_DETALLE!AC64="","",PROGRAMA_DETALLE!AC64)</f>
        <v/>
      </c>
    </row>
    <row r="765" ht="15.75" customHeight="1">
      <c r="A765" s="96" t="s">
        <v>236</v>
      </c>
      <c r="B765" s="93" t="str">
        <f>IF(PROGRAMA_DETALLE!Q65="","",PROGRAMA_DETALLE!Q65)</f>
        <v/>
      </c>
      <c r="C765" s="84" t="str">
        <f>IF(PROGRAMA_DETALLE!A65="","","Tintorería")</f>
        <v/>
      </c>
      <c r="D765" s="94" t="str">
        <f>IF(PROGRAMA_DETALLE!AB65="","",PROGRAMA_DETALLE!AB65)</f>
        <v/>
      </c>
      <c r="E765" s="84" t="str">
        <f>IF(PROGRAMA_DETALLE!A65="","","Teñido "&amp;PROGRAMA_DETALLE!D65&amp;" "&amp;PROGRAMA_DETALLE!B65)</f>
        <v/>
      </c>
      <c r="F765" s="95" t="str">
        <f>IF(PROGRAMA_DETALLE!Z65=0,"",PROGRAMA_DETALLE!Z65)</f>
        <v/>
      </c>
      <c r="G765" s="95">
        <f>IF(PROGRAMA_DETALLE!AC65="PAGADO",PROGRAMA_DETALLE!Z65,0)</f>
        <v>0</v>
      </c>
      <c r="H765" s="95">
        <f>IF(OR(PROGRAMA_DETALLE!AC65="PENDIENTE",PROGRAMA_DETALLE!AC65="PARCIAL"),PROGRAMA_DETALLE!Z65,0)</f>
        <v>0</v>
      </c>
      <c r="I765" s="94" t="str">
        <f>IF(PROGRAMA_DETALLE!AC65="","",PROGRAMA_DETALLE!AC65)</f>
        <v/>
      </c>
    </row>
    <row r="766" ht="15.75" customHeight="1">
      <c r="A766" s="96" t="s">
        <v>236</v>
      </c>
      <c r="B766" s="93" t="str">
        <f>IF(PROGRAMA_DETALLE!Q66="","",PROGRAMA_DETALLE!Q66)</f>
        <v/>
      </c>
      <c r="C766" s="84" t="str">
        <f>IF(PROGRAMA_DETALLE!A66="","","Tintorería")</f>
        <v/>
      </c>
      <c r="D766" s="94" t="str">
        <f>IF(PROGRAMA_DETALLE!AB66="","",PROGRAMA_DETALLE!AB66)</f>
        <v/>
      </c>
      <c r="E766" s="84" t="str">
        <f>IF(PROGRAMA_DETALLE!A66="","","Teñido "&amp;PROGRAMA_DETALLE!D66&amp;" "&amp;PROGRAMA_DETALLE!B66)</f>
        <v/>
      </c>
      <c r="F766" s="95" t="str">
        <f>IF(PROGRAMA_DETALLE!Z66=0,"",PROGRAMA_DETALLE!Z66)</f>
        <v/>
      </c>
      <c r="G766" s="95">
        <f>IF(PROGRAMA_DETALLE!AC66="PAGADO",PROGRAMA_DETALLE!Z66,0)</f>
        <v>0</v>
      </c>
      <c r="H766" s="95">
        <f>IF(OR(PROGRAMA_DETALLE!AC66="PENDIENTE",PROGRAMA_DETALLE!AC66="PARCIAL"),PROGRAMA_DETALLE!Z66,0)</f>
        <v>0</v>
      </c>
      <c r="I766" s="94" t="str">
        <f>IF(PROGRAMA_DETALLE!AC66="","",PROGRAMA_DETALLE!AC66)</f>
        <v/>
      </c>
    </row>
    <row r="767" ht="15.75" customHeight="1">
      <c r="A767" s="96" t="s">
        <v>236</v>
      </c>
      <c r="B767" s="93" t="str">
        <f>IF(PROGRAMA_DETALLE!Q67="","",PROGRAMA_DETALLE!Q67)</f>
        <v/>
      </c>
      <c r="C767" s="84" t="str">
        <f>IF(PROGRAMA_DETALLE!A67="","","Tintorería")</f>
        <v/>
      </c>
      <c r="D767" s="94" t="str">
        <f>IF(PROGRAMA_DETALLE!AB67="","",PROGRAMA_DETALLE!AB67)</f>
        <v/>
      </c>
      <c r="E767" s="84" t="str">
        <f>IF(PROGRAMA_DETALLE!A67="","","Teñido "&amp;PROGRAMA_DETALLE!D67&amp;" "&amp;PROGRAMA_DETALLE!B67)</f>
        <v/>
      </c>
      <c r="F767" s="95" t="str">
        <f>IF(PROGRAMA_DETALLE!Z67=0,"",PROGRAMA_DETALLE!Z67)</f>
        <v/>
      </c>
      <c r="G767" s="95">
        <f>IF(PROGRAMA_DETALLE!AC67="PAGADO",PROGRAMA_DETALLE!Z67,0)</f>
        <v>0</v>
      </c>
      <c r="H767" s="95">
        <f>IF(OR(PROGRAMA_DETALLE!AC67="PENDIENTE",PROGRAMA_DETALLE!AC67="PARCIAL"),PROGRAMA_DETALLE!Z67,0)</f>
        <v>0</v>
      </c>
      <c r="I767" s="94" t="str">
        <f>IF(PROGRAMA_DETALLE!AC67="","",PROGRAMA_DETALLE!AC67)</f>
        <v/>
      </c>
    </row>
    <row r="768" ht="15.75" customHeight="1">
      <c r="A768" s="96" t="s">
        <v>236</v>
      </c>
      <c r="B768" s="93" t="str">
        <f>IF(PROGRAMA_DETALLE!Q68="","",PROGRAMA_DETALLE!Q68)</f>
        <v/>
      </c>
      <c r="C768" s="84" t="str">
        <f>IF(PROGRAMA_DETALLE!A68="","","Tintorería")</f>
        <v/>
      </c>
      <c r="D768" s="94" t="str">
        <f>IF(PROGRAMA_DETALLE!AB68="","",PROGRAMA_DETALLE!AB68)</f>
        <v/>
      </c>
      <c r="E768" s="84" t="str">
        <f>IF(PROGRAMA_DETALLE!A68="","","Teñido "&amp;PROGRAMA_DETALLE!D68&amp;" "&amp;PROGRAMA_DETALLE!B68)</f>
        <v/>
      </c>
      <c r="F768" s="95" t="str">
        <f>IF(PROGRAMA_DETALLE!Z68=0,"",PROGRAMA_DETALLE!Z68)</f>
        <v/>
      </c>
      <c r="G768" s="95">
        <f>IF(PROGRAMA_DETALLE!AC68="PAGADO",PROGRAMA_DETALLE!Z68,0)</f>
        <v>0</v>
      </c>
      <c r="H768" s="95">
        <f>IF(OR(PROGRAMA_DETALLE!AC68="PENDIENTE",PROGRAMA_DETALLE!AC68="PARCIAL"),PROGRAMA_DETALLE!Z68,0)</f>
        <v>0</v>
      </c>
      <c r="I768" s="94" t="str">
        <f>IF(PROGRAMA_DETALLE!AC68="","",PROGRAMA_DETALLE!AC68)</f>
        <v/>
      </c>
    </row>
    <row r="769" ht="15.75" customHeight="1">
      <c r="A769" s="96" t="s">
        <v>236</v>
      </c>
      <c r="B769" s="93" t="str">
        <f>IF(PROGRAMA_DETALLE!Q69="","",PROGRAMA_DETALLE!Q69)</f>
        <v/>
      </c>
      <c r="C769" s="84" t="str">
        <f>IF(PROGRAMA_DETALLE!A69="","","Tintorería")</f>
        <v/>
      </c>
      <c r="D769" s="94" t="str">
        <f>IF(PROGRAMA_DETALLE!AB69="","",PROGRAMA_DETALLE!AB69)</f>
        <v/>
      </c>
      <c r="E769" s="84" t="str">
        <f>IF(PROGRAMA_DETALLE!A69="","","Teñido "&amp;PROGRAMA_DETALLE!D69&amp;" "&amp;PROGRAMA_DETALLE!B69)</f>
        <v/>
      </c>
      <c r="F769" s="95" t="str">
        <f>IF(PROGRAMA_DETALLE!Z69=0,"",PROGRAMA_DETALLE!Z69)</f>
        <v/>
      </c>
      <c r="G769" s="95">
        <f>IF(PROGRAMA_DETALLE!AC69="PAGADO",PROGRAMA_DETALLE!Z69,0)</f>
        <v>0</v>
      </c>
      <c r="H769" s="95">
        <f>IF(OR(PROGRAMA_DETALLE!AC69="PENDIENTE",PROGRAMA_DETALLE!AC69="PARCIAL"),PROGRAMA_DETALLE!Z69,0)</f>
        <v>0</v>
      </c>
      <c r="I769" s="94" t="str">
        <f>IF(PROGRAMA_DETALLE!AC69="","",PROGRAMA_DETALLE!AC69)</f>
        <v/>
      </c>
    </row>
    <row r="770" ht="15.75" customHeight="1">
      <c r="A770" s="96" t="s">
        <v>236</v>
      </c>
      <c r="B770" s="93" t="str">
        <f>IF(PROGRAMA_DETALLE!Q70="","",PROGRAMA_DETALLE!Q70)</f>
        <v/>
      </c>
      <c r="C770" s="84" t="str">
        <f>IF(PROGRAMA_DETALLE!A70="","","Tintorería")</f>
        <v/>
      </c>
      <c r="D770" s="94" t="str">
        <f>IF(PROGRAMA_DETALLE!AB70="","",PROGRAMA_DETALLE!AB70)</f>
        <v/>
      </c>
      <c r="E770" s="84" t="str">
        <f>IF(PROGRAMA_DETALLE!A70="","","Teñido "&amp;PROGRAMA_DETALLE!D70&amp;" "&amp;PROGRAMA_DETALLE!B70)</f>
        <v/>
      </c>
      <c r="F770" s="95" t="str">
        <f>IF(PROGRAMA_DETALLE!Z70=0,"",PROGRAMA_DETALLE!Z70)</f>
        <v/>
      </c>
      <c r="G770" s="95">
        <f>IF(PROGRAMA_DETALLE!AC70="PAGADO",PROGRAMA_DETALLE!Z70,0)</f>
        <v>0</v>
      </c>
      <c r="H770" s="95">
        <f>IF(OR(PROGRAMA_DETALLE!AC70="PENDIENTE",PROGRAMA_DETALLE!AC70="PARCIAL"),PROGRAMA_DETALLE!Z70,0)</f>
        <v>0</v>
      </c>
      <c r="I770" s="94" t="str">
        <f>IF(PROGRAMA_DETALLE!AC70="","",PROGRAMA_DETALLE!AC70)</f>
        <v/>
      </c>
    </row>
    <row r="771" ht="15.75" customHeight="1">
      <c r="A771" s="96" t="s">
        <v>236</v>
      </c>
      <c r="B771" s="93" t="str">
        <f>IF(PROGRAMA_DETALLE!Q71="","",PROGRAMA_DETALLE!Q71)</f>
        <v/>
      </c>
      <c r="C771" s="84" t="str">
        <f>IF(PROGRAMA_DETALLE!A71="","","Tintorería")</f>
        <v/>
      </c>
      <c r="D771" s="94" t="str">
        <f>IF(PROGRAMA_DETALLE!AB71="","",PROGRAMA_DETALLE!AB71)</f>
        <v/>
      </c>
      <c r="E771" s="84" t="str">
        <f>IF(PROGRAMA_DETALLE!A71="","","Teñido "&amp;PROGRAMA_DETALLE!D71&amp;" "&amp;PROGRAMA_DETALLE!B71)</f>
        <v/>
      </c>
      <c r="F771" s="95" t="str">
        <f>IF(PROGRAMA_DETALLE!Z71=0,"",PROGRAMA_DETALLE!Z71)</f>
        <v/>
      </c>
      <c r="G771" s="95">
        <f>IF(PROGRAMA_DETALLE!AC71="PAGADO",PROGRAMA_DETALLE!Z71,0)</f>
        <v>0</v>
      </c>
      <c r="H771" s="95">
        <f>IF(OR(PROGRAMA_DETALLE!AC71="PENDIENTE",PROGRAMA_DETALLE!AC71="PARCIAL"),PROGRAMA_DETALLE!Z71,0)</f>
        <v>0</v>
      </c>
      <c r="I771" s="94" t="str">
        <f>IF(PROGRAMA_DETALLE!AC71="","",PROGRAMA_DETALLE!AC71)</f>
        <v/>
      </c>
    </row>
    <row r="772" ht="15.75" customHeight="1">
      <c r="A772" s="96" t="s">
        <v>236</v>
      </c>
      <c r="B772" s="93" t="str">
        <f>IF(PROGRAMA_DETALLE!Q72="","",PROGRAMA_DETALLE!Q72)</f>
        <v/>
      </c>
      <c r="C772" s="84" t="str">
        <f>IF(PROGRAMA_DETALLE!A72="","","Tintorería")</f>
        <v/>
      </c>
      <c r="D772" s="94" t="str">
        <f>IF(PROGRAMA_DETALLE!AB72="","",PROGRAMA_DETALLE!AB72)</f>
        <v/>
      </c>
      <c r="E772" s="84" t="str">
        <f>IF(PROGRAMA_DETALLE!A72="","","Teñido "&amp;PROGRAMA_DETALLE!D72&amp;" "&amp;PROGRAMA_DETALLE!B72)</f>
        <v/>
      </c>
      <c r="F772" s="95" t="str">
        <f>IF(PROGRAMA_DETALLE!Z72=0,"",PROGRAMA_DETALLE!Z72)</f>
        <v/>
      </c>
      <c r="G772" s="95">
        <f>IF(PROGRAMA_DETALLE!AC72="PAGADO",PROGRAMA_DETALLE!Z72,0)</f>
        <v>0</v>
      </c>
      <c r="H772" s="95">
        <f>IF(OR(PROGRAMA_DETALLE!AC72="PENDIENTE",PROGRAMA_DETALLE!AC72="PARCIAL"),PROGRAMA_DETALLE!Z72,0)</f>
        <v>0</v>
      </c>
      <c r="I772" s="94" t="str">
        <f>IF(PROGRAMA_DETALLE!AC72="","",PROGRAMA_DETALLE!AC72)</f>
        <v/>
      </c>
    </row>
    <row r="773" ht="15.75" customHeight="1">
      <c r="A773" s="96" t="s">
        <v>236</v>
      </c>
      <c r="B773" s="93" t="str">
        <f>IF(PROGRAMA_DETALLE!Q73="","",PROGRAMA_DETALLE!Q73)</f>
        <v/>
      </c>
      <c r="C773" s="84" t="str">
        <f>IF(PROGRAMA_DETALLE!A73="","","Tintorería")</f>
        <v/>
      </c>
      <c r="D773" s="94" t="str">
        <f>IF(PROGRAMA_DETALLE!AB73="","",PROGRAMA_DETALLE!AB73)</f>
        <v/>
      </c>
      <c r="E773" s="84" t="str">
        <f>IF(PROGRAMA_DETALLE!A73="","","Teñido "&amp;PROGRAMA_DETALLE!D73&amp;" "&amp;PROGRAMA_DETALLE!B73)</f>
        <v/>
      </c>
      <c r="F773" s="95" t="str">
        <f>IF(PROGRAMA_DETALLE!Z73=0,"",PROGRAMA_DETALLE!Z73)</f>
        <v/>
      </c>
      <c r="G773" s="95">
        <f>IF(PROGRAMA_DETALLE!AC73="PAGADO",PROGRAMA_DETALLE!Z73,0)</f>
        <v>0</v>
      </c>
      <c r="H773" s="95">
        <f>IF(OR(PROGRAMA_DETALLE!AC73="PENDIENTE",PROGRAMA_DETALLE!AC73="PARCIAL"),PROGRAMA_DETALLE!Z73,0)</f>
        <v>0</v>
      </c>
      <c r="I773" s="94" t="str">
        <f>IF(PROGRAMA_DETALLE!AC73="","",PROGRAMA_DETALLE!AC73)</f>
        <v/>
      </c>
    </row>
    <row r="774" ht="15.75" customHeight="1">
      <c r="A774" s="96" t="s">
        <v>236</v>
      </c>
      <c r="B774" s="93" t="str">
        <f>IF(PROGRAMA_DETALLE!Q74="","",PROGRAMA_DETALLE!Q74)</f>
        <v/>
      </c>
      <c r="C774" s="84" t="str">
        <f>IF(PROGRAMA_DETALLE!A74="","","Tintorería")</f>
        <v/>
      </c>
      <c r="D774" s="94" t="str">
        <f>IF(PROGRAMA_DETALLE!AB74="","",PROGRAMA_DETALLE!AB74)</f>
        <v/>
      </c>
      <c r="E774" s="84" t="str">
        <f>IF(PROGRAMA_DETALLE!A74="","","Teñido "&amp;PROGRAMA_DETALLE!D74&amp;" "&amp;PROGRAMA_DETALLE!B74)</f>
        <v/>
      </c>
      <c r="F774" s="95" t="str">
        <f>IF(PROGRAMA_DETALLE!Z74=0,"",PROGRAMA_DETALLE!Z74)</f>
        <v/>
      </c>
      <c r="G774" s="95">
        <f>IF(PROGRAMA_DETALLE!AC74="PAGADO",PROGRAMA_DETALLE!Z74,0)</f>
        <v>0</v>
      </c>
      <c r="H774" s="95">
        <f>IF(OR(PROGRAMA_DETALLE!AC74="PENDIENTE",PROGRAMA_DETALLE!AC74="PARCIAL"),PROGRAMA_DETALLE!Z74,0)</f>
        <v>0</v>
      </c>
      <c r="I774" s="94" t="str">
        <f>IF(PROGRAMA_DETALLE!AC74="","",PROGRAMA_DETALLE!AC74)</f>
        <v/>
      </c>
    </row>
    <row r="775" ht="15.75" customHeight="1">
      <c r="A775" s="96" t="s">
        <v>236</v>
      </c>
      <c r="B775" s="93" t="str">
        <f>IF(PROGRAMA_DETALLE!Q75="","",PROGRAMA_DETALLE!Q75)</f>
        <v/>
      </c>
      <c r="C775" s="84" t="str">
        <f>IF(PROGRAMA_DETALLE!A75="","","Tintorería")</f>
        <v/>
      </c>
      <c r="D775" s="94" t="str">
        <f>IF(PROGRAMA_DETALLE!AB75="","",PROGRAMA_DETALLE!AB75)</f>
        <v/>
      </c>
      <c r="E775" s="84" t="str">
        <f>IF(PROGRAMA_DETALLE!A75="","","Teñido "&amp;PROGRAMA_DETALLE!D75&amp;" "&amp;PROGRAMA_DETALLE!B75)</f>
        <v/>
      </c>
      <c r="F775" s="95" t="str">
        <f>IF(PROGRAMA_DETALLE!Z75=0,"",PROGRAMA_DETALLE!Z75)</f>
        <v/>
      </c>
      <c r="G775" s="95">
        <f>IF(PROGRAMA_DETALLE!AC75="PAGADO",PROGRAMA_DETALLE!Z75,0)</f>
        <v>0</v>
      </c>
      <c r="H775" s="95">
        <f>IF(OR(PROGRAMA_DETALLE!AC75="PENDIENTE",PROGRAMA_DETALLE!AC75="PARCIAL"),PROGRAMA_DETALLE!Z75,0)</f>
        <v>0</v>
      </c>
      <c r="I775" s="94" t="str">
        <f>IF(PROGRAMA_DETALLE!AC75="","",PROGRAMA_DETALLE!AC75)</f>
        <v/>
      </c>
    </row>
    <row r="776" ht="15.75" customHeight="1">
      <c r="A776" s="96" t="s">
        <v>236</v>
      </c>
      <c r="B776" s="93" t="str">
        <f>IF(PROGRAMA_DETALLE!Q76="","",PROGRAMA_DETALLE!Q76)</f>
        <v/>
      </c>
      <c r="C776" s="84" t="str">
        <f>IF(PROGRAMA_DETALLE!A76="","","Tintorería")</f>
        <v/>
      </c>
      <c r="D776" s="94" t="str">
        <f>IF(PROGRAMA_DETALLE!AB76="","",PROGRAMA_DETALLE!AB76)</f>
        <v/>
      </c>
      <c r="E776" s="84" t="str">
        <f>IF(PROGRAMA_DETALLE!A76="","","Teñido "&amp;PROGRAMA_DETALLE!D76&amp;" "&amp;PROGRAMA_DETALLE!B76)</f>
        <v/>
      </c>
      <c r="F776" s="95" t="str">
        <f>IF(PROGRAMA_DETALLE!Z76=0,"",PROGRAMA_DETALLE!Z76)</f>
        <v/>
      </c>
      <c r="G776" s="95">
        <f>IF(PROGRAMA_DETALLE!AC76="PAGADO",PROGRAMA_DETALLE!Z76,0)</f>
        <v>0</v>
      </c>
      <c r="H776" s="95">
        <f>IF(OR(PROGRAMA_DETALLE!AC76="PENDIENTE",PROGRAMA_DETALLE!AC76="PARCIAL"),PROGRAMA_DETALLE!Z76,0)</f>
        <v>0</v>
      </c>
      <c r="I776" s="94" t="str">
        <f>IF(PROGRAMA_DETALLE!AC76="","",PROGRAMA_DETALLE!AC76)</f>
        <v/>
      </c>
    </row>
    <row r="777" ht="15.75" customHeight="1">
      <c r="A777" s="96" t="s">
        <v>236</v>
      </c>
      <c r="B777" s="93" t="str">
        <f>IF(PROGRAMA_DETALLE!Q77="","",PROGRAMA_DETALLE!Q77)</f>
        <v/>
      </c>
      <c r="C777" s="84" t="str">
        <f>IF(PROGRAMA_DETALLE!A77="","","Tintorería")</f>
        <v/>
      </c>
      <c r="D777" s="94" t="str">
        <f>IF(PROGRAMA_DETALLE!AB77="","",PROGRAMA_DETALLE!AB77)</f>
        <v/>
      </c>
      <c r="E777" s="84" t="str">
        <f>IF(PROGRAMA_DETALLE!A77="","","Teñido "&amp;PROGRAMA_DETALLE!D77&amp;" "&amp;PROGRAMA_DETALLE!B77)</f>
        <v/>
      </c>
      <c r="F777" s="95" t="str">
        <f>IF(PROGRAMA_DETALLE!Z77=0,"",PROGRAMA_DETALLE!Z77)</f>
        <v/>
      </c>
      <c r="G777" s="95">
        <f>IF(PROGRAMA_DETALLE!AC77="PAGADO",PROGRAMA_DETALLE!Z77,0)</f>
        <v>0</v>
      </c>
      <c r="H777" s="95">
        <f>IF(OR(PROGRAMA_DETALLE!AC77="PENDIENTE",PROGRAMA_DETALLE!AC77="PARCIAL"),PROGRAMA_DETALLE!Z77,0)</f>
        <v>0</v>
      </c>
      <c r="I777" s="94" t="str">
        <f>IF(PROGRAMA_DETALLE!AC77="","",PROGRAMA_DETALLE!AC77)</f>
        <v/>
      </c>
    </row>
    <row r="778" ht="15.75" customHeight="1">
      <c r="A778" s="96" t="s">
        <v>236</v>
      </c>
      <c r="B778" s="93" t="str">
        <f>IF(PROGRAMA_DETALLE!Q78="","",PROGRAMA_DETALLE!Q78)</f>
        <v/>
      </c>
      <c r="C778" s="84" t="str">
        <f>IF(PROGRAMA_DETALLE!A78="","","Tintorería")</f>
        <v/>
      </c>
      <c r="D778" s="94" t="str">
        <f>IF(PROGRAMA_DETALLE!AB78="","",PROGRAMA_DETALLE!AB78)</f>
        <v/>
      </c>
      <c r="E778" s="84" t="str">
        <f>IF(PROGRAMA_DETALLE!A78="","","Teñido "&amp;PROGRAMA_DETALLE!D78&amp;" "&amp;PROGRAMA_DETALLE!B78)</f>
        <v/>
      </c>
      <c r="F778" s="95" t="str">
        <f>IF(PROGRAMA_DETALLE!Z78=0,"",PROGRAMA_DETALLE!Z78)</f>
        <v/>
      </c>
      <c r="G778" s="95">
        <f>IF(PROGRAMA_DETALLE!AC78="PAGADO",PROGRAMA_DETALLE!Z78,0)</f>
        <v>0</v>
      </c>
      <c r="H778" s="95">
        <f>IF(OR(PROGRAMA_DETALLE!AC78="PENDIENTE",PROGRAMA_DETALLE!AC78="PARCIAL"),PROGRAMA_DETALLE!Z78,0)</f>
        <v>0</v>
      </c>
      <c r="I778" s="94" t="str">
        <f>IF(PROGRAMA_DETALLE!AC78="","",PROGRAMA_DETALLE!AC78)</f>
        <v/>
      </c>
    </row>
    <row r="779" ht="15.75" customHeight="1">
      <c r="A779" s="96" t="s">
        <v>236</v>
      </c>
      <c r="B779" s="93" t="str">
        <f>IF(PROGRAMA_DETALLE!Q79="","",PROGRAMA_DETALLE!Q79)</f>
        <v/>
      </c>
      <c r="C779" s="84" t="str">
        <f>IF(PROGRAMA_DETALLE!A79="","","Tintorería")</f>
        <v/>
      </c>
      <c r="D779" s="94" t="str">
        <f>IF(PROGRAMA_DETALLE!AB79="","",PROGRAMA_DETALLE!AB79)</f>
        <v/>
      </c>
      <c r="E779" s="84" t="str">
        <f>IF(PROGRAMA_DETALLE!A79="","","Teñido "&amp;PROGRAMA_DETALLE!D79&amp;" "&amp;PROGRAMA_DETALLE!B79)</f>
        <v/>
      </c>
      <c r="F779" s="95" t="str">
        <f>IF(PROGRAMA_DETALLE!Z79=0,"",PROGRAMA_DETALLE!Z79)</f>
        <v/>
      </c>
      <c r="G779" s="95">
        <f>IF(PROGRAMA_DETALLE!AC79="PAGADO",PROGRAMA_DETALLE!Z79,0)</f>
        <v>0</v>
      </c>
      <c r="H779" s="95">
        <f>IF(OR(PROGRAMA_DETALLE!AC79="PENDIENTE",PROGRAMA_DETALLE!AC79="PARCIAL"),PROGRAMA_DETALLE!Z79,0)</f>
        <v>0</v>
      </c>
      <c r="I779" s="94" t="str">
        <f>IF(PROGRAMA_DETALLE!AC79="","",PROGRAMA_DETALLE!AC79)</f>
        <v/>
      </c>
    </row>
    <row r="780" ht="15.75" customHeight="1">
      <c r="A780" s="96" t="s">
        <v>236</v>
      </c>
      <c r="B780" s="93" t="str">
        <f>IF(PROGRAMA_DETALLE!Q80="","",PROGRAMA_DETALLE!Q80)</f>
        <v/>
      </c>
      <c r="C780" s="84" t="str">
        <f>IF(PROGRAMA_DETALLE!A80="","","Tintorería")</f>
        <v/>
      </c>
      <c r="D780" s="94" t="str">
        <f>IF(PROGRAMA_DETALLE!AB80="","",PROGRAMA_DETALLE!AB80)</f>
        <v/>
      </c>
      <c r="E780" s="84" t="str">
        <f>IF(PROGRAMA_DETALLE!A80="","","Teñido "&amp;PROGRAMA_DETALLE!D80&amp;" "&amp;PROGRAMA_DETALLE!B80)</f>
        <v/>
      </c>
      <c r="F780" s="95" t="str">
        <f>IF(PROGRAMA_DETALLE!Z80=0,"",PROGRAMA_DETALLE!Z80)</f>
        <v/>
      </c>
      <c r="G780" s="95">
        <f>IF(PROGRAMA_DETALLE!AC80="PAGADO",PROGRAMA_DETALLE!Z80,0)</f>
        <v>0</v>
      </c>
      <c r="H780" s="95">
        <f>IF(OR(PROGRAMA_DETALLE!AC80="PENDIENTE",PROGRAMA_DETALLE!AC80="PARCIAL"),PROGRAMA_DETALLE!Z80,0)</f>
        <v>0</v>
      </c>
      <c r="I780" s="94" t="str">
        <f>IF(PROGRAMA_DETALLE!AC80="","",PROGRAMA_DETALLE!AC80)</f>
        <v/>
      </c>
    </row>
    <row r="781" ht="15.75" customHeight="1">
      <c r="A781" s="96" t="s">
        <v>236</v>
      </c>
      <c r="B781" s="93" t="str">
        <f>IF(PROGRAMA_DETALLE!Q81="","",PROGRAMA_DETALLE!Q81)</f>
        <v/>
      </c>
      <c r="C781" s="84" t="str">
        <f>IF(PROGRAMA_DETALLE!A81="","","Tintorería")</f>
        <v/>
      </c>
      <c r="D781" s="94" t="str">
        <f>IF(PROGRAMA_DETALLE!AB81="","",PROGRAMA_DETALLE!AB81)</f>
        <v/>
      </c>
      <c r="E781" s="84" t="str">
        <f>IF(PROGRAMA_DETALLE!A81="","","Teñido "&amp;PROGRAMA_DETALLE!D81&amp;" "&amp;PROGRAMA_DETALLE!B81)</f>
        <v/>
      </c>
      <c r="F781" s="95" t="str">
        <f>IF(PROGRAMA_DETALLE!Z81=0,"",PROGRAMA_DETALLE!Z81)</f>
        <v/>
      </c>
      <c r="G781" s="95">
        <f>IF(PROGRAMA_DETALLE!AC81="PAGADO",PROGRAMA_DETALLE!Z81,0)</f>
        <v>0</v>
      </c>
      <c r="H781" s="95">
        <f>IF(OR(PROGRAMA_DETALLE!AC81="PENDIENTE",PROGRAMA_DETALLE!AC81="PARCIAL"),PROGRAMA_DETALLE!Z81,0)</f>
        <v>0</v>
      </c>
      <c r="I781" s="94" t="str">
        <f>IF(PROGRAMA_DETALLE!AC81="","",PROGRAMA_DETALLE!AC81)</f>
        <v/>
      </c>
    </row>
    <row r="782" ht="15.75" customHeight="1">
      <c r="A782" s="96" t="s">
        <v>236</v>
      </c>
      <c r="B782" s="93" t="str">
        <f>IF(PROGRAMA_DETALLE!Q82="","",PROGRAMA_DETALLE!Q82)</f>
        <v/>
      </c>
      <c r="C782" s="84" t="str">
        <f>IF(PROGRAMA_DETALLE!A82="","","Tintorería")</f>
        <v/>
      </c>
      <c r="D782" s="94" t="str">
        <f>IF(PROGRAMA_DETALLE!AB82="","",PROGRAMA_DETALLE!AB82)</f>
        <v/>
      </c>
      <c r="E782" s="84" t="str">
        <f>IF(PROGRAMA_DETALLE!A82="","","Teñido "&amp;PROGRAMA_DETALLE!D82&amp;" "&amp;PROGRAMA_DETALLE!B82)</f>
        <v/>
      </c>
      <c r="F782" s="95" t="str">
        <f>IF(PROGRAMA_DETALLE!Z82=0,"",PROGRAMA_DETALLE!Z82)</f>
        <v/>
      </c>
      <c r="G782" s="95">
        <f>IF(PROGRAMA_DETALLE!AC82="PAGADO",PROGRAMA_DETALLE!Z82,0)</f>
        <v>0</v>
      </c>
      <c r="H782" s="95">
        <f>IF(OR(PROGRAMA_DETALLE!AC82="PENDIENTE",PROGRAMA_DETALLE!AC82="PARCIAL"),PROGRAMA_DETALLE!Z82,0)</f>
        <v>0</v>
      </c>
      <c r="I782" s="94" t="str">
        <f>IF(PROGRAMA_DETALLE!AC82="","",PROGRAMA_DETALLE!AC82)</f>
        <v/>
      </c>
    </row>
    <row r="783" ht="15.75" customHeight="1">
      <c r="A783" s="96" t="s">
        <v>236</v>
      </c>
      <c r="B783" s="93" t="str">
        <f>IF(PROGRAMA_DETALLE!Q83="","",PROGRAMA_DETALLE!Q83)</f>
        <v/>
      </c>
      <c r="C783" s="84" t="str">
        <f>IF(PROGRAMA_DETALLE!A83="","","Tintorería")</f>
        <v/>
      </c>
      <c r="D783" s="94" t="str">
        <f>IF(PROGRAMA_DETALLE!AB83="","",PROGRAMA_DETALLE!AB83)</f>
        <v/>
      </c>
      <c r="E783" s="84" t="str">
        <f>IF(PROGRAMA_DETALLE!A83="","","Teñido "&amp;PROGRAMA_DETALLE!D83&amp;" "&amp;PROGRAMA_DETALLE!B83)</f>
        <v/>
      </c>
      <c r="F783" s="95" t="str">
        <f>IF(PROGRAMA_DETALLE!Z83=0,"",PROGRAMA_DETALLE!Z83)</f>
        <v/>
      </c>
      <c r="G783" s="95">
        <f>IF(PROGRAMA_DETALLE!AC83="PAGADO",PROGRAMA_DETALLE!Z83,0)</f>
        <v>0</v>
      </c>
      <c r="H783" s="95">
        <f>IF(OR(PROGRAMA_DETALLE!AC83="PENDIENTE",PROGRAMA_DETALLE!AC83="PARCIAL"),PROGRAMA_DETALLE!Z83,0)</f>
        <v>0</v>
      </c>
      <c r="I783" s="94" t="str">
        <f>IF(PROGRAMA_DETALLE!AC83="","",PROGRAMA_DETALLE!AC83)</f>
        <v/>
      </c>
    </row>
    <row r="784" ht="15.75" customHeight="1">
      <c r="A784" s="96" t="s">
        <v>236</v>
      </c>
      <c r="B784" s="93" t="str">
        <f>IF(PROGRAMA_DETALLE!Q84="","",PROGRAMA_DETALLE!Q84)</f>
        <v/>
      </c>
      <c r="C784" s="84" t="str">
        <f>IF(PROGRAMA_DETALLE!A84="","","Tintorería")</f>
        <v/>
      </c>
      <c r="D784" s="94" t="str">
        <f>IF(PROGRAMA_DETALLE!AB84="","",PROGRAMA_DETALLE!AB84)</f>
        <v/>
      </c>
      <c r="E784" s="84" t="str">
        <f>IF(PROGRAMA_DETALLE!A84="","","Teñido "&amp;PROGRAMA_DETALLE!D84&amp;" "&amp;PROGRAMA_DETALLE!B84)</f>
        <v/>
      </c>
      <c r="F784" s="95" t="str">
        <f>IF(PROGRAMA_DETALLE!Z84=0,"",PROGRAMA_DETALLE!Z84)</f>
        <v/>
      </c>
      <c r="G784" s="95">
        <f>IF(PROGRAMA_DETALLE!AC84="PAGADO",PROGRAMA_DETALLE!Z84,0)</f>
        <v>0</v>
      </c>
      <c r="H784" s="95">
        <f>IF(OR(PROGRAMA_DETALLE!AC84="PENDIENTE",PROGRAMA_DETALLE!AC84="PARCIAL"),PROGRAMA_DETALLE!Z84,0)</f>
        <v>0</v>
      </c>
      <c r="I784" s="94" t="str">
        <f>IF(PROGRAMA_DETALLE!AC84="","",PROGRAMA_DETALLE!AC84)</f>
        <v/>
      </c>
    </row>
    <row r="785" ht="15.75" customHeight="1">
      <c r="A785" s="96" t="s">
        <v>236</v>
      </c>
      <c r="B785" s="93" t="str">
        <f>IF(PROGRAMA_DETALLE!Q85="","",PROGRAMA_DETALLE!Q85)</f>
        <v/>
      </c>
      <c r="C785" s="84" t="str">
        <f>IF(PROGRAMA_DETALLE!A85="","","Tintorería")</f>
        <v/>
      </c>
      <c r="D785" s="94" t="str">
        <f>IF(PROGRAMA_DETALLE!AB85="","",PROGRAMA_DETALLE!AB85)</f>
        <v/>
      </c>
      <c r="E785" s="84" t="str">
        <f>IF(PROGRAMA_DETALLE!A85="","","Teñido "&amp;PROGRAMA_DETALLE!D85&amp;" "&amp;PROGRAMA_DETALLE!B85)</f>
        <v/>
      </c>
      <c r="F785" s="95" t="str">
        <f>IF(PROGRAMA_DETALLE!Z85=0,"",PROGRAMA_DETALLE!Z85)</f>
        <v/>
      </c>
      <c r="G785" s="95">
        <f>IF(PROGRAMA_DETALLE!AC85="PAGADO",PROGRAMA_DETALLE!Z85,0)</f>
        <v>0</v>
      </c>
      <c r="H785" s="95">
        <f>IF(OR(PROGRAMA_DETALLE!AC85="PENDIENTE",PROGRAMA_DETALLE!AC85="PARCIAL"),PROGRAMA_DETALLE!Z85,0)</f>
        <v>0</v>
      </c>
      <c r="I785" s="94" t="str">
        <f>IF(PROGRAMA_DETALLE!AC85="","",PROGRAMA_DETALLE!AC85)</f>
        <v/>
      </c>
    </row>
    <row r="786" ht="15.75" customHeight="1">
      <c r="A786" s="96" t="s">
        <v>236</v>
      </c>
      <c r="B786" s="93" t="str">
        <f>IF(PROGRAMA_DETALLE!Q86="","",PROGRAMA_DETALLE!Q86)</f>
        <v/>
      </c>
      <c r="C786" s="84" t="str">
        <f>IF(PROGRAMA_DETALLE!A86="","","Tintorería")</f>
        <v/>
      </c>
      <c r="D786" s="94" t="str">
        <f>IF(PROGRAMA_DETALLE!AB86="","",PROGRAMA_DETALLE!AB86)</f>
        <v/>
      </c>
      <c r="E786" s="84" t="str">
        <f>IF(PROGRAMA_DETALLE!A86="","","Teñido "&amp;PROGRAMA_DETALLE!D86&amp;" "&amp;PROGRAMA_DETALLE!B86)</f>
        <v/>
      </c>
      <c r="F786" s="95" t="str">
        <f>IF(PROGRAMA_DETALLE!Z86=0,"",PROGRAMA_DETALLE!Z86)</f>
        <v/>
      </c>
      <c r="G786" s="95">
        <f>IF(PROGRAMA_DETALLE!AC86="PAGADO",PROGRAMA_DETALLE!Z86,0)</f>
        <v>0</v>
      </c>
      <c r="H786" s="95">
        <f>IF(OR(PROGRAMA_DETALLE!AC86="PENDIENTE",PROGRAMA_DETALLE!AC86="PARCIAL"),PROGRAMA_DETALLE!Z86,0)</f>
        <v>0</v>
      </c>
      <c r="I786" s="94" t="str">
        <f>IF(PROGRAMA_DETALLE!AC86="","",PROGRAMA_DETALLE!AC86)</f>
        <v/>
      </c>
    </row>
    <row r="787" ht="15.75" customHeight="1">
      <c r="A787" s="96" t="s">
        <v>236</v>
      </c>
      <c r="B787" s="93" t="str">
        <f>IF(PROGRAMA_DETALLE!Q87="","",PROGRAMA_DETALLE!Q87)</f>
        <v/>
      </c>
      <c r="C787" s="84" t="str">
        <f>IF(PROGRAMA_DETALLE!A87="","","Tintorería")</f>
        <v/>
      </c>
      <c r="D787" s="94" t="str">
        <f>IF(PROGRAMA_DETALLE!AB87="","",PROGRAMA_DETALLE!AB87)</f>
        <v/>
      </c>
      <c r="E787" s="84" t="str">
        <f>IF(PROGRAMA_DETALLE!A87="","","Teñido "&amp;PROGRAMA_DETALLE!D87&amp;" "&amp;PROGRAMA_DETALLE!B87)</f>
        <v/>
      </c>
      <c r="F787" s="95" t="str">
        <f>IF(PROGRAMA_DETALLE!Z87=0,"",PROGRAMA_DETALLE!Z87)</f>
        <v/>
      </c>
      <c r="G787" s="95">
        <f>IF(PROGRAMA_DETALLE!AC87="PAGADO",PROGRAMA_DETALLE!Z87,0)</f>
        <v>0</v>
      </c>
      <c r="H787" s="95">
        <f>IF(OR(PROGRAMA_DETALLE!AC87="PENDIENTE",PROGRAMA_DETALLE!AC87="PARCIAL"),PROGRAMA_DETALLE!Z87,0)</f>
        <v>0</v>
      </c>
      <c r="I787" s="94" t="str">
        <f>IF(PROGRAMA_DETALLE!AC87="","",PROGRAMA_DETALLE!AC87)</f>
        <v/>
      </c>
    </row>
    <row r="788" ht="15.75" customHeight="1">
      <c r="A788" s="96" t="s">
        <v>236</v>
      </c>
      <c r="B788" s="93" t="str">
        <f>IF(PROGRAMA_DETALLE!Q88="","",PROGRAMA_DETALLE!Q88)</f>
        <v/>
      </c>
      <c r="C788" s="84" t="str">
        <f>IF(PROGRAMA_DETALLE!A88="","","Tintorería")</f>
        <v/>
      </c>
      <c r="D788" s="94" t="str">
        <f>IF(PROGRAMA_DETALLE!AB88="","",PROGRAMA_DETALLE!AB88)</f>
        <v/>
      </c>
      <c r="E788" s="84" t="str">
        <f>IF(PROGRAMA_DETALLE!A88="","","Teñido "&amp;PROGRAMA_DETALLE!D88&amp;" "&amp;PROGRAMA_DETALLE!B88)</f>
        <v/>
      </c>
      <c r="F788" s="95" t="str">
        <f>IF(PROGRAMA_DETALLE!Z88=0,"",PROGRAMA_DETALLE!Z88)</f>
        <v/>
      </c>
      <c r="G788" s="95">
        <f>IF(PROGRAMA_DETALLE!AC88="PAGADO",PROGRAMA_DETALLE!Z88,0)</f>
        <v>0</v>
      </c>
      <c r="H788" s="95">
        <f>IF(OR(PROGRAMA_DETALLE!AC88="PENDIENTE",PROGRAMA_DETALLE!AC88="PARCIAL"),PROGRAMA_DETALLE!Z88,0)</f>
        <v>0</v>
      </c>
      <c r="I788" s="94" t="str">
        <f>IF(PROGRAMA_DETALLE!AC88="","",PROGRAMA_DETALLE!AC88)</f>
        <v/>
      </c>
    </row>
    <row r="789" ht="15.75" customHeight="1">
      <c r="A789" s="96" t="s">
        <v>236</v>
      </c>
      <c r="B789" s="93" t="str">
        <f>IF(PROGRAMA_DETALLE!Q89="","",PROGRAMA_DETALLE!Q89)</f>
        <v/>
      </c>
      <c r="C789" s="84" t="str">
        <f>IF(PROGRAMA_DETALLE!A89="","","Tintorería")</f>
        <v/>
      </c>
      <c r="D789" s="94" t="str">
        <f>IF(PROGRAMA_DETALLE!AB89="","",PROGRAMA_DETALLE!AB89)</f>
        <v/>
      </c>
      <c r="E789" s="84" t="str">
        <f>IF(PROGRAMA_DETALLE!A89="","","Teñido "&amp;PROGRAMA_DETALLE!D89&amp;" "&amp;PROGRAMA_DETALLE!B89)</f>
        <v/>
      </c>
      <c r="F789" s="95" t="str">
        <f>IF(PROGRAMA_DETALLE!Z89=0,"",PROGRAMA_DETALLE!Z89)</f>
        <v/>
      </c>
      <c r="G789" s="95">
        <f>IF(PROGRAMA_DETALLE!AC89="PAGADO",PROGRAMA_DETALLE!Z89,0)</f>
        <v>0</v>
      </c>
      <c r="H789" s="95">
        <f>IF(OR(PROGRAMA_DETALLE!AC89="PENDIENTE",PROGRAMA_DETALLE!AC89="PARCIAL"),PROGRAMA_DETALLE!Z89,0)</f>
        <v>0</v>
      </c>
      <c r="I789" s="94" t="str">
        <f>IF(PROGRAMA_DETALLE!AC89="","",PROGRAMA_DETALLE!AC89)</f>
        <v/>
      </c>
    </row>
    <row r="790" ht="15.75" customHeight="1">
      <c r="A790" s="96" t="s">
        <v>236</v>
      </c>
      <c r="B790" s="93" t="str">
        <f>IF(PROGRAMA_DETALLE!Q90="","",PROGRAMA_DETALLE!Q90)</f>
        <v/>
      </c>
      <c r="C790" s="84" t="str">
        <f>IF(PROGRAMA_DETALLE!A90="","","Tintorería")</f>
        <v/>
      </c>
      <c r="D790" s="94" t="str">
        <f>IF(PROGRAMA_DETALLE!AB90="","",PROGRAMA_DETALLE!AB90)</f>
        <v/>
      </c>
      <c r="E790" s="84" t="str">
        <f>IF(PROGRAMA_DETALLE!A90="","","Teñido "&amp;PROGRAMA_DETALLE!D90&amp;" "&amp;PROGRAMA_DETALLE!B90)</f>
        <v/>
      </c>
      <c r="F790" s="95" t="str">
        <f>IF(PROGRAMA_DETALLE!Z90=0,"",PROGRAMA_DETALLE!Z90)</f>
        <v/>
      </c>
      <c r="G790" s="95">
        <f>IF(PROGRAMA_DETALLE!AC90="PAGADO",PROGRAMA_DETALLE!Z90,0)</f>
        <v>0</v>
      </c>
      <c r="H790" s="95">
        <f>IF(OR(PROGRAMA_DETALLE!AC90="PENDIENTE",PROGRAMA_DETALLE!AC90="PARCIAL"),PROGRAMA_DETALLE!Z90,0)</f>
        <v>0</v>
      </c>
      <c r="I790" s="94" t="str">
        <f>IF(PROGRAMA_DETALLE!AC90="","",PROGRAMA_DETALLE!AC90)</f>
        <v/>
      </c>
    </row>
    <row r="791" ht="15.75" customHeight="1">
      <c r="A791" s="96" t="s">
        <v>236</v>
      </c>
      <c r="B791" s="93" t="str">
        <f>IF(PROGRAMA_DETALLE!Q91="","",PROGRAMA_DETALLE!Q91)</f>
        <v/>
      </c>
      <c r="C791" s="84" t="str">
        <f>IF(PROGRAMA_DETALLE!A91="","","Tintorería")</f>
        <v/>
      </c>
      <c r="D791" s="94" t="str">
        <f>IF(PROGRAMA_DETALLE!AB91="","",PROGRAMA_DETALLE!AB91)</f>
        <v/>
      </c>
      <c r="E791" s="84" t="str">
        <f>IF(PROGRAMA_DETALLE!A91="","","Teñido "&amp;PROGRAMA_DETALLE!D91&amp;" "&amp;PROGRAMA_DETALLE!B91)</f>
        <v/>
      </c>
      <c r="F791" s="95" t="str">
        <f>IF(PROGRAMA_DETALLE!Z91=0,"",PROGRAMA_DETALLE!Z91)</f>
        <v/>
      </c>
      <c r="G791" s="95">
        <f>IF(PROGRAMA_DETALLE!AC91="PAGADO",PROGRAMA_DETALLE!Z91,0)</f>
        <v>0</v>
      </c>
      <c r="H791" s="95">
        <f>IF(OR(PROGRAMA_DETALLE!AC91="PENDIENTE",PROGRAMA_DETALLE!AC91="PARCIAL"),PROGRAMA_DETALLE!Z91,0)</f>
        <v>0</v>
      </c>
      <c r="I791" s="94" t="str">
        <f>IF(PROGRAMA_DETALLE!AC91="","",PROGRAMA_DETALLE!AC91)</f>
        <v/>
      </c>
    </row>
    <row r="792" ht="15.75" customHeight="1">
      <c r="A792" s="96" t="s">
        <v>236</v>
      </c>
      <c r="B792" s="93" t="str">
        <f>IF(PROGRAMA_DETALLE!Q92="","",PROGRAMA_DETALLE!Q92)</f>
        <v/>
      </c>
      <c r="C792" s="84" t="str">
        <f>IF(PROGRAMA_DETALLE!A92="","","Tintorería")</f>
        <v/>
      </c>
      <c r="D792" s="94" t="str">
        <f>IF(PROGRAMA_DETALLE!AB92="","",PROGRAMA_DETALLE!AB92)</f>
        <v/>
      </c>
      <c r="E792" s="84" t="str">
        <f>IF(PROGRAMA_DETALLE!A92="","","Teñido "&amp;PROGRAMA_DETALLE!D92&amp;" "&amp;PROGRAMA_DETALLE!B92)</f>
        <v/>
      </c>
      <c r="F792" s="95" t="str">
        <f>IF(PROGRAMA_DETALLE!Z92=0,"",PROGRAMA_DETALLE!Z92)</f>
        <v/>
      </c>
      <c r="G792" s="95">
        <f>IF(PROGRAMA_DETALLE!AC92="PAGADO",PROGRAMA_DETALLE!Z92,0)</f>
        <v>0</v>
      </c>
      <c r="H792" s="95">
        <f>IF(OR(PROGRAMA_DETALLE!AC92="PENDIENTE",PROGRAMA_DETALLE!AC92="PARCIAL"),PROGRAMA_DETALLE!Z92,0)</f>
        <v>0</v>
      </c>
      <c r="I792" s="94" t="str">
        <f>IF(PROGRAMA_DETALLE!AC92="","",PROGRAMA_DETALLE!AC92)</f>
        <v/>
      </c>
    </row>
    <row r="793" ht="15.75" customHeight="1">
      <c r="A793" s="96" t="s">
        <v>236</v>
      </c>
      <c r="B793" s="93" t="str">
        <f>IF(PROGRAMA_DETALLE!Q93="","",PROGRAMA_DETALLE!Q93)</f>
        <v/>
      </c>
      <c r="C793" s="84" t="str">
        <f>IF(PROGRAMA_DETALLE!A93="","","Tintorería")</f>
        <v/>
      </c>
      <c r="D793" s="94" t="str">
        <f>IF(PROGRAMA_DETALLE!AB93="","",PROGRAMA_DETALLE!AB93)</f>
        <v/>
      </c>
      <c r="E793" s="84" t="str">
        <f>IF(PROGRAMA_DETALLE!A93="","","Teñido "&amp;PROGRAMA_DETALLE!D93&amp;" "&amp;PROGRAMA_DETALLE!B93)</f>
        <v/>
      </c>
      <c r="F793" s="95" t="str">
        <f>IF(PROGRAMA_DETALLE!Z93=0,"",PROGRAMA_DETALLE!Z93)</f>
        <v/>
      </c>
      <c r="G793" s="95">
        <f>IF(PROGRAMA_DETALLE!AC93="PAGADO",PROGRAMA_DETALLE!Z93,0)</f>
        <v>0</v>
      </c>
      <c r="H793" s="95">
        <f>IF(OR(PROGRAMA_DETALLE!AC93="PENDIENTE",PROGRAMA_DETALLE!AC93="PARCIAL"),PROGRAMA_DETALLE!Z93,0)</f>
        <v>0</v>
      </c>
      <c r="I793" s="94" t="str">
        <f>IF(PROGRAMA_DETALLE!AC93="","",PROGRAMA_DETALLE!AC93)</f>
        <v/>
      </c>
    </row>
    <row r="794" ht="15.75" customHeight="1">
      <c r="A794" s="96" t="s">
        <v>236</v>
      </c>
      <c r="B794" s="93" t="str">
        <f>IF(PROGRAMA_DETALLE!Q94="","",PROGRAMA_DETALLE!Q94)</f>
        <v/>
      </c>
      <c r="C794" s="84" t="str">
        <f>IF(PROGRAMA_DETALLE!A94="","","Tintorería")</f>
        <v/>
      </c>
      <c r="D794" s="94" t="str">
        <f>IF(PROGRAMA_DETALLE!AB94="","",PROGRAMA_DETALLE!AB94)</f>
        <v/>
      </c>
      <c r="E794" s="84" t="str">
        <f>IF(PROGRAMA_DETALLE!A94="","","Teñido "&amp;PROGRAMA_DETALLE!D94&amp;" "&amp;PROGRAMA_DETALLE!B94)</f>
        <v/>
      </c>
      <c r="F794" s="95" t="str">
        <f>IF(PROGRAMA_DETALLE!Z94=0,"",PROGRAMA_DETALLE!Z94)</f>
        <v/>
      </c>
      <c r="G794" s="95">
        <f>IF(PROGRAMA_DETALLE!AC94="PAGADO",PROGRAMA_DETALLE!Z94,0)</f>
        <v>0</v>
      </c>
      <c r="H794" s="95">
        <f>IF(OR(PROGRAMA_DETALLE!AC94="PENDIENTE",PROGRAMA_DETALLE!AC94="PARCIAL"),PROGRAMA_DETALLE!Z94,0)</f>
        <v>0</v>
      </c>
      <c r="I794" s="94" t="str">
        <f>IF(PROGRAMA_DETALLE!AC94="","",PROGRAMA_DETALLE!AC94)</f>
        <v/>
      </c>
    </row>
    <row r="795" ht="15.75" customHeight="1">
      <c r="A795" s="96" t="s">
        <v>236</v>
      </c>
      <c r="B795" s="93" t="str">
        <f>IF(PROGRAMA_DETALLE!Q95="","",PROGRAMA_DETALLE!Q95)</f>
        <v/>
      </c>
      <c r="C795" s="84" t="str">
        <f>IF(PROGRAMA_DETALLE!A95="","","Tintorería")</f>
        <v/>
      </c>
      <c r="D795" s="94" t="str">
        <f>IF(PROGRAMA_DETALLE!AB95="","",PROGRAMA_DETALLE!AB95)</f>
        <v/>
      </c>
      <c r="E795" s="84" t="str">
        <f>IF(PROGRAMA_DETALLE!A95="","","Teñido "&amp;PROGRAMA_DETALLE!D95&amp;" "&amp;PROGRAMA_DETALLE!B95)</f>
        <v/>
      </c>
      <c r="F795" s="95" t="str">
        <f>IF(PROGRAMA_DETALLE!Z95=0,"",PROGRAMA_DETALLE!Z95)</f>
        <v/>
      </c>
      <c r="G795" s="95">
        <f>IF(PROGRAMA_DETALLE!AC95="PAGADO",PROGRAMA_DETALLE!Z95,0)</f>
        <v>0</v>
      </c>
      <c r="H795" s="95">
        <f>IF(OR(PROGRAMA_DETALLE!AC95="PENDIENTE",PROGRAMA_DETALLE!AC95="PARCIAL"),PROGRAMA_DETALLE!Z95,0)</f>
        <v>0</v>
      </c>
      <c r="I795" s="94" t="str">
        <f>IF(PROGRAMA_DETALLE!AC95="","",PROGRAMA_DETALLE!AC95)</f>
        <v/>
      </c>
    </row>
    <row r="796" ht="15.75" customHeight="1">
      <c r="A796" s="96" t="s">
        <v>236</v>
      </c>
      <c r="B796" s="93" t="str">
        <f>IF(PROGRAMA_DETALLE!Q96="","",PROGRAMA_DETALLE!Q96)</f>
        <v/>
      </c>
      <c r="C796" s="84" t="str">
        <f>IF(PROGRAMA_DETALLE!A96="","","Tintorería")</f>
        <v/>
      </c>
      <c r="D796" s="94" t="str">
        <f>IF(PROGRAMA_DETALLE!AB96="","",PROGRAMA_DETALLE!AB96)</f>
        <v/>
      </c>
      <c r="E796" s="84" t="str">
        <f>IF(PROGRAMA_DETALLE!A96="","","Teñido "&amp;PROGRAMA_DETALLE!D96&amp;" "&amp;PROGRAMA_DETALLE!B96)</f>
        <v/>
      </c>
      <c r="F796" s="95" t="str">
        <f>IF(PROGRAMA_DETALLE!Z96=0,"",PROGRAMA_DETALLE!Z96)</f>
        <v/>
      </c>
      <c r="G796" s="95">
        <f>IF(PROGRAMA_DETALLE!AC96="PAGADO",PROGRAMA_DETALLE!Z96,0)</f>
        <v>0</v>
      </c>
      <c r="H796" s="95">
        <f>IF(OR(PROGRAMA_DETALLE!AC96="PENDIENTE",PROGRAMA_DETALLE!AC96="PARCIAL"),PROGRAMA_DETALLE!Z96,0)</f>
        <v>0</v>
      </c>
      <c r="I796" s="94" t="str">
        <f>IF(PROGRAMA_DETALLE!AC96="","",PROGRAMA_DETALLE!AC96)</f>
        <v/>
      </c>
    </row>
    <row r="797" ht="15.75" customHeight="1">
      <c r="A797" s="96" t="s">
        <v>236</v>
      </c>
      <c r="B797" s="93" t="str">
        <f>IF(PROGRAMA_DETALLE!Q97="","",PROGRAMA_DETALLE!Q97)</f>
        <v/>
      </c>
      <c r="C797" s="84" t="str">
        <f>IF(PROGRAMA_DETALLE!A97="","","Tintorería")</f>
        <v/>
      </c>
      <c r="D797" s="94" t="str">
        <f>IF(PROGRAMA_DETALLE!AB97="","",PROGRAMA_DETALLE!AB97)</f>
        <v/>
      </c>
      <c r="E797" s="84" t="str">
        <f>IF(PROGRAMA_DETALLE!A97="","","Teñido "&amp;PROGRAMA_DETALLE!D97&amp;" "&amp;PROGRAMA_DETALLE!B97)</f>
        <v/>
      </c>
      <c r="F797" s="95" t="str">
        <f>IF(PROGRAMA_DETALLE!Z97=0,"",PROGRAMA_DETALLE!Z97)</f>
        <v/>
      </c>
      <c r="G797" s="95">
        <f>IF(PROGRAMA_DETALLE!AC97="PAGADO",PROGRAMA_DETALLE!Z97,0)</f>
        <v>0</v>
      </c>
      <c r="H797" s="95">
        <f>IF(OR(PROGRAMA_DETALLE!AC97="PENDIENTE",PROGRAMA_DETALLE!AC97="PARCIAL"),PROGRAMA_DETALLE!Z97,0)</f>
        <v>0</v>
      </c>
      <c r="I797" s="94" t="str">
        <f>IF(PROGRAMA_DETALLE!AC97="","",PROGRAMA_DETALLE!AC97)</f>
        <v/>
      </c>
    </row>
    <row r="798" ht="15.75" customHeight="1">
      <c r="A798" s="96" t="s">
        <v>236</v>
      </c>
      <c r="B798" s="93" t="str">
        <f>IF(PROGRAMA_DETALLE!Q98="","",PROGRAMA_DETALLE!Q98)</f>
        <v/>
      </c>
      <c r="C798" s="84" t="str">
        <f>IF(PROGRAMA_DETALLE!A98="","","Tintorería")</f>
        <v/>
      </c>
      <c r="D798" s="94" t="str">
        <f>IF(PROGRAMA_DETALLE!AB98="","",PROGRAMA_DETALLE!AB98)</f>
        <v/>
      </c>
      <c r="E798" s="84" t="str">
        <f>IF(PROGRAMA_DETALLE!A98="","","Teñido "&amp;PROGRAMA_DETALLE!D98&amp;" "&amp;PROGRAMA_DETALLE!B98)</f>
        <v/>
      </c>
      <c r="F798" s="95" t="str">
        <f>IF(PROGRAMA_DETALLE!Z98=0,"",PROGRAMA_DETALLE!Z98)</f>
        <v/>
      </c>
      <c r="G798" s="95">
        <f>IF(PROGRAMA_DETALLE!AC98="PAGADO",PROGRAMA_DETALLE!Z98,0)</f>
        <v>0</v>
      </c>
      <c r="H798" s="95">
        <f>IF(OR(PROGRAMA_DETALLE!AC98="PENDIENTE",PROGRAMA_DETALLE!AC98="PARCIAL"),PROGRAMA_DETALLE!Z98,0)</f>
        <v>0</v>
      </c>
      <c r="I798" s="94" t="str">
        <f>IF(PROGRAMA_DETALLE!AC98="","",PROGRAMA_DETALLE!AC98)</f>
        <v/>
      </c>
    </row>
    <row r="799" ht="15.75" customHeight="1">
      <c r="A799" s="96" t="s">
        <v>236</v>
      </c>
      <c r="B799" s="93" t="str">
        <f>IF(PROGRAMA_DETALLE!Q99="","",PROGRAMA_DETALLE!Q99)</f>
        <v/>
      </c>
      <c r="C799" s="84" t="str">
        <f>IF(PROGRAMA_DETALLE!A99="","","Tintorería")</f>
        <v/>
      </c>
      <c r="D799" s="94" t="str">
        <f>IF(PROGRAMA_DETALLE!AB99="","",PROGRAMA_DETALLE!AB99)</f>
        <v/>
      </c>
      <c r="E799" s="84" t="str">
        <f>IF(PROGRAMA_DETALLE!A99="","","Teñido "&amp;PROGRAMA_DETALLE!D99&amp;" "&amp;PROGRAMA_DETALLE!B99)</f>
        <v/>
      </c>
      <c r="F799" s="95" t="str">
        <f>IF(PROGRAMA_DETALLE!Z99=0,"",PROGRAMA_DETALLE!Z99)</f>
        <v/>
      </c>
      <c r="G799" s="95">
        <f>IF(PROGRAMA_DETALLE!AC99="PAGADO",PROGRAMA_DETALLE!Z99,0)</f>
        <v>0</v>
      </c>
      <c r="H799" s="95">
        <f>IF(OR(PROGRAMA_DETALLE!AC99="PENDIENTE",PROGRAMA_DETALLE!AC99="PARCIAL"),PROGRAMA_DETALLE!Z99,0)</f>
        <v>0</v>
      </c>
      <c r="I799" s="94" t="str">
        <f>IF(PROGRAMA_DETALLE!AC99="","",PROGRAMA_DETALLE!AC99)</f>
        <v/>
      </c>
    </row>
    <row r="800" ht="15.75" customHeight="1">
      <c r="A800" s="96" t="s">
        <v>236</v>
      </c>
      <c r="B800" s="93" t="str">
        <f>IF(PROGRAMA_DETALLE!Q100="","",PROGRAMA_DETALLE!Q100)</f>
        <v/>
      </c>
      <c r="C800" s="84" t="str">
        <f>IF(PROGRAMA_DETALLE!A100="","","Tintorería")</f>
        <v/>
      </c>
      <c r="D800" s="94" t="str">
        <f>IF(PROGRAMA_DETALLE!AB100="","",PROGRAMA_DETALLE!AB100)</f>
        <v/>
      </c>
      <c r="E800" s="84" t="str">
        <f>IF(PROGRAMA_DETALLE!A100="","","Teñido "&amp;PROGRAMA_DETALLE!D100&amp;" "&amp;PROGRAMA_DETALLE!B100)</f>
        <v/>
      </c>
      <c r="F800" s="95" t="str">
        <f>IF(PROGRAMA_DETALLE!Z100=0,"",PROGRAMA_DETALLE!Z100)</f>
        <v/>
      </c>
      <c r="G800" s="95">
        <f>IF(PROGRAMA_DETALLE!AC100="PAGADO",PROGRAMA_DETALLE!Z100,0)</f>
        <v>0</v>
      </c>
      <c r="H800" s="95">
        <f>IF(OR(PROGRAMA_DETALLE!AC100="PENDIENTE",PROGRAMA_DETALLE!AC100="PARCIAL"),PROGRAMA_DETALLE!Z100,0)</f>
        <v>0</v>
      </c>
      <c r="I800" s="94" t="str">
        <f>IF(PROGRAMA_DETALLE!AC100="","",PROGRAMA_DETALLE!AC100)</f>
        <v/>
      </c>
    </row>
    <row r="801" ht="15.75" customHeight="1">
      <c r="A801" s="96" t="s">
        <v>236</v>
      </c>
      <c r="B801" s="93" t="str">
        <f>IF(PROGRAMA_DETALLE!Q101="","",PROGRAMA_DETALLE!Q101)</f>
        <v/>
      </c>
      <c r="C801" s="84" t="str">
        <f>IF(PROGRAMA_DETALLE!A101="","","Tintorería")</f>
        <v/>
      </c>
      <c r="D801" s="94" t="str">
        <f>IF(PROGRAMA_DETALLE!AB101="","",PROGRAMA_DETALLE!AB101)</f>
        <v/>
      </c>
      <c r="E801" s="84" t="str">
        <f>IF(PROGRAMA_DETALLE!A101="","","Teñido "&amp;PROGRAMA_DETALLE!D101&amp;" "&amp;PROGRAMA_DETALLE!B101)</f>
        <v/>
      </c>
      <c r="F801" s="95" t="str">
        <f>IF(PROGRAMA_DETALLE!Z101=0,"",PROGRAMA_DETALLE!Z101)</f>
        <v/>
      </c>
      <c r="G801" s="95">
        <f>IF(PROGRAMA_DETALLE!AC101="PAGADO",PROGRAMA_DETALLE!Z101,0)</f>
        <v>0</v>
      </c>
      <c r="H801" s="95">
        <f>IF(OR(PROGRAMA_DETALLE!AC101="PENDIENTE",PROGRAMA_DETALLE!AC101="PARCIAL"),PROGRAMA_DETALLE!Z101,0)</f>
        <v>0</v>
      </c>
      <c r="I801" s="94" t="str">
        <f>IF(PROGRAMA_DETALLE!AC101="","",PROGRAMA_DETALLE!AC101)</f>
        <v/>
      </c>
    </row>
    <row r="802" ht="15.75" customHeight="1">
      <c r="A802" s="96" t="s">
        <v>236</v>
      </c>
      <c r="B802" s="93" t="str">
        <f>IF(PROGRAMA_DETALLE!Q102="","",PROGRAMA_DETALLE!Q102)</f>
        <v/>
      </c>
      <c r="C802" s="84" t="str">
        <f>IF(PROGRAMA_DETALLE!A102="","","Tintorería")</f>
        <v/>
      </c>
      <c r="D802" s="94" t="str">
        <f>IF(PROGRAMA_DETALLE!AB102="","",PROGRAMA_DETALLE!AB102)</f>
        <v/>
      </c>
      <c r="E802" s="84" t="str">
        <f>IF(PROGRAMA_DETALLE!A102="","","Teñido "&amp;PROGRAMA_DETALLE!D102&amp;" "&amp;PROGRAMA_DETALLE!B102)</f>
        <v/>
      </c>
      <c r="F802" s="95" t="str">
        <f>IF(PROGRAMA_DETALLE!Z102=0,"",PROGRAMA_DETALLE!Z102)</f>
        <v/>
      </c>
      <c r="G802" s="95">
        <f>IF(PROGRAMA_DETALLE!AC102="PAGADO",PROGRAMA_DETALLE!Z102,0)</f>
        <v>0</v>
      </c>
      <c r="H802" s="95">
        <f>IF(OR(PROGRAMA_DETALLE!AC102="PENDIENTE",PROGRAMA_DETALLE!AC102="PARCIAL"),PROGRAMA_DETALLE!Z102,0)</f>
        <v>0</v>
      </c>
      <c r="I802" s="94" t="str">
        <f>IF(PROGRAMA_DETALLE!AC102="","",PROGRAMA_DETALLE!AC102)</f>
        <v/>
      </c>
    </row>
    <row r="803" ht="15.75" customHeight="1">
      <c r="A803" s="96" t="s">
        <v>236</v>
      </c>
      <c r="B803" s="93" t="str">
        <f>IF(PROGRAMA_DETALLE!Q103="","",PROGRAMA_DETALLE!Q103)</f>
        <v/>
      </c>
      <c r="C803" s="84" t="str">
        <f>IF(PROGRAMA_DETALLE!A103="","","Tintorería")</f>
        <v/>
      </c>
      <c r="D803" s="94" t="str">
        <f>IF(PROGRAMA_DETALLE!AB103="","",PROGRAMA_DETALLE!AB103)</f>
        <v/>
      </c>
      <c r="E803" s="84" t="str">
        <f>IF(PROGRAMA_DETALLE!A103="","","Teñido "&amp;PROGRAMA_DETALLE!D103&amp;" "&amp;PROGRAMA_DETALLE!B103)</f>
        <v/>
      </c>
      <c r="F803" s="95" t="str">
        <f>IF(PROGRAMA_DETALLE!Z103=0,"",PROGRAMA_DETALLE!Z103)</f>
        <v/>
      </c>
      <c r="G803" s="95">
        <f>IF(PROGRAMA_DETALLE!AC103="PAGADO",PROGRAMA_DETALLE!Z103,0)</f>
        <v>0</v>
      </c>
      <c r="H803" s="95">
        <f>IF(OR(PROGRAMA_DETALLE!AC103="PENDIENTE",PROGRAMA_DETALLE!AC103="PARCIAL"),PROGRAMA_DETALLE!Z103,0)</f>
        <v>0</v>
      </c>
      <c r="I803" s="94" t="str">
        <f>IF(PROGRAMA_DETALLE!AC103="","",PROGRAMA_DETALLE!AC103)</f>
        <v/>
      </c>
    </row>
    <row r="804" ht="15.75" customHeight="1">
      <c r="A804" s="96" t="s">
        <v>236</v>
      </c>
      <c r="B804" s="93" t="str">
        <f>IF(PROGRAMA_DETALLE!Q104="","",PROGRAMA_DETALLE!Q104)</f>
        <v/>
      </c>
      <c r="C804" s="84" t="str">
        <f>IF(PROGRAMA_DETALLE!A104="","","Tintorería")</f>
        <v/>
      </c>
      <c r="D804" s="94" t="str">
        <f>IF(PROGRAMA_DETALLE!AB104="","",PROGRAMA_DETALLE!AB104)</f>
        <v/>
      </c>
      <c r="E804" s="84" t="str">
        <f>IF(PROGRAMA_DETALLE!A104="","","Teñido "&amp;PROGRAMA_DETALLE!D104&amp;" "&amp;PROGRAMA_DETALLE!B104)</f>
        <v/>
      </c>
      <c r="F804" s="95" t="str">
        <f>IF(PROGRAMA_DETALLE!Z104=0,"",PROGRAMA_DETALLE!Z104)</f>
        <v/>
      </c>
      <c r="G804" s="95">
        <f>IF(PROGRAMA_DETALLE!AC104="PAGADO",PROGRAMA_DETALLE!Z104,0)</f>
        <v>0</v>
      </c>
      <c r="H804" s="95">
        <f>IF(OR(PROGRAMA_DETALLE!AC104="PENDIENTE",PROGRAMA_DETALLE!AC104="PARCIAL"),PROGRAMA_DETALLE!Z104,0)</f>
        <v>0</v>
      </c>
      <c r="I804" s="94" t="str">
        <f>IF(PROGRAMA_DETALLE!AC104="","",PROGRAMA_DETALLE!AC104)</f>
        <v/>
      </c>
    </row>
    <row r="805" ht="15.75" customHeight="1">
      <c r="A805" s="96" t="s">
        <v>236</v>
      </c>
      <c r="B805" s="93" t="str">
        <f>IF(PROGRAMA_DETALLE!Q105="","",PROGRAMA_DETALLE!Q105)</f>
        <v/>
      </c>
      <c r="C805" s="84" t="str">
        <f>IF(PROGRAMA_DETALLE!A105="","","Tintorería")</f>
        <v/>
      </c>
      <c r="D805" s="94" t="str">
        <f>IF(PROGRAMA_DETALLE!AB105="","",PROGRAMA_DETALLE!AB105)</f>
        <v/>
      </c>
      <c r="E805" s="84" t="str">
        <f>IF(PROGRAMA_DETALLE!A105="","","Teñido "&amp;PROGRAMA_DETALLE!D105&amp;" "&amp;PROGRAMA_DETALLE!B105)</f>
        <v/>
      </c>
      <c r="F805" s="95" t="str">
        <f>IF(PROGRAMA_DETALLE!Z105=0,"",PROGRAMA_DETALLE!Z105)</f>
        <v/>
      </c>
      <c r="G805" s="95">
        <f>IF(PROGRAMA_DETALLE!AC105="PAGADO",PROGRAMA_DETALLE!Z105,0)</f>
        <v>0</v>
      </c>
      <c r="H805" s="95">
        <f>IF(OR(PROGRAMA_DETALLE!AC105="PENDIENTE",PROGRAMA_DETALLE!AC105="PARCIAL"),PROGRAMA_DETALLE!Z105,0)</f>
        <v>0</v>
      </c>
      <c r="I805" s="94" t="str">
        <f>IF(PROGRAMA_DETALLE!AC105="","",PROGRAMA_DETALLE!AC105)</f>
        <v/>
      </c>
    </row>
    <row r="806" ht="15.75" customHeight="1">
      <c r="A806" s="96" t="s">
        <v>236</v>
      </c>
      <c r="B806" s="93" t="str">
        <f>IF(PROGRAMA_DETALLE!Q106="","",PROGRAMA_DETALLE!Q106)</f>
        <v/>
      </c>
      <c r="C806" s="84" t="str">
        <f>IF(PROGRAMA_DETALLE!A106="","","Tintorería")</f>
        <v/>
      </c>
      <c r="D806" s="94" t="str">
        <f>IF(PROGRAMA_DETALLE!AB106="","",PROGRAMA_DETALLE!AB106)</f>
        <v/>
      </c>
      <c r="E806" s="84" t="str">
        <f>IF(PROGRAMA_DETALLE!A106="","","Teñido "&amp;PROGRAMA_DETALLE!D106&amp;" "&amp;PROGRAMA_DETALLE!B106)</f>
        <v/>
      </c>
      <c r="F806" s="95" t="str">
        <f>IF(PROGRAMA_DETALLE!Z106=0,"",PROGRAMA_DETALLE!Z106)</f>
        <v/>
      </c>
      <c r="G806" s="95">
        <f>IF(PROGRAMA_DETALLE!AC106="PAGADO",PROGRAMA_DETALLE!Z106,0)</f>
        <v>0</v>
      </c>
      <c r="H806" s="95">
        <f>IF(OR(PROGRAMA_DETALLE!AC106="PENDIENTE",PROGRAMA_DETALLE!AC106="PARCIAL"),PROGRAMA_DETALLE!Z106,0)</f>
        <v>0</v>
      </c>
      <c r="I806" s="94" t="str">
        <f>IF(PROGRAMA_DETALLE!AC106="","",PROGRAMA_DETALLE!AC106)</f>
        <v/>
      </c>
    </row>
    <row r="807" ht="15.75" customHeight="1">
      <c r="A807" s="96" t="s">
        <v>236</v>
      </c>
      <c r="B807" s="93" t="str">
        <f>IF(PROGRAMA_DETALLE!Q107="","",PROGRAMA_DETALLE!Q107)</f>
        <v/>
      </c>
      <c r="C807" s="84" t="str">
        <f>IF(PROGRAMA_DETALLE!A107="","","Tintorería")</f>
        <v/>
      </c>
      <c r="D807" s="94" t="str">
        <f>IF(PROGRAMA_DETALLE!AB107="","",PROGRAMA_DETALLE!AB107)</f>
        <v/>
      </c>
      <c r="E807" s="84" t="str">
        <f>IF(PROGRAMA_DETALLE!A107="","","Teñido "&amp;PROGRAMA_DETALLE!D107&amp;" "&amp;PROGRAMA_DETALLE!B107)</f>
        <v/>
      </c>
      <c r="F807" s="95" t="str">
        <f>IF(PROGRAMA_DETALLE!Z107=0,"",PROGRAMA_DETALLE!Z107)</f>
        <v/>
      </c>
      <c r="G807" s="95">
        <f>IF(PROGRAMA_DETALLE!AC107="PAGADO",PROGRAMA_DETALLE!Z107,0)</f>
        <v>0</v>
      </c>
      <c r="H807" s="95">
        <f>IF(OR(PROGRAMA_DETALLE!AC107="PENDIENTE",PROGRAMA_DETALLE!AC107="PARCIAL"),PROGRAMA_DETALLE!Z107,0)</f>
        <v>0</v>
      </c>
      <c r="I807" s="94" t="str">
        <f>IF(PROGRAMA_DETALLE!AC107="","",PROGRAMA_DETALLE!AC107)</f>
        <v/>
      </c>
    </row>
    <row r="808" ht="15.75" customHeight="1">
      <c r="A808" s="96" t="s">
        <v>236</v>
      </c>
      <c r="B808" s="93" t="str">
        <f>IF(PROGRAMA_DETALLE!Q108="","",PROGRAMA_DETALLE!Q108)</f>
        <v/>
      </c>
      <c r="C808" s="84" t="str">
        <f>IF(PROGRAMA_DETALLE!A108="","","Tintorería")</f>
        <v/>
      </c>
      <c r="D808" s="94" t="str">
        <f>IF(PROGRAMA_DETALLE!AB108="","",PROGRAMA_DETALLE!AB108)</f>
        <v/>
      </c>
      <c r="E808" s="84" t="str">
        <f>IF(PROGRAMA_DETALLE!A108="","","Teñido "&amp;PROGRAMA_DETALLE!D108&amp;" "&amp;PROGRAMA_DETALLE!B108)</f>
        <v/>
      </c>
      <c r="F808" s="95" t="str">
        <f>IF(PROGRAMA_DETALLE!Z108=0,"",PROGRAMA_DETALLE!Z108)</f>
        <v/>
      </c>
      <c r="G808" s="95">
        <f>IF(PROGRAMA_DETALLE!AC108="PAGADO",PROGRAMA_DETALLE!Z108,0)</f>
        <v>0</v>
      </c>
      <c r="H808" s="95">
        <f>IF(OR(PROGRAMA_DETALLE!AC108="PENDIENTE",PROGRAMA_DETALLE!AC108="PARCIAL"),PROGRAMA_DETALLE!Z108,0)</f>
        <v>0</v>
      </c>
      <c r="I808" s="94" t="str">
        <f>IF(PROGRAMA_DETALLE!AC108="","",PROGRAMA_DETALLE!AC108)</f>
        <v/>
      </c>
    </row>
    <row r="809" ht="15.75" customHeight="1">
      <c r="A809" s="96" t="s">
        <v>236</v>
      </c>
      <c r="B809" s="93" t="str">
        <f>IF(PROGRAMA_DETALLE!Q109="","",PROGRAMA_DETALLE!Q109)</f>
        <v/>
      </c>
      <c r="C809" s="84" t="str">
        <f>IF(PROGRAMA_DETALLE!A109="","","Tintorería")</f>
        <v/>
      </c>
      <c r="D809" s="94" t="str">
        <f>IF(PROGRAMA_DETALLE!AB109="","",PROGRAMA_DETALLE!AB109)</f>
        <v/>
      </c>
      <c r="E809" s="84" t="str">
        <f>IF(PROGRAMA_DETALLE!A109="","","Teñido "&amp;PROGRAMA_DETALLE!D109&amp;" "&amp;PROGRAMA_DETALLE!B109)</f>
        <v/>
      </c>
      <c r="F809" s="95" t="str">
        <f>IF(PROGRAMA_DETALLE!Z109=0,"",PROGRAMA_DETALLE!Z109)</f>
        <v/>
      </c>
      <c r="G809" s="95">
        <f>IF(PROGRAMA_DETALLE!AC109="PAGADO",PROGRAMA_DETALLE!Z109,0)</f>
        <v>0</v>
      </c>
      <c r="H809" s="95">
        <f>IF(OR(PROGRAMA_DETALLE!AC109="PENDIENTE",PROGRAMA_DETALLE!AC109="PARCIAL"),PROGRAMA_DETALLE!Z109,0)</f>
        <v>0</v>
      </c>
      <c r="I809" s="94" t="str">
        <f>IF(PROGRAMA_DETALLE!AC109="","",PROGRAMA_DETALLE!AC109)</f>
        <v/>
      </c>
    </row>
    <row r="810" ht="15.75" customHeight="1">
      <c r="A810" s="96" t="s">
        <v>236</v>
      </c>
      <c r="B810" s="93" t="str">
        <f>IF(PROGRAMA_DETALLE!Q110="","",PROGRAMA_DETALLE!Q110)</f>
        <v/>
      </c>
      <c r="C810" s="84" t="str">
        <f>IF(PROGRAMA_DETALLE!A110="","","Tintorería")</f>
        <v/>
      </c>
      <c r="D810" s="94" t="str">
        <f>IF(PROGRAMA_DETALLE!AB110="","",PROGRAMA_DETALLE!AB110)</f>
        <v/>
      </c>
      <c r="E810" s="84" t="str">
        <f>IF(PROGRAMA_DETALLE!A110="","","Teñido "&amp;PROGRAMA_DETALLE!D110&amp;" "&amp;PROGRAMA_DETALLE!B110)</f>
        <v/>
      </c>
      <c r="F810" s="95" t="str">
        <f>IF(PROGRAMA_DETALLE!Z110=0,"",PROGRAMA_DETALLE!Z110)</f>
        <v/>
      </c>
      <c r="G810" s="95">
        <f>IF(PROGRAMA_DETALLE!AC110="PAGADO",PROGRAMA_DETALLE!Z110,0)</f>
        <v>0</v>
      </c>
      <c r="H810" s="95">
        <f>IF(OR(PROGRAMA_DETALLE!AC110="PENDIENTE",PROGRAMA_DETALLE!AC110="PARCIAL"),PROGRAMA_DETALLE!Z110,0)</f>
        <v>0</v>
      </c>
      <c r="I810" s="94" t="str">
        <f>IF(PROGRAMA_DETALLE!AC110="","",PROGRAMA_DETALLE!AC110)</f>
        <v/>
      </c>
    </row>
    <row r="811" ht="15.75" customHeight="1">
      <c r="A811" s="96" t="s">
        <v>236</v>
      </c>
      <c r="B811" s="93" t="str">
        <f>IF(PROGRAMA_DETALLE!Q111="","",PROGRAMA_DETALLE!Q111)</f>
        <v/>
      </c>
      <c r="C811" s="84" t="str">
        <f>IF(PROGRAMA_DETALLE!A111="","","Tintorería")</f>
        <v/>
      </c>
      <c r="D811" s="94" t="str">
        <f>IF(PROGRAMA_DETALLE!AB111="","",PROGRAMA_DETALLE!AB111)</f>
        <v/>
      </c>
      <c r="E811" s="84" t="str">
        <f>IF(PROGRAMA_DETALLE!A111="","","Teñido "&amp;PROGRAMA_DETALLE!D111&amp;" "&amp;PROGRAMA_DETALLE!B111)</f>
        <v/>
      </c>
      <c r="F811" s="95" t="str">
        <f>IF(PROGRAMA_DETALLE!Z111=0,"",PROGRAMA_DETALLE!Z111)</f>
        <v/>
      </c>
      <c r="G811" s="95">
        <f>IF(PROGRAMA_DETALLE!AC111="PAGADO",PROGRAMA_DETALLE!Z111,0)</f>
        <v>0</v>
      </c>
      <c r="H811" s="95">
        <f>IF(OR(PROGRAMA_DETALLE!AC111="PENDIENTE",PROGRAMA_DETALLE!AC111="PARCIAL"),PROGRAMA_DETALLE!Z111,0)</f>
        <v>0</v>
      </c>
      <c r="I811" s="94" t="str">
        <f>IF(PROGRAMA_DETALLE!AC111="","",PROGRAMA_DETALLE!AC111)</f>
        <v/>
      </c>
    </row>
    <row r="812" ht="15.75" customHeight="1">
      <c r="A812" s="96" t="s">
        <v>236</v>
      </c>
      <c r="B812" s="93" t="str">
        <f>IF(PROGRAMA_DETALLE!Q112="","",PROGRAMA_DETALLE!Q112)</f>
        <v/>
      </c>
      <c r="C812" s="84" t="str">
        <f>IF(PROGRAMA_DETALLE!A112="","","Tintorería")</f>
        <v/>
      </c>
      <c r="D812" s="94" t="str">
        <f>IF(PROGRAMA_DETALLE!AB112="","",PROGRAMA_DETALLE!AB112)</f>
        <v/>
      </c>
      <c r="E812" s="84" t="str">
        <f>IF(PROGRAMA_DETALLE!A112="","","Teñido "&amp;PROGRAMA_DETALLE!D112&amp;" "&amp;PROGRAMA_DETALLE!B112)</f>
        <v/>
      </c>
      <c r="F812" s="95" t="str">
        <f>IF(PROGRAMA_DETALLE!Z112=0,"",PROGRAMA_DETALLE!Z112)</f>
        <v/>
      </c>
      <c r="G812" s="95">
        <f>IF(PROGRAMA_DETALLE!AC112="PAGADO",PROGRAMA_DETALLE!Z112,0)</f>
        <v>0</v>
      </c>
      <c r="H812" s="95">
        <f>IF(OR(PROGRAMA_DETALLE!AC112="PENDIENTE",PROGRAMA_DETALLE!AC112="PARCIAL"),PROGRAMA_DETALLE!Z112,0)</f>
        <v>0</v>
      </c>
      <c r="I812" s="94" t="str">
        <f>IF(PROGRAMA_DETALLE!AC112="","",PROGRAMA_DETALLE!AC112)</f>
        <v/>
      </c>
    </row>
    <row r="813" ht="15.75" customHeight="1">
      <c r="A813" s="96" t="s">
        <v>236</v>
      </c>
      <c r="B813" s="93" t="str">
        <f>IF(PROGRAMA_DETALLE!Q113="","",PROGRAMA_DETALLE!Q113)</f>
        <v/>
      </c>
      <c r="C813" s="84" t="str">
        <f>IF(PROGRAMA_DETALLE!A113="","","Tintorería")</f>
        <v/>
      </c>
      <c r="D813" s="94" t="str">
        <f>IF(PROGRAMA_DETALLE!AB113="","",PROGRAMA_DETALLE!AB113)</f>
        <v/>
      </c>
      <c r="E813" s="84" t="str">
        <f>IF(PROGRAMA_DETALLE!A113="","","Teñido "&amp;PROGRAMA_DETALLE!D113&amp;" "&amp;PROGRAMA_DETALLE!B113)</f>
        <v/>
      </c>
      <c r="F813" s="95" t="str">
        <f>IF(PROGRAMA_DETALLE!Z113=0,"",PROGRAMA_DETALLE!Z113)</f>
        <v/>
      </c>
      <c r="G813" s="95">
        <f>IF(PROGRAMA_DETALLE!AC113="PAGADO",PROGRAMA_DETALLE!Z113,0)</f>
        <v>0</v>
      </c>
      <c r="H813" s="95">
        <f>IF(OR(PROGRAMA_DETALLE!AC113="PENDIENTE",PROGRAMA_DETALLE!AC113="PARCIAL"),PROGRAMA_DETALLE!Z113,0)</f>
        <v>0</v>
      </c>
      <c r="I813" s="94" t="str">
        <f>IF(PROGRAMA_DETALLE!AC113="","",PROGRAMA_DETALLE!AC113)</f>
        <v/>
      </c>
    </row>
    <row r="814" ht="15.75" customHeight="1">
      <c r="A814" s="96" t="s">
        <v>236</v>
      </c>
      <c r="B814" s="93" t="str">
        <f>IF(PROGRAMA_DETALLE!Q114="","",PROGRAMA_DETALLE!Q114)</f>
        <v/>
      </c>
      <c r="C814" s="84" t="str">
        <f>IF(PROGRAMA_DETALLE!A114="","","Tintorería")</f>
        <v/>
      </c>
      <c r="D814" s="94" t="str">
        <f>IF(PROGRAMA_DETALLE!AB114="","",PROGRAMA_DETALLE!AB114)</f>
        <v/>
      </c>
      <c r="E814" s="84" t="str">
        <f>IF(PROGRAMA_DETALLE!A114="","","Teñido "&amp;PROGRAMA_DETALLE!D114&amp;" "&amp;PROGRAMA_DETALLE!B114)</f>
        <v/>
      </c>
      <c r="F814" s="95" t="str">
        <f>IF(PROGRAMA_DETALLE!Z114=0,"",PROGRAMA_DETALLE!Z114)</f>
        <v/>
      </c>
      <c r="G814" s="95">
        <f>IF(PROGRAMA_DETALLE!AC114="PAGADO",PROGRAMA_DETALLE!Z114,0)</f>
        <v>0</v>
      </c>
      <c r="H814" s="95">
        <f>IF(OR(PROGRAMA_DETALLE!AC114="PENDIENTE",PROGRAMA_DETALLE!AC114="PARCIAL"),PROGRAMA_DETALLE!Z114,0)</f>
        <v>0</v>
      </c>
      <c r="I814" s="94" t="str">
        <f>IF(PROGRAMA_DETALLE!AC114="","",PROGRAMA_DETALLE!AC114)</f>
        <v/>
      </c>
    </row>
    <row r="815" ht="15.75" customHeight="1">
      <c r="A815" s="96" t="s">
        <v>236</v>
      </c>
      <c r="B815" s="93" t="str">
        <f>IF(PROGRAMA_DETALLE!Q115="","",PROGRAMA_DETALLE!Q115)</f>
        <v/>
      </c>
      <c r="C815" s="84" t="str">
        <f>IF(PROGRAMA_DETALLE!A115="","","Tintorería")</f>
        <v/>
      </c>
      <c r="D815" s="94" t="str">
        <f>IF(PROGRAMA_DETALLE!AB115="","",PROGRAMA_DETALLE!AB115)</f>
        <v/>
      </c>
      <c r="E815" s="84" t="str">
        <f>IF(PROGRAMA_DETALLE!A115="","","Teñido "&amp;PROGRAMA_DETALLE!D115&amp;" "&amp;PROGRAMA_DETALLE!B115)</f>
        <v/>
      </c>
      <c r="F815" s="95" t="str">
        <f>IF(PROGRAMA_DETALLE!Z115=0,"",PROGRAMA_DETALLE!Z115)</f>
        <v/>
      </c>
      <c r="G815" s="95">
        <f>IF(PROGRAMA_DETALLE!AC115="PAGADO",PROGRAMA_DETALLE!Z115,0)</f>
        <v>0</v>
      </c>
      <c r="H815" s="95">
        <f>IF(OR(PROGRAMA_DETALLE!AC115="PENDIENTE",PROGRAMA_DETALLE!AC115="PARCIAL"),PROGRAMA_DETALLE!Z115,0)</f>
        <v>0</v>
      </c>
      <c r="I815" s="94" t="str">
        <f>IF(PROGRAMA_DETALLE!AC115="","",PROGRAMA_DETALLE!AC115)</f>
        <v/>
      </c>
    </row>
    <row r="816" ht="15.75" customHeight="1">
      <c r="A816" s="96" t="s">
        <v>236</v>
      </c>
      <c r="B816" s="93" t="str">
        <f>IF(PROGRAMA_DETALLE!Q116="","",PROGRAMA_DETALLE!Q116)</f>
        <v/>
      </c>
      <c r="C816" s="84" t="str">
        <f>IF(PROGRAMA_DETALLE!A116="","","Tintorería")</f>
        <v/>
      </c>
      <c r="D816" s="94" t="str">
        <f>IF(PROGRAMA_DETALLE!AB116="","",PROGRAMA_DETALLE!AB116)</f>
        <v/>
      </c>
      <c r="E816" s="84" t="str">
        <f>IF(PROGRAMA_DETALLE!A116="","","Teñido "&amp;PROGRAMA_DETALLE!D116&amp;" "&amp;PROGRAMA_DETALLE!B116)</f>
        <v/>
      </c>
      <c r="F816" s="95" t="str">
        <f>IF(PROGRAMA_DETALLE!Z116=0,"",PROGRAMA_DETALLE!Z116)</f>
        <v/>
      </c>
      <c r="G816" s="95">
        <f>IF(PROGRAMA_DETALLE!AC116="PAGADO",PROGRAMA_DETALLE!Z116,0)</f>
        <v>0</v>
      </c>
      <c r="H816" s="95">
        <f>IF(OR(PROGRAMA_DETALLE!AC116="PENDIENTE",PROGRAMA_DETALLE!AC116="PARCIAL"),PROGRAMA_DETALLE!Z116,0)</f>
        <v>0</v>
      </c>
      <c r="I816" s="94" t="str">
        <f>IF(PROGRAMA_DETALLE!AC116="","",PROGRAMA_DETALLE!AC116)</f>
        <v/>
      </c>
    </row>
    <row r="817" ht="15.75" customHeight="1">
      <c r="A817" s="96" t="s">
        <v>236</v>
      </c>
      <c r="B817" s="93" t="str">
        <f>IF(PROGRAMA_DETALLE!Q117="","",PROGRAMA_DETALLE!Q117)</f>
        <v/>
      </c>
      <c r="C817" s="84" t="str">
        <f>IF(PROGRAMA_DETALLE!A117="","","Tintorería")</f>
        <v/>
      </c>
      <c r="D817" s="94" t="str">
        <f>IF(PROGRAMA_DETALLE!AB117="","",PROGRAMA_DETALLE!AB117)</f>
        <v/>
      </c>
      <c r="E817" s="84" t="str">
        <f>IF(PROGRAMA_DETALLE!A117="","","Teñido "&amp;PROGRAMA_DETALLE!D117&amp;" "&amp;PROGRAMA_DETALLE!B117)</f>
        <v/>
      </c>
      <c r="F817" s="95" t="str">
        <f>IF(PROGRAMA_DETALLE!Z117=0,"",PROGRAMA_DETALLE!Z117)</f>
        <v/>
      </c>
      <c r="G817" s="95">
        <f>IF(PROGRAMA_DETALLE!AC117="PAGADO",PROGRAMA_DETALLE!Z117,0)</f>
        <v>0</v>
      </c>
      <c r="H817" s="95">
        <f>IF(OR(PROGRAMA_DETALLE!AC117="PENDIENTE",PROGRAMA_DETALLE!AC117="PARCIAL"),PROGRAMA_DETALLE!Z117,0)</f>
        <v>0</v>
      </c>
      <c r="I817" s="94" t="str">
        <f>IF(PROGRAMA_DETALLE!AC117="","",PROGRAMA_DETALLE!AC117)</f>
        <v/>
      </c>
    </row>
    <row r="818" ht="15.75" customHeight="1">
      <c r="A818" s="96" t="s">
        <v>236</v>
      </c>
      <c r="B818" s="93" t="str">
        <f>IF(PROGRAMA_DETALLE!Q118="","",PROGRAMA_DETALLE!Q118)</f>
        <v/>
      </c>
      <c r="C818" s="84" t="str">
        <f>IF(PROGRAMA_DETALLE!A118="","","Tintorería")</f>
        <v/>
      </c>
      <c r="D818" s="94" t="str">
        <f>IF(PROGRAMA_DETALLE!AB118="","",PROGRAMA_DETALLE!AB118)</f>
        <v/>
      </c>
      <c r="E818" s="84" t="str">
        <f>IF(PROGRAMA_DETALLE!A118="","","Teñido "&amp;PROGRAMA_DETALLE!D118&amp;" "&amp;PROGRAMA_DETALLE!B118)</f>
        <v/>
      </c>
      <c r="F818" s="95" t="str">
        <f>IF(PROGRAMA_DETALLE!Z118=0,"",PROGRAMA_DETALLE!Z118)</f>
        <v/>
      </c>
      <c r="G818" s="95">
        <f>IF(PROGRAMA_DETALLE!AC118="PAGADO",PROGRAMA_DETALLE!Z118,0)</f>
        <v>0</v>
      </c>
      <c r="H818" s="95">
        <f>IF(OR(PROGRAMA_DETALLE!AC118="PENDIENTE",PROGRAMA_DETALLE!AC118="PARCIAL"),PROGRAMA_DETALLE!Z118,0)</f>
        <v>0</v>
      </c>
      <c r="I818" s="94" t="str">
        <f>IF(PROGRAMA_DETALLE!AC118="","",PROGRAMA_DETALLE!AC118)</f>
        <v/>
      </c>
    </row>
    <row r="819" ht="15.75" customHeight="1">
      <c r="A819" s="96" t="s">
        <v>236</v>
      </c>
      <c r="B819" s="93" t="str">
        <f>IF(PROGRAMA_DETALLE!Q119="","",PROGRAMA_DETALLE!Q119)</f>
        <v/>
      </c>
      <c r="C819" s="84" t="str">
        <f>IF(PROGRAMA_DETALLE!A119="","","Tintorería")</f>
        <v/>
      </c>
      <c r="D819" s="94" t="str">
        <f>IF(PROGRAMA_DETALLE!AB119="","",PROGRAMA_DETALLE!AB119)</f>
        <v/>
      </c>
      <c r="E819" s="84" t="str">
        <f>IF(PROGRAMA_DETALLE!A119="","","Teñido "&amp;PROGRAMA_DETALLE!D119&amp;" "&amp;PROGRAMA_DETALLE!B119)</f>
        <v/>
      </c>
      <c r="F819" s="95" t="str">
        <f>IF(PROGRAMA_DETALLE!Z119=0,"",PROGRAMA_DETALLE!Z119)</f>
        <v/>
      </c>
      <c r="G819" s="95">
        <f>IF(PROGRAMA_DETALLE!AC119="PAGADO",PROGRAMA_DETALLE!Z119,0)</f>
        <v>0</v>
      </c>
      <c r="H819" s="95">
        <f>IF(OR(PROGRAMA_DETALLE!AC119="PENDIENTE",PROGRAMA_DETALLE!AC119="PARCIAL"),PROGRAMA_DETALLE!Z119,0)</f>
        <v>0</v>
      </c>
      <c r="I819" s="94" t="str">
        <f>IF(PROGRAMA_DETALLE!AC119="","",PROGRAMA_DETALLE!AC119)</f>
        <v/>
      </c>
    </row>
    <row r="820" ht="15.75" customHeight="1">
      <c r="A820" s="96" t="s">
        <v>236</v>
      </c>
      <c r="B820" s="93" t="str">
        <f>IF(PROGRAMA_DETALLE!Q120="","",PROGRAMA_DETALLE!Q120)</f>
        <v/>
      </c>
      <c r="C820" s="84" t="str">
        <f>IF(PROGRAMA_DETALLE!A120="","","Tintorería")</f>
        <v/>
      </c>
      <c r="D820" s="94" t="str">
        <f>IF(PROGRAMA_DETALLE!AB120="","",PROGRAMA_DETALLE!AB120)</f>
        <v/>
      </c>
      <c r="E820" s="84" t="str">
        <f>IF(PROGRAMA_DETALLE!A120="","","Teñido "&amp;PROGRAMA_DETALLE!D120&amp;" "&amp;PROGRAMA_DETALLE!B120)</f>
        <v/>
      </c>
      <c r="F820" s="95" t="str">
        <f>IF(PROGRAMA_DETALLE!Z120=0,"",PROGRAMA_DETALLE!Z120)</f>
        <v/>
      </c>
      <c r="G820" s="95">
        <f>IF(PROGRAMA_DETALLE!AC120="PAGADO",PROGRAMA_DETALLE!Z120,0)</f>
        <v>0</v>
      </c>
      <c r="H820" s="95">
        <f>IF(OR(PROGRAMA_DETALLE!AC120="PENDIENTE",PROGRAMA_DETALLE!AC120="PARCIAL"),PROGRAMA_DETALLE!Z120,0)</f>
        <v>0</v>
      </c>
      <c r="I820" s="94" t="str">
        <f>IF(PROGRAMA_DETALLE!AC120="","",PROGRAMA_DETALLE!AC120)</f>
        <v/>
      </c>
    </row>
    <row r="821" ht="15.75" customHeight="1">
      <c r="A821" s="96" t="s">
        <v>236</v>
      </c>
      <c r="B821" s="93" t="str">
        <f>IF(PROGRAMA_DETALLE!Q121="","",PROGRAMA_DETALLE!Q121)</f>
        <v/>
      </c>
      <c r="C821" s="84" t="str">
        <f>IF(PROGRAMA_DETALLE!A121="","","Tintorería")</f>
        <v/>
      </c>
      <c r="D821" s="94" t="str">
        <f>IF(PROGRAMA_DETALLE!AB121="","",PROGRAMA_DETALLE!AB121)</f>
        <v/>
      </c>
      <c r="E821" s="84" t="str">
        <f>IF(PROGRAMA_DETALLE!A121="","","Teñido "&amp;PROGRAMA_DETALLE!D121&amp;" "&amp;PROGRAMA_DETALLE!B121)</f>
        <v/>
      </c>
      <c r="F821" s="95" t="str">
        <f>IF(PROGRAMA_DETALLE!Z121=0,"",PROGRAMA_DETALLE!Z121)</f>
        <v/>
      </c>
      <c r="G821" s="95">
        <f>IF(PROGRAMA_DETALLE!AC121="PAGADO",PROGRAMA_DETALLE!Z121,0)</f>
        <v>0</v>
      </c>
      <c r="H821" s="95">
        <f>IF(OR(PROGRAMA_DETALLE!AC121="PENDIENTE",PROGRAMA_DETALLE!AC121="PARCIAL"),PROGRAMA_DETALLE!Z121,0)</f>
        <v>0</v>
      </c>
      <c r="I821" s="94" t="str">
        <f>IF(PROGRAMA_DETALLE!AC121="","",PROGRAMA_DETALLE!AC121)</f>
        <v/>
      </c>
    </row>
    <row r="822" ht="15.75" customHeight="1">
      <c r="A822" s="96" t="s">
        <v>236</v>
      </c>
      <c r="B822" s="93" t="str">
        <f>IF(PROGRAMA_DETALLE!Q122="","",PROGRAMA_DETALLE!Q122)</f>
        <v/>
      </c>
      <c r="C822" s="84" t="str">
        <f>IF(PROGRAMA_DETALLE!A122="","","Tintorería")</f>
        <v/>
      </c>
      <c r="D822" s="94" t="str">
        <f>IF(PROGRAMA_DETALLE!AB122="","",PROGRAMA_DETALLE!AB122)</f>
        <v/>
      </c>
      <c r="E822" s="84" t="str">
        <f>IF(PROGRAMA_DETALLE!A122="","","Teñido "&amp;PROGRAMA_DETALLE!D122&amp;" "&amp;PROGRAMA_DETALLE!B122)</f>
        <v/>
      </c>
      <c r="F822" s="95" t="str">
        <f>IF(PROGRAMA_DETALLE!Z122=0,"",PROGRAMA_DETALLE!Z122)</f>
        <v/>
      </c>
      <c r="G822" s="95">
        <f>IF(PROGRAMA_DETALLE!AC122="PAGADO",PROGRAMA_DETALLE!Z122,0)</f>
        <v>0</v>
      </c>
      <c r="H822" s="95">
        <f>IF(OR(PROGRAMA_DETALLE!AC122="PENDIENTE",PROGRAMA_DETALLE!AC122="PARCIAL"),PROGRAMA_DETALLE!Z122,0)</f>
        <v>0</v>
      </c>
      <c r="I822" s="94" t="str">
        <f>IF(PROGRAMA_DETALLE!AC122="","",PROGRAMA_DETALLE!AC122)</f>
        <v/>
      </c>
    </row>
    <row r="823" ht="15.75" customHeight="1">
      <c r="A823" s="96" t="s">
        <v>236</v>
      </c>
      <c r="B823" s="93" t="str">
        <f>IF(PROGRAMA_DETALLE!Q123="","",PROGRAMA_DETALLE!Q123)</f>
        <v/>
      </c>
      <c r="C823" s="84" t="str">
        <f>IF(PROGRAMA_DETALLE!A123="","","Tintorería")</f>
        <v/>
      </c>
      <c r="D823" s="94" t="str">
        <f>IF(PROGRAMA_DETALLE!AB123="","",PROGRAMA_DETALLE!AB123)</f>
        <v/>
      </c>
      <c r="E823" s="84" t="str">
        <f>IF(PROGRAMA_DETALLE!A123="","","Teñido "&amp;PROGRAMA_DETALLE!D123&amp;" "&amp;PROGRAMA_DETALLE!B123)</f>
        <v/>
      </c>
      <c r="F823" s="95" t="str">
        <f>IF(PROGRAMA_DETALLE!Z123=0,"",PROGRAMA_DETALLE!Z123)</f>
        <v/>
      </c>
      <c r="G823" s="95">
        <f>IF(PROGRAMA_DETALLE!AC123="PAGADO",PROGRAMA_DETALLE!Z123,0)</f>
        <v>0</v>
      </c>
      <c r="H823" s="95">
        <f>IF(OR(PROGRAMA_DETALLE!AC123="PENDIENTE",PROGRAMA_DETALLE!AC123="PARCIAL"),PROGRAMA_DETALLE!Z123,0)</f>
        <v>0</v>
      </c>
      <c r="I823" s="94" t="str">
        <f>IF(PROGRAMA_DETALLE!AC123="","",PROGRAMA_DETALLE!AC123)</f>
        <v/>
      </c>
    </row>
    <row r="824" ht="15.75" customHeight="1">
      <c r="A824" s="96" t="s">
        <v>236</v>
      </c>
      <c r="B824" s="93" t="str">
        <f>IF(PROGRAMA_DETALLE!Q124="","",PROGRAMA_DETALLE!Q124)</f>
        <v/>
      </c>
      <c r="C824" s="84" t="str">
        <f>IF(PROGRAMA_DETALLE!A124="","","Tintorería")</f>
        <v/>
      </c>
      <c r="D824" s="94" t="str">
        <f>IF(PROGRAMA_DETALLE!AB124="","",PROGRAMA_DETALLE!AB124)</f>
        <v/>
      </c>
      <c r="E824" s="84" t="str">
        <f>IF(PROGRAMA_DETALLE!A124="","","Teñido "&amp;PROGRAMA_DETALLE!D124&amp;" "&amp;PROGRAMA_DETALLE!B124)</f>
        <v/>
      </c>
      <c r="F824" s="95" t="str">
        <f>IF(PROGRAMA_DETALLE!Z124=0,"",PROGRAMA_DETALLE!Z124)</f>
        <v/>
      </c>
      <c r="G824" s="95">
        <f>IF(PROGRAMA_DETALLE!AC124="PAGADO",PROGRAMA_DETALLE!Z124,0)</f>
        <v>0</v>
      </c>
      <c r="H824" s="95">
        <f>IF(OR(PROGRAMA_DETALLE!AC124="PENDIENTE",PROGRAMA_DETALLE!AC124="PARCIAL"),PROGRAMA_DETALLE!Z124,0)</f>
        <v>0</v>
      </c>
      <c r="I824" s="94" t="str">
        <f>IF(PROGRAMA_DETALLE!AC124="","",PROGRAMA_DETALLE!AC124)</f>
        <v/>
      </c>
    </row>
    <row r="825" ht="15.75" customHeight="1">
      <c r="A825" s="96" t="s">
        <v>236</v>
      </c>
      <c r="B825" s="93" t="str">
        <f>IF(PROGRAMA_DETALLE!Q125="","",PROGRAMA_DETALLE!Q125)</f>
        <v/>
      </c>
      <c r="C825" s="84" t="str">
        <f>IF(PROGRAMA_DETALLE!A125="","","Tintorería")</f>
        <v/>
      </c>
      <c r="D825" s="94" t="str">
        <f>IF(PROGRAMA_DETALLE!AB125="","",PROGRAMA_DETALLE!AB125)</f>
        <v/>
      </c>
      <c r="E825" s="84" t="str">
        <f>IF(PROGRAMA_DETALLE!A125="","","Teñido "&amp;PROGRAMA_DETALLE!D125&amp;" "&amp;PROGRAMA_DETALLE!B125)</f>
        <v/>
      </c>
      <c r="F825" s="95" t="str">
        <f>IF(PROGRAMA_DETALLE!Z125=0,"",PROGRAMA_DETALLE!Z125)</f>
        <v/>
      </c>
      <c r="G825" s="95">
        <f>IF(PROGRAMA_DETALLE!AC125="PAGADO",PROGRAMA_DETALLE!Z125,0)</f>
        <v>0</v>
      </c>
      <c r="H825" s="95">
        <f>IF(OR(PROGRAMA_DETALLE!AC125="PENDIENTE",PROGRAMA_DETALLE!AC125="PARCIAL"),PROGRAMA_DETALLE!Z125,0)</f>
        <v>0</v>
      </c>
      <c r="I825" s="94" t="str">
        <f>IF(PROGRAMA_DETALLE!AC125="","",PROGRAMA_DETALLE!AC125)</f>
        <v/>
      </c>
    </row>
    <row r="826" ht="15.75" customHeight="1">
      <c r="A826" s="96" t="s">
        <v>236</v>
      </c>
      <c r="B826" s="93" t="str">
        <f>IF(PROGRAMA_DETALLE!Q126="","",PROGRAMA_DETALLE!Q126)</f>
        <v/>
      </c>
      <c r="C826" s="84" t="str">
        <f>IF(PROGRAMA_DETALLE!A126="","","Tintorería")</f>
        <v/>
      </c>
      <c r="D826" s="94" t="str">
        <f>IF(PROGRAMA_DETALLE!AB126="","",PROGRAMA_DETALLE!AB126)</f>
        <v/>
      </c>
      <c r="E826" s="84" t="str">
        <f>IF(PROGRAMA_DETALLE!A126="","","Teñido "&amp;PROGRAMA_DETALLE!D126&amp;" "&amp;PROGRAMA_DETALLE!B126)</f>
        <v/>
      </c>
      <c r="F826" s="95" t="str">
        <f>IF(PROGRAMA_DETALLE!Z126=0,"",PROGRAMA_DETALLE!Z126)</f>
        <v/>
      </c>
      <c r="G826" s="95">
        <f>IF(PROGRAMA_DETALLE!AC126="PAGADO",PROGRAMA_DETALLE!Z126,0)</f>
        <v>0</v>
      </c>
      <c r="H826" s="95">
        <f>IF(OR(PROGRAMA_DETALLE!AC126="PENDIENTE",PROGRAMA_DETALLE!AC126="PARCIAL"),PROGRAMA_DETALLE!Z126,0)</f>
        <v>0</v>
      </c>
      <c r="I826" s="94" t="str">
        <f>IF(PROGRAMA_DETALLE!AC126="","",PROGRAMA_DETALLE!AC126)</f>
        <v/>
      </c>
    </row>
    <row r="827" ht="15.75" customHeight="1">
      <c r="A827" s="96" t="s">
        <v>236</v>
      </c>
      <c r="B827" s="93" t="str">
        <f>IF(PROGRAMA_DETALLE!Q127="","",PROGRAMA_DETALLE!Q127)</f>
        <v/>
      </c>
      <c r="C827" s="84" t="str">
        <f>IF(PROGRAMA_DETALLE!A127="","","Tintorería")</f>
        <v/>
      </c>
      <c r="D827" s="94" t="str">
        <f>IF(PROGRAMA_DETALLE!AB127="","",PROGRAMA_DETALLE!AB127)</f>
        <v/>
      </c>
      <c r="E827" s="84" t="str">
        <f>IF(PROGRAMA_DETALLE!A127="","","Teñido "&amp;PROGRAMA_DETALLE!D127&amp;" "&amp;PROGRAMA_DETALLE!B127)</f>
        <v/>
      </c>
      <c r="F827" s="95" t="str">
        <f>IF(PROGRAMA_DETALLE!Z127=0,"",PROGRAMA_DETALLE!Z127)</f>
        <v/>
      </c>
      <c r="G827" s="95">
        <f>IF(PROGRAMA_DETALLE!AC127="PAGADO",PROGRAMA_DETALLE!Z127,0)</f>
        <v>0</v>
      </c>
      <c r="H827" s="95">
        <f>IF(OR(PROGRAMA_DETALLE!AC127="PENDIENTE",PROGRAMA_DETALLE!AC127="PARCIAL"),PROGRAMA_DETALLE!Z127,0)</f>
        <v>0</v>
      </c>
      <c r="I827" s="94" t="str">
        <f>IF(PROGRAMA_DETALLE!AC127="","",PROGRAMA_DETALLE!AC127)</f>
        <v/>
      </c>
    </row>
    <row r="828" ht="15.75" customHeight="1">
      <c r="A828" s="96" t="s">
        <v>236</v>
      </c>
      <c r="B828" s="93" t="str">
        <f>IF(PROGRAMA_DETALLE!Q128="","",PROGRAMA_DETALLE!Q128)</f>
        <v/>
      </c>
      <c r="C828" s="84" t="str">
        <f>IF(PROGRAMA_DETALLE!A128="","","Tintorería")</f>
        <v/>
      </c>
      <c r="D828" s="94" t="str">
        <f>IF(PROGRAMA_DETALLE!AB128="","",PROGRAMA_DETALLE!AB128)</f>
        <v/>
      </c>
      <c r="E828" s="84" t="str">
        <f>IF(PROGRAMA_DETALLE!A128="","","Teñido "&amp;PROGRAMA_DETALLE!D128&amp;" "&amp;PROGRAMA_DETALLE!B128)</f>
        <v/>
      </c>
      <c r="F828" s="95" t="str">
        <f>IF(PROGRAMA_DETALLE!Z128=0,"",PROGRAMA_DETALLE!Z128)</f>
        <v/>
      </c>
      <c r="G828" s="95">
        <f>IF(PROGRAMA_DETALLE!AC128="PAGADO",PROGRAMA_DETALLE!Z128,0)</f>
        <v>0</v>
      </c>
      <c r="H828" s="95">
        <f>IF(OR(PROGRAMA_DETALLE!AC128="PENDIENTE",PROGRAMA_DETALLE!AC128="PARCIAL"),PROGRAMA_DETALLE!Z128,0)</f>
        <v>0</v>
      </c>
      <c r="I828" s="94" t="str">
        <f>IF(PROGRAMA_DETALLE!AC128="","",PROGRAMA_DETALLE!AC128)</f>
        <v/>
      </c>
    </row>
    <row r="829" ht="15.75" customHeight="1">
      <c r="A829" s="96" t="s">
        <v>236</v>
      </c>
      <c r="B829" s="93" t="str">
        <f>IF(PROGRAMA_DETALLE!Q129="","",PROGRAMA_DETALLE!Q129)</f>
        <v/>
      </c>
      <c r="C829" s="84" t="str">
        <f>IF(PROGRAMA_DETALLE!A129="","","Tintorería")</f>
        <v/>
      </c>
      <c r="D829" s="94" t="str">
        <f>IF(PROGRAMA_DETALLE!AB129="","",PROGRAMA_DETALLE!AB129)</f>
        <v/>
      </c>
      <c r="E829" s="84" t="str">
        <f>IF(PROGRAMA_DETALLE!A129="","","Teñido "&amp;PROGRAMA_DETALLE!D129&amp;" "&amp;PROGRAMA_DETALLE!B129)</f>
        <v/>
      </c>
      <c r="F829" s="95" t="str">
        <f>IF(PROGRAMA_DETALLE!Z129=0,"",PROGRAMA_DETALLE!Z129)</f>
        <v/>
      </c>
      <c r="G829" s="95">
        <f>IF(PROGRAMA_DETALLE!AC129="PAGADO",PROGRAMA_DETALLE!Z129,0)</f>
        <v>0</v>
      </c>
      <c r="H829" s="95">
        <f>IF(OR(PROGRAMA_DETALLE!AC129="PENDIENTE",PROGRAMA_DETALLE!AC129="PARCIAL"),PROGRAMA_DETALLE!Z129,0)</f>
        <v>0</v>
      </c>
      <c r="I829" s="94" t="str">
        <f>IF(PROGRAMA_DETALLE!AC129="","",PROGRAMA_DETALLE!AC129)</f>
        <v/>
      </c>
    </row>
    <row r="830" ht="15.75" customHeight="1">
      <c r="A830" s="96" t="s">
        <v>236</v>
      </c>
      <c r="B830" s="93" t="str">
        <f>IF(PROGRAMA_DETALLE!Q130="","",PROGRAMA_DETALLE!Q130)</f>
        <v/>
      </c>
      <c r="C830" s="84" t="str">
        <f>IF(PROGRAMA_DETALLE!A130="","","Tintorería")</f>
        <v/>
      </c>
      <c r="D830" s="94" t="str">
        <f>IF(PROGRAMA_DETALLE!AB130="","",PROGRAMA_DETALLE!AB130)</f>
        <v/>
      </c>
      <c r="E830" s="84" t="str">
        <f>IF(PROGRAMA_DETALLE!A130="","","Teñido "&amp;PROGRAMA_DETALLE!D130&amp;" "&amp;PROGRAMA_DETALLE!B130)</f>
        <v/>
      </c>
      <c r="F830" s="95" t="str">
        <f>IF(PROGRAMA_DETALLE!Z130=0,"",PROGRAMA_DETALLE!Z130)</f>
        <v/>
      </c>
      <c r="G830" s="95">
        <f>IF(PROGRAMA_DETALLE!AC130="PAGADO",PROGRAMA_DETALLE!Z130,0)</f>
        <v>0</v>
      </c>
      <c r="H830" s="95">
        <f>IF(OR(PROGRAMA_DETALLE!AC130="PENDIENTE",PROGRAMA_DETALLE!AC130="PARCIAL"),PROGRAMA_DETALLE!Z130,0)</f>
        <v>0</v>
      </c>
      <c r="I830" s="94" t="str">
        <f>IF(PROGRAMA_DETALLE!AC130="","",PROGRAMA_DETALLE!AC130)</f>
        <v/>
      </c>
    </row>
    <row r="831" ht="15.75" customHeight="1">
      <c r="A831" s="96" t="s">
        <v>236</v>
      </c>
      <c r="B831" s="93" t="str">
        <f>IF(PROGRAMA_DETALLE!Q131="","",PROGRAMA_DETALLE!Q131)</f>
        <v/>
      </c>
      <c r="C831" s="84" t="str">
        <f>IF(PROGRAMA_DETALLE!A131="","","Tintorería")</f>
        <v/>
      </c>
      <c r="D831" s="94" t="str">
        <f>IF(PROGRAMA_DETALLE!AB131="","",PROGRAMA_DETALLE!AB131)</f>
        <v/>
      </c>
      <c r="E831" s="84" t="str">
        <f>IF(PROGRAMA_DETALLE!A131="","","Teñido "&amp;PROGRAMA_DETALLE!D131&amp;" "&amp;PROGRAMA_DETALLE!B131)</f>
        <v/>
      </c>
      <c r="F831" s="95" t="str">
        <f>IF(PROGRAMA_DETALLE!Z131=0,"",PROGRAMA_DETALLE!Z131)</f>
        <v/>
      </c>
      <c r="G831" s="95">
        <f>IF(PROGRAMA_DETALLE!AC131="PAGADO",PROGRAMA_DETALLE!Z131,0)</f>
        <v>0</v>
      </c>
      <c r="H831" s="95">
        <f>IF(OR(PROGRAMA_DETALLE!AC131="PENDIENTE",PROGRAMA_DETALLE!AC131="PARCIAL"),PROGRAMA_DETALLE!Z131,0)</f>
        <v>0</v>
      </c>
      <c r="I831" s="94" t="str">
        <f>IF(PROGRAMA_DETALLE!AC131="","",PROGRAMA_DETALLE!AC131)</f>
        <v/>
      </c>
    </row>
    <row r="832" ht="15.75" customHeight="1">
      <c r="A832" s="96" t="s">
        <v>236</v>
      </c>
      <c r="B832" s="93" t="str">
        <f>IF(PROGRAMA_DETALLE!Q132="","",PROGRAMA_DETALLE!Q132)</f>
        <v/>
      </c>
      <c r="C832" s="84" t="str">
        <f>IF(PROGRAMA_DETALLE!A132="","","Tintorería")</f>
        <v/>
      </c>
      <c r="D832" s="94" t="str">
        <f>IF(PROGRAMA_DETALLE!AB132="","",PROGRAMA_DETALLE!AB132)</f>
        <v/>
      </c>
      <c r="E832" s="84" t="str">
        <f>IF(PROGRAMA_DETALLE!A132="","","Teñido "&amp;PROGRAMA_DETALLE!D132&amp;" "&amp;PROGRAMA_DETALLE!B132)</f>
        <v/>
      </c>
      <c r="F832" s="95" t="str">
        <f>IF(PROGRAMA_DETALLE!Z132=0,"",PROGRAMA_DETALLE!Z132)</f>
        <v/>
      </c>
      <c r="G832" s="95">
        <f>IF(PROGRAMA_DETALLE!AC132="PAGADO",PROGRAMA_DETALLE!Z132,0)</f>
        <v>0</v>
      </c>
      <c r="H832" s="95">
        <f>IF(OR(PROGRAMA_DETALLE!AC132="PENDIENTE",PROGRAMA_DETALLE!AC132="PARCIAL"),PROGRAMA_DETALLE!Z132,0)</f>
        <v>0</v>
      </c>
      <c r="I832" s="94" t="str">
        <f>IF(PROGRAMA_DETALLE!AC132="","",PROGRAMA_DETALLE!AC132)</f>
        <v/>
      </c>
    </row>
    <row r="833" ht="15.75" customHeight="1">
      <c r="A833" s="96" t="s">
        <v>236</v>
      </c>
      <c r="B833" s="93" t="str">
        <f>IF(PROGRAMA_DETALLE!Q133="","",PROGRAMA_DETALLE!Q133)</f>
        <v/>
      </c>
      <c r="C833" s="84" t="str">
        <f>IF(PROGRAMA_DETALLE!A133="","","Tintorería")</f>
        <v/>
      </c>
      <c r="D833" s="94" t="str">
        <f>IF(PROGRAMA_DETALLE!AB133="","",PROGRAMA_DETALLE!AB133)</f>
        <v/>
      </c>
      <c r="E833" s="84" t="str">
        <f>IF(PROGRAMA_DETALLE!A133="","","Teñido "&amp;PROGRAMA_DETALLE!D133&amp;" "&amp;PROGRAMA_DETALLE!B133)</f>
        <v/>
      </c>
      <c r="F833" s="95" t="str">
        <f>IF(PROGRAMA_DETALLE!Z133=0,"",PROGRAMA_DETALLE!Z133)</f>
        <v/>
      </c>
      <c r="G833" s="95">
        <f>IF(PROGRAMA_DETALLE!AC133="PAGADO",PROGRAMA_DETALLE!Z133,0)</f>
        <v>0</v>
      </c>
      <c r="H833" s="95">
        <f>IF(OR(PROGRAMA_DETALLE!AC133="PENDIENTE",PROGRAMA_DETALLE!AC133="PARCIAL"),PROGRAMA_DETALLE!Z133,0)</f>
        <v>0</v>
      </c>
      <c r="I833" s="94" t="str">
        <f>IF(PROGRAMA_DETALLE!AC133="","",PROGRAMA_DETALLE!AC133)</f>
        <v/>
      </c>
    </row>
    <row r="834" ht="15.75" customHeight="1">
      <c r="A834" s="96" t="s">
        <v>236</v>
      </c>
      <c r="B834" s="93" t="str">
        <f>IF(PROGRAMA_DETALLE!Q134="","",PROGRAMA_DETALLE!Q134)</f>
        <v/>
      </c>
      <c r="C834" s="84" t="str">
        <f>IF(PROGRAMA_DETALLE!A134="","","Tintorería")</f>
        <v/>
      </c>
      <c r="D834" s="94" t="str">
        <f>IF(PROGRAMA_DETALLE!AB134="","",PROGRAMA_DETALLE!AB134)</f>
        <v/>
      </c>
      <c r="E834" s="84" t="str">
        <f>IF(PROGRAMA_DETALLE!A134="","","Teñido "&amp;PROGRAMA_DETALLE!D134&amp;" "&amp;PROGRAMA_DETALLE!B134)</f>
        <v/>
      </c>
      <c r="F834" s="95" t="str">
        <f>IF(PROGRAMA_DETALLE!Z134=0,"",PROGRAMA_DETALLE!Z134)</f>
        <v/>
      </c>
      <c r="G834" s="95">
        <f>IF(PROGRAMA_DETALLE!AC134="PAGADO",PROGRAMA_DETALLE!Z134,0)</f>
        <v>0</v>
      </c>
      <c r="H834" s="95">
        <f>IF(OR(PROGRAMA_DETALLE!AC134="PENDIENTE",PROGRAMA_DETALLE!AC134="PARCIAL"),PROGRAMA_DETALLE!Z134,0)</f>
        <v>0</v>
      </c>
      <c r="I834" s="94" t="str">
        <f>IF(PROGRAMA_DETALLE!AC134="","",PROGRAMA_DETALLE!AC134)</f>
        <v/>
      </c>
    </row>
    <row r="835" ht="15.75" customHeight="1">
      <c r="A835" s="96" t="s">
        <v>236</v>
      </c>
      <c r="B835" s="93" t="str">
        <f>IF(PROGRAMA_DETALLE!Q135="","",PROGRAMA_DETALLE!Q135)</f>
        <v/>
      </c>
      <c r="C835" s="84" t="str">
        <f>IF(PROGRAMA_DETALLE!A135="","","Tintorería")</f>
        <v/>
      </c>
      <c r="D835" s="94" t="str">
        <f>IF(PROGRAMA_DETALLE!AB135="","",PROGRAMA_DETALLE!AB135)</f>
        <v/>
      </c>
      <c r="E835" s="84" t="str">
        <f>IF(PROGRAMA_DETALLE!A135="","","Teñido "&amp;PROGRAMA_DETALLE!D135&amp;" "&amp;PROGRAMA_DETALLE!B135)</f>
        <v/>
      </c>
      <c r="F835" s="95" t="str">
        <f>IF(PROGRAMA_DETALLE!Z135=0,"",PROGRAMA_DETALLE!Z135)</f>
        <v/>
      </c>
      <c r="G835" s="95">
        <f>IF(PROGRAMA_DETALLE!AC135="PAGADO",PROGRAMA_DETALLE!Z135,0)</f>
        <v>0</v>
      </c>
      <c r="H835" s="95">
        <f>IF(OR(PROGRAMA_DETALLE!AC135="PENDIENTE",PROGRAMA_DETALLE!AC135="PARCIAL"),PROGRAMA_DETALLE!Z135,0)</f>
        <v>0</v>
      </c>
      <c r="I835" s="94" t="str">
        <f>IF(PROGRAMA_DETALLE!AC135="","",PROGRAMA_DETALLE!AC135)</f>
        <v/>
      </c>
    </row>
    <row r="836" ht="15.75" customHeight="1">
      <c r="A836" s="96" t="s">
        <v>236</v>
      </c>
      <c r="B836" s="93" t="str">
        <f>IF(PROGRAMA_DETALLE!Q136="","",PROGRAMA_DETALLE!Q136)</f>
        <v/>
      </c>
      <c r="C836" s="84" t="str">
        <f>IF(PROGRAMA_DETALLE!A136="","","Tintorería")</f>
        <v/>
      </c>
      <c r="D836" s="94" t="str">
        <f>IF(PROGRAMA_DETALLE!AB136="","",PROGRAMA_DETALLE!AB136)</f>
        <v/>
      </c>
      <c r="E836" s="84" t="str">
        <f>IF(PROGRAMA_DETALLE!A136="","","Teñido "&amp;PROGRAMA_DETALLE!D136&amp;" "&amp;PROGRAMA_DETALLE!B136)</f>
        <v/>
      </c>
      <c r="F836" s="95" t="str">
        <f>IF(PROGRAMA_DETALLE!Z136=0,"",PROGRAMA_DETALLE!Z136)</f>
        <v/>
      </c>
      <c r="G836" s="95">
        <f>IF(PROGRAMA_DETALLE!AC136="PAGADO",PROGRAMA_DETALLE!Z136,0)</f>
        <v>0</v>
      </c>
      <c r="H836" s="95">
        <f>IF(OR(PROGRAMA_DETALLE!AC136="PENDIENTE",PROGRAMA_DETALLE!AC136="PARCIAL"),PROGRAMA_DETALLE!Z136,0)</f>
        <v>0</v>
      </c>
      <c r="I836" s="94" t="str">
        <f>IF(PROGRAMA_DETALLE!AC136="","",PROGRAMA_DETALLE!AC136)</f>
        <v/>
      </c>
    </row>
    <row r="837" ht="15.75" customHeight="1">
      <c r="A837" s="96" t="s">
        <v>236</v>
      </c>
      <c r="B837" s="93" t="str">
        <f>IF(PROGRAMA_DETALLE!Q137="","",PROGRAMA_DETALLE!Q137)</f>
        <v/>
      </c>
      <c r="C837" s="84" t="str">
        <f>IF(PROGRAMA_DETALLE!A137="","","Tintorería")</f>
        <v/>
      </c>
      <c r="D837" s="94" t="str">
        <f>IF(PROGRAMA_DETALLE!AB137="","",PROGRAMA_DETALLE!AB137)</f>
        <v/>
      </c>
      <c r="E837" s="84" t="str">
        <f>IF(PROGRAMA_DETALLE!A137="","","Teñido "&amp;PROGRAMA_DETALLE!D137&amp;" "&amp;PROGRAMA_DETALLE!B137)</f>
        <v/>
      </c>
      <c r="F837" s="95" t="str">
        <f>IF(PROGRAMA_DETALLE!Z137=0,"",PROGRAMA_DETALLE!Z137)</f>
        <v/>
      </c>
      <c r="G837" s="95">
        <f>IF(PROGRAMA_DETALLE!AC137="PAGADO",PROGRAMA_DETALLE!Z137,0)</f>
        <v>0</v>
      </c>
      <c r="H837" s="95">
        <f>IF(OR(PROGRAMA_DETALLE!AC137="PENDIENTE",PROGRAMA_DETALLE!AC137="PARCIAL"),PROGRAMA_DETALLE!Z137,0)</f>
        <v>0</v>
      </c>
      <c r="I837" s="94" t="str">
        <f>IF(PROGRAMA_DETALLE!AC137="","",PROGRAMA_DETALLE!AC137)</f>
        <v/>
      </c>
    </row>
    <row r="838" ht="15.75" customHeight="1">
      <c r="A838" s="96" t="s">
        <v>236</v>
      </c>
      <c r="B838" s="93" t="str">
        <f>IF(PROGRAMA_DETALLE!Q138="","",PROGRAMA_DETALLE!Q138)</f>
        <v/>
      </c>
      <c r="C838" s="84" t="str">
        <f>IF(PROGRAMA_DETALLE!A138="","","Tintorería")</f>
        <v/>
      </c>
      <c r="D838" s="94" t="str">
        <f>IF(PROGRAMA_DETALLE!AB138="","",PROGRAMA_DETALLE!AB138)</f>
        <v/>
      </c>
      <c r="E838" s="84" t="str">
        <f>IF(PROGRAMA_DETALLE!A138="","","Teñido "&amp;PROGRAMA_DETALLE!D138&amp;" "&amp;PROGRAMA_DETALLE!B138)</f>
        <v/>
      </c>
      <c r="F838" s="95" t="str">
        <f>IF(PROGRAMA_DETALLE!Z138=0,"",PROGRAMA_DETALLE!Z138)</f>
        <v/>
      </c>
      <c r="G838" s="95">
        <f>IF(PROGRAMA_DETALLE!AC138="PAGADO",PROGRAMA_DETALLE!Z138,0)</f>
        <v>0</v>
      </c>
      <c r="H838" s="95">
        <f>IF(OR(PROGRAMA_DETALLE!AC138="PENDIENTE",PROGRAMA_DETALLE!AC138="PARCIAL"),PROGRAMA_DETALLE!Z138,0)</f>
        <v>0</v>
      </c>
      <c r="I838" s="94" t="str">
        <f>IF(PROGRAMA_DETALLE!AC138="","",PROGRAMA_DETALLE!AC138)</f>
        <v/>
      </c>
    </row>
    <row r="839" ht="15.75" customHeight="1">
      <c r="A839" s="96" t="s">
        <v>236</v>
      </c>
      <c r="B839" s="93" t="str">
        <f>IF(PROGRAMA_DETALLE!Q139="","",PROGRAMA_DETALLE!Q139)</f>
        <v/>
      </c>
      <c r="C839" s="84" t="str">
        <f>IF(PROGRAMA_DETALLE!A139="","","Tintorería")</f>
        <v/>
      </c>
      <c r="D839" s="94" t="str">
        <f>IF(PROGRAMA_DETALLE!AB139="","",PROGRAMA_DETALLE!AB139)</f>
        <v/>
      </c>
      <c r="E839" s="84" t="str">
        <f>IF(PROGRAMA_DETALLE!A139="","","Teñido "&amp;PROGRAMA_DETALLE!D139&amp;" "&amp;PROGRAMA_DETALLE!B139)</f>
        <v/>
      </c>
      <c r="F839" s="95" t="str">
        <f>IF(PROGRAMA_DETALLE!Z139=0,"",PROGRAMA_DETALLE!Z139)</f>
        <v/>
      </c>
      <c r="G839" s="95">
        <f>IF(PROGRAMA_DETALLE!AC139="PAGADO",PROGRAMA_DETALLE!Z139,0)</f>
        <v>0</v>
      </c>
      <c r="H839" s="95">
        <f>IF(OR(PROGRAMA_DETALLE!AC139="PENDIENTE",PROGRAMA_DETALLE!AC139="PARCIAL"),PROGRAMA_DETALLE!Z139,0)</f>
        <v>0</v>
      </c>
      <c r="I839" s="94" t="str">
        <f>IF(PROGRAMA_DETALLE!AC139="","",PROGRAMA_DETALLE!AC139)</f>
        <v/>
      </c>
    </row>
    <row r="840" ht="15.75" customHeight="1">
      <c r="A840" s="96" t="s">
        <v>236</v>
      </c>
      <c r="B840" s="93" t="str">
        <f>IF(PROGRAMA_DETALLE!Q140="","",PROGRAMA_DETALLE!Q140)</f>
        <v/>
      </c>
      <c r="C840" s="84" t="str">
        <f>IF(PROGRAMA_DETALLE!A140="","","Tintorería")</f>
        <v/>
      </c>
      <c r="D840" s="94" t="str">
        <f>IF(PROGRAMA_DETALLE!AB140="","",PROGRAMA_DETALLE!AB140)</f>
        <v/>
      </c>
      <c r="E840" s="84" t="str">
        <f>IF(PROGRAMA_DETALLE!A140="","","Teñido "&amp;PROGRAMA_DETALLE!D140&amp;" "&amp;PROGRAMA_DETALLE!B140)</f>
        <v/>
      </c>
      <c r="F840" s="95" t="str">
        <f>IF(PROGRAMA_DETALLE!Z140=0,"",PROGRAMA_DETALLE!Z140)</f>
        <v/>
      </c>
      <c r="G840" s="95">
        <f>IF(PROGRAMA_DETALLE!AC140="PAGADO",PROGRAMA_DETALLE!Z140,0)</f>
        <v>0</v>
      </c>
      <c r="H840" s="95">
        <f>IF(OR(PROGRAMA_DETALLE!AC140="PENDIENTE",PROGRAMA_DETALLE!AC140="PARCIAL"),PROGRAMA_DETALLE!Z140,0)</f>
        <v>0</v>
      </c>
      <c r="I840" s="94" t="str">
        <f>IF(PROGRAMA_DETALLE!AC140="","",PROGRAMA_DETALLE!AC140)</f>
        <v/>
      </c>
    </row>
    <row r="841" ht="15.75" customHeight="1">
      <c r="A841" s="96" t="s">
        <v>236</v>
      </c>
      <c r="B841" s="93" t="str">
        <f>IF(PROGRAMA_DETALLE!Q141="","",PROGRAMA_DETALLE!Q141)</f>
        <v/>
      </c>
      <c r="C841" s="84" t="str">
        <f>IF(PROGRAMA_DETALLE!A141="","","Tintorería")</f>
        <v/>
      </c>
      <c r="D841" s="94" t="str">
        <f>IF(PROGRAMA_DETALLE!AB141="","",PROGRAMA_DETALLE!AB141)</f>
        <v/>
      </c>
      <c r="E841" s="84" t="str">
        <f>IF(PROGRAMA_DETALLE!A141="","","Teñido "&amp;PROGRAMA_DETALLE!D141&amp;" "&amp;PROGRAMA_DETALLE!B141)</f>
        <v/>
      </c>
      <c r="F841" s="95" t="str">
        <f>IF(PROGRAMA_DETALLE!Z141=0,"",PROGRAMA_DETALLE!Z141)</f>
        <v/>
      </c>
      <c r="G841" s="95">
        <f>IF(PROGRAMA_DETALLE!AC141="PAGADO",PROGRAMA_DETALLE!Z141,0)</f>
        <v>0</v>
      </c>
      <c r="H841" s="95">
        <f>IF(OR(PROGRAMA_DETALLE!AC141="PENDIENTE",PROGRAMA_DETALLE!AC141="PARCIAL"),PROGRAMA_DETALLE!Z141,0)</f>
        <v>0</v>
      </c>
      <c r="I841" s="94" t="str">
        <f>IF(PROGRAMA_DETALLE!AC141="","",PROGRAMA_DETALLE!AC141)</f>
        <v/>
      </c>
    </row>
    <row r="842" ht="15.75" customHeight="1">
      <c r="A842" s="96" t="s">
        <v>236</v>
      </c>
      <c r="B842" s="93" t="str">
        <f>IF(PROGRAMA_DETALLE!Q142="","",PROGRAMA_DETALLE!Q142)</f>
        <v/>
      </c>
      <c r="C842" s="84" t="str">
        <f>IF(PROGRAMA_DETALLE!A142="","","Tintorería")</f>
        <v/>
      </c>
      <c r="D842" s="94" t="str">
        <f>IF(PROGRAMA_DETALLE!AB142="","",PROGRAMA_DETALLE!AB142)</f>
        <v/>
      </c>
      <c r="E842" s="84" t="str">
        <f>IF(PROGRAMA_DETALLE!A142="","","Teñido "&amp;PROGRAMA_DETALLE!D142&amp;" "&amp;PROGRAMA_DETALLE!B142)</f>
        <v/>
      </c>
      <c r="F842" s="95" t="str">
        <f>IF(PROGRAMA_DETALLE!Z142=0,"",PROGRAMA_DETALLE!Z142)</f>
        <v/>
      </c>
      <c r="G842" s="95">
        <f>IF(PROGRAMA_DETALLE!AC142="PAGADO",PROGRAMA_DETALLE!Z142,0)</f>
        <v>0</v>
      </c>
      <c r="H842" s="95">
        <f>IF(OR(PROGRAMA_DETALLE!AC142="PENDIENTE",PROGRAMA_DETALLE!AC142="PARCIAL"),PROGRAMA_DETALLE!Z142,0)</f>
        <v>0</v>
      </c>
      <c r="I842" s="94" t="str">
        <f>IF(PROGRAMA_DETALLE!AC142="","",PROGRAMA_DETALLE!AC142)</f>
        <v/>
      </c>
    </row>
    <row r="843" ht="15.75" customHeight="1">
      <c r="A843" s="96" t="s">
        <v>236</v>
      </c>
      <c r="B843" s="93" t="str">
        <f>IF(PROGRAMA_DETALLE!Q143="","",PROGRAMA_DETALLE!Q143)</f>
        <v/>
      </c>
      <c r="C843" s="84" t="str">
        <f>IF(PROGRAMA_DETALLE!A143="","","Tintorería")</f>
        <v/>
      </c>
      <c r="D843" s="94" t="str">
        <f>IF(PROGRAMA_DETALLE!AB143="","",PROGRAMA_DETALLE!AB143)</f>
        <v/>
      </c>
      <c r="E843" s="84" t="str">
        <f>IF(PROGRAMA_DETALLE!A143="","","Teñido "&amp;PROGRAMA_DETALLE!D143&amp;" "&amp;PROGRAMA_DETALLE!B143)</f>
        <v/>
      </c>
      <c r="F843" s="95" t="str">
        <f>IF(PROGRAMA_DETALLE!Z143=0,"",PROGRAMA_DETALLE!Z143)</f>
        <v/>
      </c>
      <c r="G843" s="95">
        <f>IF(PROGRAMA_DETALLE!AC143="PAGADO",PROGRAMA_DETALLE!Z143,0)</f>
        <v>0</v>
      </c>
      <c r="H843" s="95">
        <f>IF(OR(PROGRAMA_DETALLE!AC143="PENDIENTE",PROGRAMA_DETALLE!AC143="PARCIAL"),PROGRAMA_DETALLE!Z143,0)</f>
        <v>0</v>
      </c>
      <c r="I843" s="94" t="str">
        <f>IF(PROGRAMA_DETALLE!AC143="","",PROGRAMA_DETALLE!AC143)</f>
        <v/>
      </c>
    </row>
    <row r="844" ht="15.75" customHeight="1">
      <c r="A844" s="96" t="s">
        <v>236</v>
      </c>
      <c r="B844" s="93" t="str">
        <f>IF(PROGRAMA_DETALLE!Q144="","",PROGRAMA_DETALLE!Q144)</f>
        <v/>
      </c>
      <c r="C844" s="84" t="str">
        <f>IF(PROGRAMA_DETALLE!A144="","","Tintorería")</f>
        <v/>
      </c>
      <c r="D844" s="94" t="str">
        <f>IF(PROGRAMA_DETALLE!AB144="","",PROGRAMA_DETALLE!AB144)</f>
        <v/>
      </c>
      <c r="E844" s="84" t="str">
        <f>IF(PROGRAMA_DETALLE!A144="","","Teñido "&amp;PROGRAMA_DETALLE!D144&amp;" "&amp;PROGRAMA_DETALLE!B144)</f>
        <v/>
      </c>
      <c r="F844" s="95" t="str">
        <f>IF(PROGRAMA_DETALLE!Z144=0,"",PROGRAMA_DETALLE!Z144)</f>
        <v/>
      </c>
      <c r="G844" s="95">
        <f>IF(PROGRAMA_DETALLE!AC144="PAGADO",PROGRAMA_DETALLE!Z144,0)</f>
        <v>0</v>
      </c>
      <c r="H844" s="95">
        <f>IF(OR(PROGRAMA_DETALLE!AC144="PENDIENTE",PROGRAMA_DETALLE!AC144="PARCIAL"),PROGRAMA_DETALLE!Z144,0)</f>
        <v>0</v>
      </c>
      <c r="I844" s="94" t="str">
        <f>IF(PROGRAMA_DETALLE!AC144="","",PROGRAMA_DETALLE!AC144)</f>
        <v/>
      </c>
    </row>
    <row r="845" ht="15.75" customHeight="1">
      <c r="A845" s="96" t="s">
        <v>236</v>
      </c>
      <c r="B845" s="93" t="str">
        <f>IF(PROGRAMA_DETALLE!Q145="","",PROGRAMA_DETALLE!Q145)</f>
        <v/>
      </c>
      <c r="C845" s="84" t="str">
        <f>IF(PROGRAMA_DETALLE!A145="","","Tintorería")</f>
        <v/>
      </c>
      <c r="D845" s="94" t="str">
        <f>IF(PROGRAMA_DETALLE!AB145="","",PROGRAMA_DETALLE!AB145)</f>
        <v/>
      </c>
      <c r="E845" s="84" t="str">
        <f>IF(PROGRAMA_DETALLE!A145="","","Teñido "&amp;PROGRAMA_DETALLE!D145&amp;" "&amp;PROGRAMA_DETALLE!B145)</f>
        <v/>
      </c>
      <c r="F845" s="95" t="str">
        <f>IF(PROGRAMA_DETALLE!Z145=0,"",PROGRAMA_DETALLE!Z145)</f>
        <v/>
      </c>
      <c r="G845" s="95">
        <f>IF(PROGRAMA_DETALLE!AC145="PAGADO",PROGRAMA_DETALLE!Z145,0)</f>
        <v>0</v>
      </c>
      <c r="H845" s="95">
        <f>IF(OR(PROGRAMA_DETALLE!AC145="PENDIENTE",PROGRAMA_DETALLE!AC145="PARCIAL"),PROGRAMA_DETALLE!Z145,0)</f>
        <v>0</v>
      </c>
      <c r="I845" s="94" t="str">
        <f>IF(PROGRAMA_DETALLE!AC145="","",PROGRAMA_DETALLE!AC145)</f>
        <v/>
      </c>
    </row>
    <row r="846" ht="15.75" customHeight="1">
      <c r="A846" s="96" t="s">
        <v>236</v>
      </c>
      <c r="B846" s="93" t="str">
        <f>IF(PROGRAMA_DETALLE!Q146="","",PROGRAMA_DETALLE!Q146)</f>
        <v/>
      </c>
      <c r="C846" s="84" t="str">
        <f>IF(PROGRAMA_DETALLE!A146="","","Tintorería")</f>
        <v/>
      </c>
      <c r="D846" s="94" t="str">
        <f>IF(PROGRAMA_DETALLE!AB146="","",PROGRAMA_DETALLE!AB146)</f>
        <v/>
      </c>
      <c r="E846" s="84" t="str">
        <f>IF(PROGRAMA_DETALLE!A146="","","Teñido "&amp;PROGRAMA_DETALLE!D146&amp;" "&amp;PROGRAMA_DETALLE!B146)</f>
        <v/>
      </c>
      <c r="F846" s="95" t="str">
        <f>IF(PROGRAMA_DETALLE!Z146=0,"",PROGRAMA_DETALLE!Z146)</f>
        <v/>
      </c>
      <c r="G846" s="95">
        <f>IF(PROGRAMA_DETALLE!AC146="PAGADO",PROGRAMA_DETALLE!Z146,0)</f>
        <v>0</v>
      </c>
      <c r="H846" s="95">
        <f>IF(OR(PROGRAMA_DETALLE!AC146="PENDIENTE",PROGRAMA_DETALLE!AC146="PARCIAL"),PROGRAMA_DETALLE!Z146,0)</f>
        <v>0</v>
      </c>
      <c r="I846" s="94" t="str">
        <f>IF(PROGRAMA_DETALLE!AC146="","",PROGRAMA_DETALLE!AC146)</f>
        <v/>
      </c>
    </row>
    <row r="847" ht="15.75" customHeight="1">
      <c r="A847" s="96" t="s">
        <v>236</v>
      </c>
      <c r="B847" s="93" t="str">
        <f>IF(PROGRAMA_DETALLE!Q147="","",PROGRAMA_DETALLE!Q147)</f>
        <v/>
      </c>
      <c r="C847" s="84" t="str">
        <f>IF(PROGRAMA_DETALLE!A147="","","Tintorería")</f>
        <v/>
      </c>
      <c r="D847" s="94" t="str">
        <f>IF(PROGRAMA_DETALLE!AB147="","",PROGRAMA_DETALLE!AB147)</f>
        <v/>
      </c>
      <c r="E847" s="84" t="str">
        <f>IF(PROGRAMA_DETALLE!A147="","","Teñido "&amp;PROGRAMA_DETALLE!D147&amp;" "&amp;PROGRAMA_DETALLE!B147)</f>
        <v/>
      </c>
      <c r="F847" s="95" t="str">
        <f>IF(PROGRAMA_DETALLE!Z147=0,"",PROGRAMA_DETALLE!Z147)</f>
        <v/>
      </c>
      <c r="G847" s="95">
        <f>IF(PROGRAMA_DETALLE!AC147="PAGADO",PROGRAMA_DETALLE!Z147,0)</f>
        <v>0</v>
      </c>
      <c r="H847" s="95">
        <f>IF(OR(PROGRAMA_DETALLE!AC147="PENDIENTE",PROGRAMA_DETALLE!AC147="PARCIAL"),PROGRAMA_DETALLE!Z147,0)</f>
        <v>0</v>
      </c>
      <c r="I847" s="94" t="str">
        <f>IF(PROGRAMA_DETALLE!AC147="","",PROGRAMA_DETALLE!AC147)</f>
        <v/>
      </c>
    </row>
    <row r="848" ht="15.75" customHeight="1">
      <c r="A848" s="96" t="s">
        <v>236</v>
      </c>
      <c r="B848" s="93" t="str">
        <f>IF(PROGRAMA_DETALLE!Q148="","",PROGRAMA_DETALLE!Q148)</f>
        <v/>
      </c>
      <c r="C848" s="84" t="str">
        <f>IF(PROGRAMA_DETALLE!A148="","","Tintorería")</f>
        <v/>
      </c>
      <c r="D848" s="94" t="str">
        <f>IF(PROGRAMA_DETALLE!AB148="","",PROGRAMA_DETALLE!AB148)</f>
        <v/>
      </c>
      <c r="E848" s="84" t="str">
        <f>IF(PROGRAMA_DETALLE!A148="","","Teñido "&amp;PROGRAMA_DETALLE!D148&amp;" "&amp;PROGRAMA_DETALLE!B148)</f>
        <v/>
      </c>
      <c r="F848" s="95" t="str">
        <f>IF(PROGRAMA_DETALLE!Z148=0,"",PROGRAMA_DETALLE!Z148)</f>
        <v/>
      </c>
      <c r="G848" s="95">
        <f>IF(PROGRAMA_DETALLE!AC148="PAGADO",PROGRAMA_DETALLE!Z148,0)</f>
        <v>0</v>
      </c>
      <c r="H848" s="95">
        <f>IF(OR(PROGRAMA_DETALLE!AC148="PENDIENTE",PROGRAMA_DETALLE!AC148="PARCIAL"),PROGRAMA_DETALLE!Z148,0)</f>
        <v>0</v>
      </c>
      <c r="I848" s="94" t="str">
        <f>IF(PROGRAMA_DETALLE!AC148="","",PROGRAMA_DETALLE!AC148)</f>
        <v/>
      </c>
    </row>
    <row r="849" ht="15.75" customHeight="1">
      <c r="A849" s="96" t="s">
        <v>236</v>
      </c>
      <c r="B849" s="93" t="str">
        <f>IF(PROGRAMA_DETALLE!Q149="","",PROGRAMA_DETALLE!Q149)</f>
        <v/>
      </c>
      <c r="C849" s="84" t="str">
        <f>IF(PROGRAMA_DETALLE!A149="","","Tintorería")</f>
        <v/>
      </c>
      <c r="D849" s="94" t="str">
        <f>IF(PROGRAMA_DETALLE!AB149="","",PROGRAMA_DETALLE!AB149)</f>
        <v/>
      </c>
      <c r="E849" s="84" t="str">
        <f>IF(PROGRAMA_DETALLE!A149="","","Teñido "&amp;PROGRAMA_DETALLE!D149&amp;" "&amp;PROGRAMA_DETALLE!B149)</f>
        <v/>
      </c>
      <c r="F849" s="95" t="str">
        <f>IF(PROGRAMA_DETALLE!Z149=0,"",PROGRAMA_DETALLE!Z149)</f>
        <v/>
      </c>
      <c r="G849" s="95">
        <f>IF(PROGRAMA_DETALLE!AC149="PAGADO",PROGRAMA_DETALLE!Z149,0)</f>
        <v>0</v>
      </c>
      <c r="H849" s="95">
        <f>IF(OR(PROGRAMA_DETALLE!AC149="PENDIENTE",PROGRAMA_DETALLE!AC149="PARCIAL"),PROGRAMA_DETALLE!Z149,0)</f>
        <v>0</v>
      </c>
      <c r="I849" s="94" t="str">
        <f>IF(PROGRAMA_DETALLE!AC149="","",PROGRAMA_DETALLE!AC149)</f>
        <v/>
      </c>
    </row>
    <row r="850" ht="15.75" customHeight="1">
      <c r="A850" s="96" t="s">
        <v>236</v>
      </c>
      <c r="B850" s="93" t="str">
        <f>IF(PROGRAMA_DETALLE!Q150="","",PROGRAMA_DETALLE!Q150)</f>
        <v/>
      </c>
      <c r="C850" s="84" t="str">
        <f>IF(PROGRAMA_DETALLE!A150="","","Tintorería")</f>
        <v/>
      </c>
      <c r="D850" s="94" t="str">
        <f>IF(PROGRAMA_DETALLE!AB150="","",PROGRAMA_DETALLE!AB150)</f>
        <v/>
      </c>
      <c r="E850" s="84" t="str">
        <f>IF(PROGRAMA_DETALLE!A150="","","Teñido "&amp;PROGRAMA_DETALLE!D150&amp;" "&amp;PROGRAMA_DETALLE!B150)</f>
        <v/>
      </c>
      <c r="F850" s="95" t="str">
        <f>IF(PROGRAMA_DETALLE!Z150=0,"",PROGRAMA_DETALLE!Z150)</f>
        <v/>
      </c>
      <c r="G850" s="95">
        <f>IF(PROGRAMA_DETALLE!AC150="PAGADO",PROGRAMA_DETALLE!Z150,0)</f>
        <v>0</v>
      </c>
      <c r="H850" s="95">
        <f>IF(OR(PROGRAMA_DETALLE!AC150="PENDIENTE",PROGRAMA_DETALLE!AC150="PARCIAL"),PROGRAMA_DETALLE!Z150,0)</f>
        <v>0</v>
      </c>
      <c r="I850" s="94" t="str">
        <f>IF(PROGRAMA_DETALLE!AC150="","",PROGRAMA_DETALLE!AC150)</f>
        <v/>
      </c>
    </row>
    <row r="851" ht="15.75" customHeight="1">
      <c r="A851" s="96" t="s">
        <v>236</v>
      </c>
      <c r="B851" s="93" t="str">
        <f>IF(PROGRAMA_DETALLE!Q151="","",PROGRAMA_DETALLE!Q151)</f>
        <v/>
      </c>
      <c r="C851" s="84" t="str">
        <f>IF(PROGRAMA_DETALLE!A151="","","Tintorería")</f>
        <v/>
      </c>
      <c r="D851" s="94" t="str">
        <f>IF(PROGRAMA_DETALLE!AB151="","",PROGRAMA_DETALLE!AB151)</f>
        <v/>
      </c>
      <c r="E851" s="84" t="str">
        <f>IF(PROGRAMA_DETALLE!A151="","","Teñido "&amp;PROGRAMA_DETALLE!D151&amp;" "&amp;PROGRAMA_DETALLE!B151)</f>
        <v/>
      </c>
      <c r="F851" s="95" t="str">
        <f>IF(PROGRAMA_DETALLE!Z151=0,"",PROGRAMA_DETALLE!Z151)</f>
        <v/>
      </c>
      <c r="G851" s="95">
        <f>IF(PROGRAMA_DETALLE!AC151="PAGADO",PROGRAMA_DETALLE!Z151,0)</f>
        <v>0</v>
      </c>
      <c r="H851" s="95">
        <f>IF(OR(PROGRAMA_DETALLE!AC151="PENDIENTE",PROGRAMA_DETALLE!AC151="PARCIAL"),PROGRAMA_DETALLE!Z151,0)</f>
        <v>0</v>
      </c>
      <c r="I851" s="94" t="str">
        <f>IF(PROGRAMA_DETALLE!AC151="","",PROGRAMA_DETALLE!AC151)</f>
        <v/>
      </c>
    </row>
    <row r="852" ht="15.75" customHeight="1">
      <c r="A852" s="96" t="s">
        <v>236</v>
      </c>
      <c r="B852" s="93" t="str">
        <f>IF(PROGRAMA_DETALLE!Q152="","",PROGRAMA_DETALLE!Q152)</f>
        <v/>
      </c>
      <c r="C852" s="84" t="str">
        <f>IF(PROGRAMA_DETALLE!A152="","","Tintorería")</f>
        <v/>
      </c>
      <c r="D852" s="94" t="str">
        <f>IF(PROGRAMA_DETALLE!AB152="","",PROGRAMA_DETALLE!AB152)</f>
        <v/>
      </c>
      <c r="E852" s="84" t="str">
        <f>IF(PROGRAMA_DETALLE!A152="","","Teñido "&amp;PROGRAMA_DETALLE!D152&amp;" "&amp;PROGRAMA_DETALLE!B152)</f>
        <v/>
      </c>
      <c r="F852" s="95" t="str">
        <f>IF(PROGRAMA_DETALLE!Z152=0,"",PROGRAMA_DETALLE!Z152)</f>
        <v/>
      </c>
      <c r="G852" s="95">
        <f>IF(PROGRAMA_DETALLE!AC152="PAGADO",PROGRAMA_DETALLE!Z152,0)</f>
        <v>0</v>
      </c>
      <c r="H852" s="95">
        <f>IF(OR(PROGRAMA_DETALLE!AC152="PENDIENTE",PROGRAMA_DETALLE!AC152="PARCIAL"),PROGRAMA_DETALLE!Z152,0)</f>
        <v>0</v>
      </c>
      <c r="I852" s="94" t="str">
        <f>IF(PROGRAMA_DETALLE!AC152="","",PROGRAMA_DETALLE!AC152)</f>
        <v/>
      </c>
    </row>
    <row r="853" ht="15.75" customHeight="1">
      <c r="A853" s="96" t="s">
        <v>236</v>
      </c>
      <c r="B853" s="93" t="str">
        <f>IF(PROGRAMA_DETALLE!Q153="","",PROGRAMA_DETALLE!Q153)</f>
        <v/>
      </c>
      <c r="C853" s="84" t="str">
        <f>IF(PROGRAMA_DETALLE!A153="","","Tintorería")</f>
        <v/>
      </c>
      <c r="D853" s="94" t="str">
        <f>IF(PROGRAMA_DETALLE!AB153="","",PROGRAMA_DETALLE!AB153)</f>
        <v/>
      </c>
      <c r="E853" s="84" t="str">
        <f>IF(PROGRAMA_DETALLE!A153="","","Teñido "&amp;PROGRAMA_DETALLE!D153&amp;" "&amp;PROGRAMA_DETALLE!B153)</f>
        <v/>
      </c>
      <c r="F853" s="95" t="str">
        <f>IF(PROGRAMA_DETALLE!Z153=0,"",PROGRAMA_DETALLE!Z153)</f>
        <v/>
      </c>
      <c r="G853" s="95">
        <f>IF(PROGRAMA_DETALLE!AC153="PAGADO",PROGRAMA_DETALLE!Z153,0)</f>
        <v>0</v>
      </c>
      <c r="H853" s="95">
        <f>IF(OR(PROGRAMA_DETALLE!AC153="PENDIENTE",PROGRAMA_DETALLE!AC153="PARCIAL"),PROGRAMA_DETALLE!Z153,0)</f>
        <v>0</v>
      </c>
      <c r="I853" s="94" t="str">
        <f>IF(PROGRAMA_DETALLE!AC153="","",PROGRAMA_DETALLE!AC153)</f>
        <v/>
      </c>
    </row>
    <row r="854" ht="15.75" customHeight="1">
      <c r="A854" s="96" t="s">
        <v>236</v>
      </c>
      <c r="B854" s="93" t="str">
        <f>IF(PROGRAMA_DETALLE!Q154="","",PROGRAMA_DETALLE!Q154)</f>
        <v/>
      </c>
      <c r="C854" s="84" t="str">
        <f>IF(PROGRAMA_DETALLE!A154="","","Tintorería")</f>
        <v/>
      </c>
      <c r="D854" s="94" t="str">
        <f>IF(PROGRAMA_DETALLE!AB154="","",PROGRAMA_DETALLE!AB154)</f>
        <v/>
      </c>
      <c r="E854" s="84" t="str">
        <f>IF(PROGRAMA_DETALLE!A154="","","Teñido "&amp;PROGRAMA_DETALLE!D154&amp;" "&amp;PROGRAMA_DETALLE!B154)</f>
        <v/>
      </c>
      <c r="F854" s="95" t="str">
        <f>IF(PROGRAMA_DETALLE!Z154=0,"",PROGRAMA_DETALLE!Z154)</f>
        <v/>
      </c>
      <c r="G854" s="95">
        <f>IF(PROGRAMA_DETALLE!AC154="PAGADO",PROGRAMA_DETALLE!Z154,0)</f>
        <v>0</v>
      </c>
      <c r="H854" s="95">
        <f>IF(OR(PROGRAMA_DETALLE!AC154="PENDIENTE",PROGRAMA_DETALLE!AC154="PARCIAL"),PROGRAMA_DETALLE!Z154,0)</f>
        <v>0</v>
      </c>
      <c r="I854" s="94" t="str">
        <f>IF(PROGRAMA_DETALLE!AC154="","",PROGRAMA_DETALLE!AC154)</f>
        <v/>
      </c>
    </row>
    <row r="855" ht="15.75" customHeight="1">
      <c r="A855" s="96" t="s">
        <v>236</v>
      </c>
      <c r="B855" s="93" t="str">
        <f>IF(PROGRAMA_DETALLE!Q155="","",PROGRAMA_DETALLE!Q155)</f>
        <v/>
      </c>
      <c r="C855" s="84" t="str">
        <f>IF(PROGRAMA_DETALLE!A155="","","Tintorería")</f>
        <v/>
      </c>
      <c r="D855" s="94" t="str">
        <f>IF(PROGRAMA_DETALLE!AB155="","",PROGRAMA_DETALLE!AB155)</f>
        <v/>
      </c>
      <c r="E855" s="84" t="str">
        <f>IF(PROGRAMA_DETALLE!A155="","","Teñido "&amp;PROGRAMA_DETALLE!D155&amp;" "&amp;PROGRAMA_DETALLE!B155)</f>
        <v/>
      </c>
      <c r="F855" s="95" t="str">
        <f>IF(PROGRAMA_DETALLE!Z155=0,"",PROGRAMA_DETALLE!Z155)</f>
        <v/>
      </c>
      <c r="G855" s="95">
        <f>IF(PROGRAMA_DETALLE!AC155="PAGADO",PROGRAMA_DETALLE!Z155,0)</f>
        <v>0</v>
      </c>
      <c r="H855" s="95">
        <f>IF(OR(PROGRAMA_DETALLE!AC155="PENDIENTE",PROGRAMA_DETALLE!AC155="PARCIAL"),PROGRAMA_DETALLE!Z155,0)</f>
        <v>0</v>
      </c>
      <c r="I855" s="94" t="str">
        <f>IF(PROGRAMA_DETALLE!AC155="","",PROGRAMA_DETALLE!AC155)</f>
        <v/>
      </c>
    </row>
    <row r="856" ht="15.75" customHeight="1">
      <c r="A856" s="96" t="s">
        <v>236</v>
      </c>
      <c r="B856" s="93" t="str">
        <f>IF(PROGRAMA_DETALLE!Q156="","",PROGRAMA_DETALLE!Q156)</f>
        <v/>
      </c>
      <c r="C856" s="84" t="str">
        <f>IF(PROGRAMA_DETALLE!A156="","","Tintorería")</f>
        <v/>
      </c>
      <c r="D856" s="94" t="str">
        <f>IF(PROGRAMA_DETALLE!AB156="","",PROGRAMA_DETALLE!AB156)</f>
        <v/>
      </c>
      <c r="E856" s="84" t="str">
        <f>IF(PROGRAMA_DETALLE!A156="","","Teñido "&amp;PROGRAMA_DETALLE!D156&amp;" "&amp;PROGRAMA_DETALLE!B156)</f>
        <v/>
      </c>
      <c r="F856" s="95" t="str">
        <f>IF(PROGRAMA_DETALLE!Z156=0,"",PROGRAMA_DETALLE!Z156)</f>
        <v/>
      </c>
      <c r="G856" s="95">
        <f>IF(PROGRAMA_DETALLE!AC156="PAGADO",PROGRAMA_DETALLE!Z156,0)</f>
        <v>0</v>
      </c>
      <c r="H856" s="95">
        <f>IF(OR(PROGRAMA_DETALLE!AC156="PENDIENTE",PROGRAMA_DETALLE!AC156="PARCIAL"),PROGRAMA_DETALLE!Z156,0)</f>
        <v>0</v>
      </c>
      <c r="I856" s="94" t="str">
        <f>IF(PROGRAMA_DETALLE!AC156="","",PROGRAMA_DETALLE!AC156)</f>
        <v/>
      </c>
    </row>
    <row r="857" ht="15.75" customHeight="1">
      <c r="A857" s="96" t="s">
        <v>236</v>
      </c>
      <c r="B857" s="93" t="str">
        <f>IF(PROGRAMA_DETALLE!Q157="","",PROGRAMA_DETALLE!Q157)</f>
        <v/>
      </c>
      <c r="C857" s="84" t="str">
        <f>IF(PROGRAMA_DETALLE!A157="","","Tintorería")</f>
        <v/>
      </c>
      <c r="D857" s="94" t="str">
        <f>IF(PROGRAMA_DETALLE!AB157="","",PROGRAMA_DETALLE!AB157)</f>
        <v/>
      </c>
      <c r="E857" s="84" t="str">
        <f>IF(PROGRAMA_DETALLE!A157="","","Teñido "&amp;PROGRAMA_DETALLE!D157&amp;" "&amp;PROGRAMA_DETALLE!B157)</f>
        <v/>
      </c>
      <c r="F857" s="95" t="str">
        <f>IF(PROGRAMA_DETALLE!Z157=0,"",PROGRAMA_DETALLE!Z157)</f>
        <v/>
      </c>
      <c r="G857" s="95">
        <f>IF(PROGRAMA_DETALLE!AC157="PAGADO",PROGRAMA_DETALLE!Z157,0)</f>
        <v>0</v>
      </c>
      <c r="H857" s="95">
        <f>IF(OR(PROGRAMA_DETALLE!AC157="PENDIENTE",PROGRAMA_DETALLE!AC157="PARCIAL"),PROGRAMA_DETALLE!Z157,0)</f>
        <v>0</v>
      </c>
      <c r="I857" s="94" t="str">
        <f>IF(PROGRAMA_DETALLE!AC157="","",PROGRAMA_DETALLE!AC157)</f>
        <v/>
      </c>
    </row>
    <row r="858" ht="15.75" customHeight="1">
      <c r="A858" s="96" t="s">
        <v>236</v>
      </c>
      <c r="B858" s="93" t="str">
        <f>IF(PROGRAMA_DETALLE!Q158="","",PROGRAMA_DETALLE!Q158)</f>
        <v/>
      </c>
      <c r="C858" s="84" t="str">
        <f>IF(PROGRAMA_DETALLE!A158="","","Tintorería")</f>
        <v/>
      </c>
      <c r="D858" s="94" t="str">
        <f>IF(PROGRAMA_DETALLE!AB158="","",PROGRAMA_DETALLE!AB158)</f>
        <v/>
      </c>
      <c r="E858" s="84" t="str">
        <f>IF(PROGRAMA_DETALLE!A158="","","Teñido "&amp;PROGRAMA_DETALLE!D158&amp;" "&amp;PROGRAMA_DETALLE!B158)</f>
        <v/>
      </c>
      <c r="F858" s="95" t="str">
        <f>IF(PROGRAMA_DETALLE!Z158=0,"",PROGRAMA_DETALLE!Z158)</f>
        <v/>
      </c>
      <c r="G858" s="95">
        <f>IF(PROGRAMA_DETALLE!AC158="PAGADO",PROGRAMA_DETALLE!Z158,0)</f>
        <v>0</v>
      </c>
      <c r="H858" s="95">
        <f>IF(OR(PROGRAMA_DETALLE!AC158="PENDIENTE",PROGRAMA_DETALLE!AC158="PARCIAL"),PROGRAMA_DETALLE!Z158,0)</f>
        <v>0</v>
      </c>
      <c r="I858" s="94" t="str">
        <f>IF(PROGRAMA_DETALLE!AC158="","",PROGRAMA_DETALLE!AC158)</f>
        <v/>
      </c>
    </row>
    <row r="859" ht="15.75" customHeight="1">
      <c r="A859" s="96" t="s">
        <v>236</v>
      </c>
      <c r="B859" s="93" t="str">
        <f>IF(PROGRAMA_DETALLE!Q159="","",PROGRAMA_DETALLE!Q159)</f>
        <v/>
      </c>
      <c r="C859" s="84" t="str">
        <f>IF(PROGRAMA_DETALLE!A159="","","Tintorería")</f>
        <v/>
      </c>
      <c r="D859" s="94" t="str">
        <f>IF(PROGRAMA_DETALLE!AB159="","",PROGRAMA_DETALLE!AB159)</f>
        <v/>
      </c>
      <c r="E859" s="84" t="str">
        <f>IF(PROGRAMA_DETALLE!A159="","","Teñido "&amp;PROGRAMA_DETALLE!D159&amp;" "&amp;PROGRAMA_DETALLE!B159)</f>
        <v/>
      </c>
      <c r="F859" s="95" t="str">
        <f>IF(PROGRAMA_DETALLE!Z159=0,"",PROGRAMA_DETALLE!Z159)</f>
        <v/>
      </c>
      <c r="G859" s="95">
        <f>IF(PROGRAMA_DETALLE!AC159="PAGADO",PROGRAMA_DETALLE!Z159,0)</f>
        <v>0</v>
      </c>
      <c r="H859" s="95">
        <f>IF(OR(PROGRAMA_DETALLE!AC159="PENDIENTE",PROGRAMA_DETALLE!AC159="PARCIAL"),PROGRAMA_DETALLE!Z159,0)</f>
        <v>0</v>
      </c>
      <c r="I859" s="94" t="str">
        <f>IF(PROGRAMA_DETALLE!AC159="","",PROGRAMA_DETALLE!AC159)</f>
        <v/>
      </c>
    </row>
    <row r="860" ht="15.75" customHeight="1">
      <c r="A860" s="96" t="s">
        <v>236</v>
      </c>
      <c r="B860" s="93" t="str">
        <f>IF(PROGRAMA_DETALLE!Q160="","",PROGRAMA_DETALLE!Q160)</f>
        <v/>
      </c>
      <c r="C860" s="84" t="str">
        <f>IF(PROGRAMA_DETALLE!A160="","","Tintorería")</f>
        <v/>
      </c>
      <c r="D860" s="94" t="str">
        <f>IF(PROGRAMA_DETALLE!AB160="","",PROGRAMA_DETALLE!AB160)</f>
        <v/>
      </c>
      <c r="E860" s="84" t="str">
        <f>IF(PROGRAMA_DETALLE!A160="","","Teñido "&amp;PROGRAMA_DETALLE!D160&amp;" "&amp;PROGRAMA_DETALLE!B160)</f>
        <v/>
      </c>
      <c r="F860" s="95" t="str">
        <f>IF(PROGRAMA_DETALLE!Z160=0,"",PROGRAMA_DETALLE!Z160)</f>
        <v/>
      </c>
      <c r="G860" s="95">
        <f>IF(PROGRAMA_DETALLE!AC160="PAGADO",PROGRAMA_DETALLE!Z160,0)</f>
        <v>0</v>
      </c>
      <c r="H860" s="95">
        <f>IF(OR(PROGRAMA_DETALLE!AC160="PENDIENTE",PROGRAMA_DETALLE!AC160="PARCIAL"),PROGRAMA_DETALLE!Z160,0)</f>
        <v>0</v>
      </c>
      <c r="I860" s="94" t="str">
        <f>IF(PROGRAMA_DETALLE!AC160="","",PROGRAMA_DETALLE!AC160)</f>
        <v/>
      </c>
    </row>
    <row r="861" ht="15.75" customHeight="1">
      <c r="A861" s="96" t="s">
        <v>236</v>
      </c>
      <c r="B861" s="93" t="str">
        <f>IF(PROGRAMA_DETALLE!Q161="","",PROGRAMA_DETALLE!Q161)</f>
        <v/>
      </c>
      <c r="C861" s="84" t="str">
        <f>IF(PROGRAMA_DETALLE!A161="","","Tintorería")</f>
        <v/>
      </c>
      <c r="D861" s="94" t="str">
        <f>IF(PROGRAMA_DETALLE!AB161="","",PROGRAMA_DETALLE!AB161)</f>
        <v/>
      </c>
      <c r="E861" s="84" t="str">
        <f>IF(PROGRAMA_DETALLE!A161="","","Teñido "&amp;PROGRAMA_DETALLE!D161&amp;" "&amp;PROGRAMA_DETALLE!B161)</f>
        <v/>
      </c>
      <c r="F861" s="95" t="str">
        <f>IF(PROGRAMA_DETALLE!Z161=0,"",PROGRAMA_DETALLE!Z161)</f>
        <v/>
      </c>
      <c r="G861" s="95">
        <f>IF(PROGRAMA_DETALLE!AC161="PAGADO",PROGRAMA_DETALLE!Z161,0)</f>
        <v>0</v>
      </c>
      <c r="H861" s="95">
        <f>IF(OR(PROGRAMA_DETALLE!AC161="PENDIENTE",PROGRAMA_DETALLE!AC161="PARCIAL"),PROGRAMA_DETALLE!Z161,0)</f>
        <v>0</v>
      </c>
      <c r="I861" s="94" t="str">
        <f>IF(PROGRAMA_DETALLE!AC161="","",PROGRAMA_DETALLE!AC161)</f>
        <v/>
      </c>
    </row>
    <row r="862" ht="15.75" customHeight="1">
      <c r="A862" s="96" t="s">
        <v>236</v>
      </c>
      <c r="B862" s="93" t="str">
        <f>IF(PROGRAMA_DETALLE!Q162="","",PROGRAMA_DETALLE!Q162)</f>
        <v/>
      </c>
      <c r="C862" s="84" t="str">
        <f>IF(PROGRAMA_DETALLE!A162="","","Tintorería")</f>
        <v/>
      </c>
      <c r="D862" s="94" t="str">
        <f>IF(PROGRAMA_DETALLE!AB162="","",PROGRAMA_DETALLE!AB162)</f>
        <v/>
      </c>
      <c r="E862" s="84" t="str">
        <f>IF(PROGRAMA_DETALLE!A162="","","Teñido "&amp;PROGRAMA_DETALLE!D162&amp;" "&amp;PROGRAMA_DETALLE!B162)</f>
        <v/>
      </c>
      <c r="F862" s="95" t="str">
        <f>IF(PROGRAMA_DETALLE!Z162=0,"",PROGRAMA_DETALLE!Z162)</f>
        <v/>
      </c>
      <c r="G862" s="95">
        <f>IF(PROGRAMA_DETALLE!AC162="PAGADO",PROGRAMA_DETALLE!Z162,0)</f>
        <v>0</v>
      </c>
      <c r="H862" s="95">
        <f>IF(OR(PROGRAMA_DETALLE!AC162="PENDIENTE",PROGRAMA_DETALLE!AC162="PARCIAL"),PROGRAMA_DETALLE!Z162,0)</f>
        <v>0</v>
      </c>
      <c r="I862" s="94" t="str">
        <f>IF(PROGRAMA_DETALLE!AC162="","",PROGRAMA_DETALLE!AC162)</f>
        <v/>
      </c>
    </row>
    <row r="863" ht="15.75" customHeight="1">
      <c r="A863" s="96" t="s">
        <v>236</v>
      </c>
      <c r="B863" s="93" t="str">
        <f>IF(PROGRAMA_DETALLE!Q163="","",PROGRAMA_DETALLE!Q163)</f>
        <v/>
      </c>
      <c r="C863" s="84" t="str">
        <f>IF(PROGRAMA_DETALLE!A163="","","Tintorería")</f>
        <v/>
      </c>
      <c r="D863" s="94" t="str">
        <f>IF(PROGRAMA_DETALLE!AB163="","",PROGRAMA_DETALLE!AB163)</f>
        <v/>
      </c>
      <c r="E863" s="84" t="str">
        <f>IF(PROGRAMA_DETALLE!A163="","","Teñido "&amp;PROGRAMA_DETALLE!D163&amp;" "&amp;PROGRAMA_DETALLE!B163)</f>
        <v/>
      </c>
      <c r="F863" s="95" t="str">
        <f>IF(PROGRAMA_DETALLE!Z163=0,"",PROGRAMA_DETALLE!Z163)</f>
        <v/>
      </c>
      <c r="G863" s="95">
        <f>IF(PROGRAMA_DETALLE!AC163="PAGADO",PROGRAMA_DETALLE!Z163,0)</f>
        <v>0</v>
      </c>
      <c r="H863" s="95">
        <f>IF(OR(PROGRAMA_DETALLE!AC163="PENDIENTE",PROGRAMA_DETALLE!AC163="PARCIAL"),PROGRAMA_DETALLE!Z163,0)</f>
        <v>0</v>
      </c>
      <c r="I863" s="94" t="str">
        <f>IF(PROGRAMA_DETALLE!AC163="","",PROGRAMA_DETALLE!AC163)</f>
        <v/>
      </c>
    </row>
    <row r="864" ht="15.75" customHeight="1">
      <c r="A864" s="96" t="s">
        <v>236</v>
      </c>
      <c r="B864" s="93" t="str">
        <f>IF(PROGRAMA_DETALLE!Q164="","",PROGRAMA_DETALLE!Q164)</f>
        <v/>
      </c>
      <c r="C864" s="84" t="str">
        <f>IF(PROGRAMA_DETALLE!A164="","","Tintorería")</f>
        <v/>
      </c>
      <c r="D864" s="94" t="str">
        <f>IF(PROGRAMA_DETALLE!AB164="","",PROGRAMA_DETALLE!AB164)</f>
        <v/>
      </c>
      <c r="E864" s="84" t="str">
        <f>IF(PROGRAMA_DETALLE!A164="","","Teñido "&amp;PROGRAMA_DETALLE!D164&amp;" "&amp;PROGRAMA_DETALLE!B164)</f>
        <v/>
      </c>
      <c r="F864" s="95" t="str">
        <f>IF(PROGRAMA_DETALLE!Z164=0,"",PROGRAMA_DETALLE!Z164)</f>
        <v/>
      </c>
      <c r="G864" s="95">
        <f>IF(PROGRAMA_DETALLE!AC164="PAGADO",PROGRAMA_DETALLE!Z164,0)</f>
        <v>0</v>
      </c>
      <c r="H864" s="95">
        <f>IF(OR(PROGRAMA_DETALLE!AC164="PENDIENTE",PROGRAMA_DETALLE!AC164="PARCIAL"),PROGRAMA_DETALLE!Z164,0)</f>
        <v>0</v>
      </c>
      <c r="I864" s="94" t="str">
        <f>IF(PROGRAMA_DETALLE!AC164="","",PROGRAMA_DETALLE!AC164)</f>
        <v/>
      </c>
    </row>
    <row r="865" ht="15.75" customHeight="1">
      <c r="A865" s="96" t="s">
        <v>236</v>
      </c>
      <c r="B865" s="93" t="str">
        <f>IF(PROGRAMA_DETALLE!Q165="","",PROGRAMA_DETALLE!Q165)</f>
        <v/>
      </c>
      <c r="C865" s="84" t="str">
        <f>IF(PROGRAMA_DETALLE!A165="","","Tintorería")</f>
        <v/>
      </c>
      <c r="D865" s="94" t="str">
        <f>IF(PROGRAMA_DETALLE!AB165="","",PROGRAMA_DETALLE!AB165)</f>
        <v/>
      </c>
      <c r="E865" s="84" t="str">
        <f>IF(PROGRAMA_DETALLE!A165="","","Teñido "&amp;PROGRAMA_DETALLE!D165&amp;" "&amp;PROGRAMA_DETALLE!B165)</f>
        <v/>
      </c>
      <c r="F865" s="95" t="str">
        <f>IF(PROGRAMA_DETALLE!Z165=0,"",PROGRAMA_DETALLE!Z165)</f>
        <v/>
      </c>
      <c r="G865" s="95">
        <f>IF(PROGRAMA_DETALLE!AC165="PAGADO",PROGRAMA_DETALLE!Z165,0)</f>
        <v>0</v>
      </c>
      <c r="H865" s="95">
        <f>IF(OR(PROGRAMA_DETALLE!AC165="PENDIENTE",PROGRAMA_DETALLE!AC165="PARCIAL"),PROGRAMA_DETALLE!Z165,0)</f>
        <v>0</v>
      </c>
      <c r="I865" s="94" t="str">
        <f>IF(PROGRAMA_DETALLE!AC165="","",PROGRAMA_DETALLE!AC165)</f>
        <v/>
      </c>
    </row>
    <row r="866" ht="15.75" customHeight="1">
      <c r="A866" s="96" t="s">
        <v>236</v>
      </c>
      <c r="B866" s="93" t="str">
        <f>IF(PROGRAMA_DETALLE!Q166="","",PROGRAMA_DETALLE!Q166)</f>
        <v/>
      </c>
      <c r="C866" s="84" t="str">
        <f>IF(PROGRAMA_DETALLE!A166="","","Tintorería")</f>
        <v/>
      </c>
      <c r="D866" s="94" t="str">
        <f>IF(PROGRAMA_DETALLE!AB166="","",PROGRAMA_DETALLE!AB166)</f>
        <v/>
      </c>
      <c r="E866" s="84" t="str">
        <f>IF(PROGRAMA_DETALLE!A166="","","Teñido "&amp;PROGRAMA_DETALLE!D166&amp;" "&amp;PROGRAMA_DETALLE!B166)</f>
        <v/>
      </c>
      <c r="F866" s="95" t="str">
        <f>IF(PROGRAMA_DETALLE!Z166=0,"",PROGRAMA_DETALLE!Z166)</f>
        <v/>
      </c>
      <c r="G866" s="95">
        <f>IF(PROGRAMA_DETALLE!AC166="PAGADO",PROGRAMA_DETALLE!Z166,0)</f>
        <v>0</v>
      </c>
      <c r="H866" s="95">
        <f>IF(OR(PROGRAMA_DETALLE!AC166="PENDIENTE",PROGRAMA_DETALLE!AC166="PARCIAL"),PROGRAMA_DETALLE!Z166,0)</f>
        <v>0</v>
      </c>
      <c r="I866" s="94" t="str">
        <f>IF(PROGRAMA_DETALLE!AC166="","",PROGRAMA_DETALLE!AC166)</f>
        <v/>
      </c>
    </row>
    <row r="867" ht="15.75" customHeight="1">
      <c r="A867" s="96" t="s">
        <v>236</v>
      </c>
      <c r="B867" s="93" t="str">
        <f>IF(PROGRAMA_DETALLE!Q167="","",PROGRAMA_DETALLE!Q167)</f>
        <v/>
      </c>
      <c r="C867" s="84" t="str">
        <f>IF(PROGRAMA_DETALLE!A167="","","Tintorería")</f>
        <v/>
      </c>
      <c r="D867" s="94" t="str">
        <f>IF(PROGRAMA_DETALLE!AB167="","",PROGRAMA_DETALLE!AB167)</f>
        <v/>
      </c>
      <c r="E867" s="84" t="str">
        <f>IF(PROGRAMA_DETALLE!A167="","","Teñido "&amp;PROGRAMA_DETALLE!D167&amp;" "&amp;PROGRAMA_DETALLE!B167)</f>
        <v/>
      </c>
      <c r="F867" s="95" t="str">
        <f>IF(PROGRAMA_DETALLE!Z167=0,"",PROGRAMA_DETALLE!Z167)</f>
        <v/>
      </c>
      <c r="G867" s="95">
        <f>IF(PROGRAMA_DETALLE!AC167="PAGADO",PROGRAMA_DETALLE!Z167,0)</f>
        <v>0</v>
      </c>
      <c r="H867" s="95">
        <f>IF(OR(PROGRAMA_DETALLE!AC167="PENDIENTE",PROGRAMA_DETALLE!AC167="PARCIAL"),PROGRAMA_DETALLE!Z167,0)</f>
        <v>0</v>
      </c>
      <c r="I867" s="94" t="str">
        <f>IF(PROGRAMA_DETALLE!AC167="","",PROGRAMA_DETALLE!AC167)</f>
        <v/>
      </c>
    </row>
    <row r="868" ht="15.75" customHeight="1">
      <c r="A868" s="96" t="s">
        <v>236</v>
      </c>
      <c r="B868" s="93" t="str">
        <f>IF(PROGRAMA_DETALLE!Q168="","",PROGRAMA_DETALLE!Q168)</f>
        <v/>
      </c>
      <c r="C868" s="84" t="str">
        <f>IF(PROGRAMA_DETALLE!A168="","","Tintorería")</f>
        <v/>
      </c>
      <c r="D868" s="94" t="str">
        <f>IF(PROGRAMA_DETALLE!AB168="","",PROGRAMA_DETALLE!AB168)</f>
        <v/>
      </c>
      <c r="E868" s="84" t="str">
        <f>IF(PROGRAMA_DETALLE!A168="","","Teñido "&amp;PROGRAMA_DETALLE!D168&amp;" "&amp;PROGRAMA_DETALLE!B168)</f>
        <v/>
      </c>
      <c r="F868" s="95" t="str">
        <f>IF(PROGRAMA_DETALLE!Z168=0,"",PROGRAMA_DETALLE!Z168)</f>
        <v/>
      </c>
      <c r="G868" s="95">
        <f>IF(PROGRAMA_DETALLE!AC168="PAGADO",PROGRAMA_DETALLE!Z168,0)</f>
        <v>0</v>
      </c>
      <c r="H868" s="95">
        <f>IF(OR(PROGRAMA_DETALLE!AC168="PENDIENTE",PROGRAMA_DETALLE!AC168="PARCIAL"),PROGRAMA_DETALLE!Z168,0)</f>
        <v>0</v>
      </c>
      <c r="I868" s="94" t="str">
        <f>IF(PROGRAMA_DETALLE!AC168="","",PROGRAMA_DETALLE!AC168)</f>
        <v/>
      </c>
    </row>
    <row r="869" ht="15.75" customHeight="1">
      <c r="A869" s="96" t="s">
        <v>236</v>
      </c>
      <c r="B869" s="93" t="str">
        <f>IF(PROGRAMA_DETALLE!Q169="","",PROGRAMA_DETALLE!Q169)</f>
        <v/>
      </c>
      <c r="C869" s="84" t="str">
        <f>IF(PROGRAMA_DETALLE!A169="","","Tintorería")</f>
        <v/>
      </c>
      <c r="D869" s="94" t="str">
        <f>IF(PROGRAMA_DETALLE!AB169="","",PROGRAMA_DETALLE!AB169)</f>
        <v/>
      </c>
      <c r="E869" s="84" t="str">
        <f>IF(PROGRAMA_DETALLE!A169="","","Teñido "&amp;PROGRAMA_DETALLE!D169&amp;" "&amp;PROGRAMA_DETALLE!B169)</f>
        <v/>
      </c>
      <c r="F869" s="95" t="str">
        <f>IF(PROGRAMA_DETALLE!Z169=0,"",PROGRAMA_DETALLE!Z169)</f>
        <v/>
      </c>
      <c r="G869" s="95">
        <f>IF(PROGRAMA_DETALLE!AC169="PAGADO",PROGRAMA_DETALLE!Z169,0)</f>
        <v>0</v>
      </c>
      <c r="H869" s="95">
        <f>IF(OR(PROGRAMA_DETALLE!AC169="PENDIENTE",PROGRAMA_DETALLE!AC169="PARCIAL"),PROGRAMA_DETALLE!Z169,0)</f>
        <v>0</v>
      </c>
      <c r="I869" s="94" t="str">
        <f>IF(PROGRAMA_DETALLE!AC169="","",PROGRAMA_DETALLE!AC169)</f>
        <v/>
      </c>
    </row>
    <row r="870" ht="15.75" customHeight="1">
      <c r="A870" s="96" t="s">
        <v>236</v>
      </c>
      <c r="B870" s="93" t="str">
        <f>IF(PROGRAMA_DETALLE!Q170="","",PROGRAMA_DETALLE!Q170)</f>
        <v/>
      </c>
      <c r="C870" s="84" t="str">
        <f>IF(PROGRAMA_DETALLE!A170="","","Tintorería")</f>
        <v/>
      </c>
      <c r="D870" s="94" t="str">
        <f>IF(PROGRAMA_DETALLE!AB170="","",PROGRAMA_DETALLE!AB170)</f>
        <v/>
      </c>
      <c r="E870" s="84" t="str">
        <f>IF(PROGRAMA_DETALLE!A170="","","Teñido "&amp;PROGRAMA_DETALLE!D170&amp;" "&amp;PROGRAMA_DETALLE!B170)</f>
        <v/>
      </c>
      <c r="F870" s="95" t="str">
        <f>IF(PROGRAMA_DETALLE!Z170=0,"",PROGRAMA_DETALLE!Z170)</f>
        <v/>
      </c>
      <c r="G870" s="95">
        <f>IF(PROGRAMA_DETALLE!AC170="PAGADO",PROGRAMA_DETALLE!Z170,0)</f>
        <v>0</v>
      </c>
      <c r="H870" s="95">
        <f>IF(OR(PROGRAMA_DETALLE!AC170="PENDIENTE",PROGRAMA_DETALLE!AC170="PARCIAL"),PROGRAMA_DETALLE!Z170,0)</f>
        <v>0</v>
      </c>
      <c r="I870" s="94" t="str">
        <f>IF(PROGRAMA_DETALLE!AC170="","",PROGRAMA_DETALLE!AC170)</f>
        <v/>
      </c>
    </row>
    <row r="871" ht="15.75" customHeight="1">
      <c r="A871" s="96" t="s">
        <v>236</v>
      </c>
      <c r="B871" s="93" t="str">
        <f>IF(PROGRAMA_DETALLE!Q171="","",PROGRAMA_DETALLE!Q171)</f>
        <v/>
      </c>
      <c r="C871" s="84" t="str">
        <f>IF(PROGRAMA_DETALLE!A171="","","Tintorería")</f>
        <v/>
      </c>
      <c r="D871" s="94" t="str">
        <f>IF(PROGRAMA_DETALLE!AB171="","",PROGRAMA_DETALLE!AB171)</f>
        <v/>
      </c>
      <c r="E871" s="84" t="str">
        <f>IF(PROGRAMA_DETALLE!A171="","","Teñido "&amp;PROGRAMA_DETALLE!D171&amp;" "&amp;PROGRAMA_DETALLE!B171)</f>
        <v/>
      </c>
      <c r="F871" s="95" t="str">
        <f>IF(PROGRAMA_DETALLE!Z171=0,"",PROGRAMA_DETALLE!Z171)</f>
        <v/>
      </c>
      <c r="G871" s="95">
        <f>IF(PROGRAMA_DETALLE!AC171="PAGADO",PROGRAMA_DETALLE!Z171,0)</f>
        <v>0</v>
      </c>
      <c r="H871" s="95">
        <f>IF(OR(PROGRAMA_DETALLE!AC171="PENDIENTE",PROGRAMA_DETALLE!AC171="PARCIAL"),PROGRAMA_DETALLE!Z171,0)</f>
        <v>0</v>
      </c>
      <c r="I871" s="94" t="str">
        <f>IF(PROGRAMA_DETALLE!AC171="","",PROGRAMA_DETALLE!AC171)</f>
        <v/>
      </c>
    </row>
    <row r="872" ht="15.75" customHeight="1">
      <c r="A872" s="96" t="s">
        <v>236</v>
      </c>
      <c r="B872" s="93" t="str">
        <f>IF(PROGRAMA_DETALLE!Q172="","",PROGRAMA_DETALLE!Q172)</f>
        <v/>
      </c>
      <c r="C872" s="84" t="str">
        <f>IF(PROGRAMA_DETALLE!A172="","","Tintorería")</f>
        <v/>
      </c>
      <c r="D872" s="94" t="str">
        <f>IF(PROGRAMA_DETALLE!AB172="","",PROGRAMA_DETALLE!AB172)</f>
        <v/>
      </c>
      <c r="E872" s="84" t="str">
        <f>IF(PROGRAMA_DETALLE!A172="","","Teñido "&amp;PROGRAMA_DETALLE!D172&amp;" "&amp;PROGRAMA_DETALLE!B172)</f>
        <v/>
      </c>
      <c r="F872" s="95" t="str">
        <f>IF(PROGRAMA_DETALLE!Z172=0,"",PROGRAMA_DETALLE!Z172)</f>
        <v/>
      </c>
      <c r="G872" s="95">
        <f>IF(PROGRAMA_DETALLE!AC172="PAGADO",PROGRAMA_DETALLE!Z172,0)</f>
        <v>0</v>
      </c>
      <c r="H872" s="95">
        <f>IF(OR(PROGRAMA_DETALLE!AC172="PENDIENTE",PROGRAMA_DETALLE!AC172="PARCIAL"),PROGRAMA_DETALLE!Z172,0)</f>
        <v>0</v>
      </c>
      <c r="I872" s="94" t="str">
        <f>IF(PROGRAMA_DETALLE!AC172="","",PROGRAMA_DETALLE!AC172)</f>
        <v/>
      </c>
    </row>
    <row r="873" ht="15.75" customHeight="1">
      <c r="A873" s="96" t="s">
        <v>236</v>
      </c>
      <c r="B873" s="93" t="str">
        <f>IF(PROGRAMA_DETALLE!Q173="","",PROGRAMA_DETALLE!Q173)</f>
        <v/>
      </c>
      <c r="C873" s="84" t="str">
        <f>IF(PROGRAMA_DETALLE!A173="","","Tintorería")</f>
        <v/>
      </c>
      <c r="D873" s="94" t="str">
        <f>IF(PROGRAMA_DETALLE!AB173="","",PROGRAMA_DETALLE!AB173)</f>
        <v/>
      </c>
      <c r="E873" s="84" t="str">
        <f>IF(PROGRAMA_DETALLE!A173="","","Teñido "&amp;PROGRAMA_DETALLE!D173&amp;" "&amp;PROGRAMA_DETALLE!B173)</f>
        <v/>
      </c>
      <c r="F873" s="95" t="str">
        <f>IF(PROGRAMA_DETALLE!Z173=0,"",PROGRAMA_DETALLE!Z173)</f>
        <v/>
      </c>
      <c r="G873" s="95">
        <f>IF(PROGRAMA_DETALLE!AC173="PAGADO",PROGRAMA_DETALLE!Z173,0)</f>
        <v>0</v>
      </c>
      <c r="H873" s="95">
        <f>IF(OR(PROGRAMA_DETALLE!AC173="PENDIENTE",PROGRAMA_DETALLE!AC173="PARCIAL"),PROGRAMA_DETALLE!Z173,0)</f>
        <v>0</v>
      </c>
      <c r="I873" s="94" t="str">
        <f>IF(PROGRAMA_DETALLE!AC173="","",PROGRAMA_DETALLE!AC173)</f>
        <v/>
      </c>
    </row>
    <row r="874" ht="15.75" customHeight="1">
      <c r="A874" s="96" t="s">
        <v>236</v>
      </c>
      <c r="B874" s="93" t="str">
        <f>IF(PROGRAMA_DETALLE!Q174="","",PROGRAMA_DETALLE!Q174)</f>
        <v/>
      </c>
      <c r="C874" s="84" t="str">
        <f>IF(PROGRAMA_DETALLE!A174="","","Tintorería")</f>
        <v/>
      </c>
      <c r="D874" s="94" t="str">
        <f>IF(PROGRAMA_DETALLE!AB174="","",PROGRAMA_DETALLE!AB174)</f>
        <v/>
      </c>
      <c r="E874" s="84" t="str">
        <f>IF(PROGRAMA_DETALLE!A174="","","Teñido "&amp;PROGRAMA_DETALLE!D174&amp;" "&amp;PROGRAMA_DETALLE!B174)</f>
        <v/>
      </c>
      <c r="F874" s="95" t="str">
        <f>IF(PROGRAMA_DETALLE!Z174=0,"",PROGRAMA_DETALLE!Z174)</f>
        <v/>
      </c>
      <c r="G874" s="95">
        <f>IF(PROGRAMA_DETALLE!AC174="PAGADO",PROGRAMA_DETALLE!Z174,0)</f>
        <v>0</v>
      </c>
      <c r="H874" s="95">
        <f>IF(OR(PROGRAMA_DETALLE!AC174="PENDIENTE",PROGRAMA_DETALLE!AC174="PARCIAL"),PROGRAMA_DETALLE!Z174,0)</f>
        <v>0</v>
      </c>
      <c r="I874" s="94" t="str">
        <f>IF(PROGRAMA_DETALLE!AC174="","",PROGRAMA_DETALLE!AC174)</f>
        <v/>
      </c>
    </row>
    <row r="875" ht="15.75" customHeight="1">
      <c r="A875" s="96" t="s">
        <v>236</v>
      </c>
      <c r="B875" s="93" t="str">
        <f>IF(PROGRAMA_DETALLE!Q175="","",PROGRAMA_DETALLE!Q175)</f>
        <v/>
      </c>
      <c r="C875" s="84" t="str">
        <f>IF(PROGRAMA_DETALLE!A175="","","Tintorería")</f>
        <v/>
      </c>
      <c r="D875" s="94" t="str">
        <f>IF(PROGRAMA_DETALLE!AB175="","",PROGRAMA_DETALLE!AB175)</f>
        <v/>
      </c>
      <c r="E875" s="84" t="str">
        <f>IF(PROGRAMA_DETALLE!A175="","","Teñido "&amp;PROGRAMA_DETALLE!D175&amp;" "&amp;PROGRAMA_DETALLE!B175)</f>
        <v/>
      </c>
      <c r="F875" s="95" t="str">
        <f>IF(PROGRAMA_DETALLE!Z175=0,"",PROGRAMA_DETALLE!Z175)</f>
        <v/>
      </c>
      <c r="G875" s="95">
        <f>IF(PROGRAMA_DETALLE!AC175="PAGADO",PROGRAMA_DETALLE!Z175,0)</f>
        <v>0</v>
      </c>
      <c r="H875" s="95">
        <f>IF(OR(PROGRAMA_DETALLE!AC175="PENDIENTE",PROGRAMA_DETALLE!AC175="PARCIAL"),PROGRAMA_DETALLE!Z175,0)</f>
        <v>0</v>
      </c>
      <c r="I875" s="94" t="str">
        <f>IF(PROGRAMA_DETALLE!AC175="","",PROGRAMA_DETALLE!AC175)</f>
        <v/>
      </c>
    </row>
    <row r="876" ht="15.75" customHeight="1">
      <c r="A876" s="96" t="s">
        <v>236</v>
      </c>
      <c r="B876" s="93" t="str">
        <f>IF(PROGRAMA_DETALLE!Q176="","",PROGRAMA_DETALLE!Q176)</f>
        <v/>
      </c>
      <c r="C876" s="84" t="str">
        <f>IF(PROGRAMA_DETALLE!A176="","","Tintorería")</f>
        <v/>
      </c>
      <c r="D876" s="94" t="str">
        <f>IF(PROGRAMA_DETALLE!AB176="","",PROGRAMA_DETALLE!AB176)</f>
        <v/>
      </c>
      <c r="E876" s="84" t="str">
        <f>IF(PROGRAMA_DETALLE!A176="","","Teñido "&amp;PROGRAMA_DETALLE!D176&amp;" "&amp;PROGRAMA_DETALLE!B176)</f>
        <v/>
      </c>
      <c r="F876" s="95" t="str">
        <f>IF(PROGRAMA_DETALLE!Z176=0,"",PROGRAMA_DETALLE!Z176)</f>
        <v/>
      </c>
      <c r="G876" s="95">
        <f>IF(PROGRAMA_DETALLE!AC176="PAGADO",PROGRAMA_DETALLE!Z176,0)</f>
        <v>0</v>
      </c>
      <c r="H876" s="95">
        <f>IF(OR(PROGRAMA_DETALLE!AC176="PENDIENTE",PROGRAMA_DETALLE!AC176="PARCIAL"),PROGRAMA_DETALLE!Z176,0)</f>
        <v>0</v>
      </c>
      <c r="I876" s="94" t="str">
        <f>IF(PROGRAMA_DETALLE!AC176="","",PROGRAMA_DETALLE!AC176)</f>
        <v/>
      </c>
    </row>
    <row r="877" ht="15.75" customHeight="1">
      <c r="A877" s="96" t="s">
        <v>236</v>
      </c>
      <c r="B877" s="93" t="str">
        <f>IF(PROGRAMA_DETALLE!Q177="","",PROGRAMA_DETALLE!Q177)</f>
        <v/>
      </c>
      <c r="C877" s="84" t="str">
        <f>IF(PROGRAMA_DETALLE!A177="","","Tintorería")</f>
        <v/>
      </c>
      <c r="D877" s="94" t="str">
        <f>IF(PROGRAMA_DETALLE!AB177="","",PROGRAMA_DETALLE!AB177)</f>
        <v/>
      </c>
      <c r="E877" s="84" t="str">
        <f>IF(PROGRAMA_DETALLE!A177="","","Teñido "&amp;PROGRAMA_DETALLE!D177&amp;" "&amp;PROGRAMA_DETALLE!B177)</f>
        <v/>
      </c>
      <c r="F877" s="95" t="str">
        <f>IF(PROGRAMA_DETALLE!Z177=0,"",PROGRAMA_DETALLE!Z177)</f>
        <v/>
      </c>
      <c r="G877" s="95">
        <f>IF(PROGRAMA_DETALLE!AC177="PAGADO",PROGRAMA_DETALLE!Z177,0)</f>
        <v>0</v>
      </c>
      <c r="H877" s="95">
        <f>IF(OR(PROGRAMA_DETALLE!AC177="PENDIENTE",PROGRAMA_DETALLE!AC177="PARCIAL"),PROGRAMA_DETALLE!Z177,0)</f>
        <v>0</v>
      </c>
      <c r="I877" s="94" t="str">
        <f>IF(PROGRAMA_DETALLE!AC177="","",PROGRAMA_DETALLE!AC177)</f>
        <v/>
      </c>
    </row>
    <row r="878" ht="15.75" customHeight="1">
      <c r="A878" s="96" t="s">
        <v>236</v>
      </c>
      <c r="B878" s="93" t="str">
        <f>IF(PROGRAMA_DETALLE!Q178="","",PROGRAMA_DETALLE!Q178)</f>
        <v/>
      </c>
      <c r="C878" s="84" t="str">
        <f>IF(PROGRAMA_DETALLE!A178="","","Tintorería")</f>
        <v/>
      </c>
      <c r="D878" s="94" t="str">
        <f>IF(PROGRAMA_DETALLE!AB178="","",PROGRAMA_DETALLE!AB178)</f>
        <v/>
      </c>
      <c r="E878" s="84" t="str">
        <f>IF(PROGRAMA_DETALLE!A178="","","Teñido "&amp;PROGRAMA_DETALLE!D178&amp;" "&amp;PROGRAMA_DETALLE!B178)</f>
        <v/>
      </c>
      <c r="F878" s="95" t="str">
        <f>IF(PROGRAMA_DETALLE!Z178=0,"",PROGRAMA_DETALLE!Z178)</f>
        <v/>
      </c>
      <c r="G878" s="95">
        <f>IF(PROGRAMA_DETALLE!AC178="PAGADO",PROGRAMA_DETALLE!Z178,0)</f>
        <v>0</v>
      </c>
      <c r="H878" s="95">
        <f>IF(OR(PROGRAMA_DETALLE!AC178="PENDIENTE",PROGRAMA_DETALLE!AC178="PARCIAL"),PROGRAMA_DETALLE!Z178,0)</f>
        <v>0</v>
      </c>
      <c r="I878" s="94" t="str">
        <f>IF(PROGRAMA_DETALLE!AC178="","",PROGRAMA_DETALLE!AC178)</f>
        <v/>
      </c>
    </row>
    <row r="879" ht="15.75" customHeight="1">
      <c r="A879" s="96" t="s">
        <v>236</v>
      </c>
      <c r="B879" s="93" t="str">
        <f>IF(PROGRAMA_DETALLE!Q179="","",PROGRAMA_DETALLE!Q179)</f>
        <v/>
      </c>
      <c r="C879" s="84" t="str">
        <f>IF(PROGRAMA_DETALLE!A179="","","Tintorería")</f>
        <v/>
      </c>
      <c r="D879" s="94" t="str">
        <f>IF(PROGRAMA_DETALLE!AB179="","",PROGRAMA_DETALLE!AB179)</f>
        <v/>
      </c>
      <c r="E879" s="84" t="str">
        <f>IF(PROGRAMA_DETALLE!A179="","","Teñido "&amp;PROGRAMA_DETALLE!D179&amp;" "&amp;PROGRAMA_DETALLE!B179)</f>
        <v/>
      </c>
      <c r="F879" s="95" t="str">
        <f>IF(PROGRAMA_DETALLE!Z179=0,"",PROGRAMA_DETALLE!Z179)</f>
        <v/>
      </c>
      <c r="G879" s="95">
        <f>IF(PROGRAMA_DETALLE!AC179="PAGADO",PROGRAMA_DETALLE!Z179,0)</f>
        <v>0</v>
      </c>
      <c r="H879" s="95">
        <f>IF(OR(PROGRAMA_DETALLE!AC179="PENDIENTE",PROGRAMA_DETALLE!AC179="PARCIAL"),PROGRAMA_DETALLE!Z179,0)</f>
        <v>0</v>
      </c>
      <c r="I879" s="94" t="str">
        <f>IF(PROGRAMA_DETALLE!AC179="","",PROGRAMA_DETALLE!AC179)</f>
        <v/>
      </c>
    </row>
    <row r="880" ht="15.75" customHeight="1">
      <c r="A880" s="96" t="s">
        <v>236</v>
      </c>
      <c r="B880" s="93" t="str">
        <f>IF(PROGRAMA_DETALLE!Q180="","",PROGRAMA_DETALLE!Q180)</f>
        <v/>
      </c>
      <c r="C880" s="84" t="str">
        <f>IF(PROGRAMA_DETALLE!A180="","","Tintorería")</f>
        <v/>
      </c>
      <c r="D880" s="94" t="str">
        <f>IF(PROGRAMA_DETALLE!AB180="","",PROGRAMA_DETALLE!AB180)</f>
        <v/>
      </c>
      <c r="E880" s="84" t="str">
        <f>IF(PROGRAMA_DETALLE!A180="","","Teñido "&amp;PROGRAMA_DETALLE!D180&amp;" "&amp;PROGRAMA_DETALLE!B180)</f>
        <v/>
      </c>
      <c r="F880" s="95" t="str">
        <f>IF(PROGRAMA_DETALLE!Z180=0,"",PROGRAMA_DETALLE!Z180)</f>
        <v/>
      </c>
      <c r="G880" s="95">
        <f>IF(PROGRAMA_DETALLE!AC180="PAGADO",PROGRAMA_DETALLE!Z180,0)</f>
        <v>0</v>
      </c>
      <c r="H880" s="95">
        <f>IF(OR(PROGRAMA_DETALLE!AC180="PENDIENTE",PROGRAMA_DETALLE!AC180="PARCIAL"),PROGRAMA_DETALLE!Z180,0)</f>
        <v>0</v>
      </c>
      <c r="I880" s="94" t="str">
        <f>IF(PROGRAMA_DETALLE!AC180="","",PROGRAMA_DETALLE!AC180)</f>
        <v/>
      </c>
    </row>
    <row r="881" ht="15.75" customHeight="1">
      <c r="A881" s="96" t="s">
        <v>236</v>
      </c>
      <c r="B881" s="93" t="str">
        <f>IF(PROGRAMA_DETALLE!Q181="","",PROGRAMA_DETALLE!Q181)</f>
        <v/>
      </c>
      <c r="C881" s="84" t="str">
        <f>IF(PROGRAMA_DETALLE!A181="","","Tintorería")</f>
        <v/>
      </c>
      <c r="D881" s="94" t="str">
        <f>IF(PROGRAMA_DETALLE!AB181="","",PROGRAMA_DETALLE!AB181)</f>
        <v/>
      </c>
      <c r="E881" s="84" t="str">
        <f>IF(PROGRAMA_DETALLE!A181="","","Teñido "&amp;PROGRAMA_DETALLE!D181&amp;" "&amp;PROGRAMA_DETALLE!B181)</f>
        <v/>
      </c>
      <c r="F881" s="95" t="str">
        <f>IF(PROGRAMA_DETALLE!Z181=0,"",PROGRAMA_DETALLE!Z181)</f>
        <v/>
      </c>
      <c r="G881" s="95">
        <f>IF(PROGRAMA_DETALLE!AC181="PAGADO",PROGRAMA_DETALLE!Z181,0)</f>
        <v>0</v>
      </c>
      <c r="H881" s="95">
        <f>IF(OR(PROGRAMA_DETALLE!AC181="PENDIENTE",PROGRAMA_DETALLE!AC181="PARCIAL"),PROGRAMA_DETALLE!Z181,0)</f>
        <v>0</v>
      </c>
      <c r="I881" s="94" t="str">
        <f>IF(PROGRAMA_DETALLE!AC181="","",PROGRAMA_DETALLE!AC181)</f>
        <v/>
      </c>
    </row>
    <row r="882" ht="15.75" customHeight="1">
      <c r="A882" s="96" t="s">
        <v>236</v>
      </c>
      <c r="B882" s="93" t="str">
        <f>IF(PROGRAMA_DETALLE!Q182="","",PROGRAMA_DETALLE!Q182)</f>
        <v/>
      </c>
      <c r="C882" s="84" t="str">
        <f>IF(PROGRAMA_DETALLE!A182="","","Tintorería")</f>
        <v/>
      </c>
      <c r="D882" s="94" t="str">
        <f>IF(PROGRAMA_DETALLE!AB182="","",PROGRAMA_DETALLE!AB182)</f>
        <v/>
      </c>
      <c r="E882" s="84" t="str">
        <f>IF(PROGRAMA_DETALLE!A182="","","Teñido "&amp;PROGRAMA_DETALLE!D182&amp;" "&amp;PROGRAMA_DETALLE!B182)</f>
        <v/>
      </c>
      <c r="F882" s="95" t="str">
        <f>IF(PROGRAMA_DETALLE!Z182=0,"",PROGRAMA_DETALLE!Z182)</f>
        <v/>
      </c>
      <c r="G882" s="95">
        <f>IF(PROGRAMA_DETALLE!AC182="PAGADO",PROGRAMA_DETALLE!Z182,0)</f>
        <v>0</v>
      </c>
      <c r="H882" s="95">
        <f>IF(OR(PROGRAMA_DETALLE!AC182="PENDIENTE",PROGRAMA_DETALLE!AC182="PARCIAL"),PROGRAMA_DETALLE!Z182,0)</f>
        <v>0</v>
      </c>
      <c r="I882" s="94" t="str">
        <f>IF(PROGRAMA_DETALLE!AC182="","",PROGRAMA_DETALLE!AC182)</f>
        <v/>
      </c>
    </row>
    <row r="883" ht="15.75" customHeight="1">
      <c r="A883" s="96" t="s">
        <v>236</v>
      </c>
      <c r="B883" s="93" t="str">
        <f>IF(PROGRAMA_DETALLE!Q183="","",PROGRAMA_DETALLE!Q183)</f>
        <v/>
      </c>
      <c r="C883" s="84" t="str">
        <f>IF(PROGRAMA_DETALLE!A183="","","Tintorería")</f>
        <v/>
      </c>
      <c r="D883" s="94" t="str">
        <f>IF(PROGRAMA_DETALLE!AB183="","",PROGRAMA_DETALLE!AB183)</f>
        <v/>
      </c>
      <c r="E883" s="84" t="str">
        <f>IF(PROGRAMA_DETALLE!A183="","","Teñido "&amp;PROGRAMA_DETALLE!D183&amp;" "&amp;PROGRAMA_DETALLE!B183)</f>
        <v/>
      </c>
      <c r="F883" s="95" t="str">
        <f>IF(PROGRAMA_DETALLE!Z183=0,"",PROGRAMA_DETALLE!Z183)</f>
        <v/>
      </c>
      <c r="G883" s="95">
        <f>IF(PROGRAMA_DETALLE!AC183="PAGADO",PROGRAMA_DETALLE!Z183,0)</f>
        <v>0</v>
      </c>
      <c r="H883" s="95">
        <f>IF(OR(PROGRAMA_DETALLE!AC183="PENDIENTE",PROGRAMA_DETALLE!AC183="PARCIAL"),PROGRAMA_DETALLE!Z183,0)</f>
        <v>0</v>
      </c>
      <c r="I883" s="94" t="str">
        <f>IF(PROGRAMA_DETALLE!AC183="","",PROGRAMA_DETALLE!AC183)</f>
        <v/>
      </c>
    </row>
    <row r="884" ht="15.75" customHeight="1">
      <c r="A884" s="96" t="s">
        <v>236</v>
      </c>
      <c r="B884" s="93" t="str">
        <f>IF(PROGRAMA_DETALLE!Q184="","",PROGRAMA_DETALLE!Q184)</f>
        <v/>
      </c>
      <c r="C884" s="84" t="str">
        <f>IF(PROGRAMA_DETALLE!A184="","","Tintorería")</f>
        <v/>
      </c>
      <c r="D884" s="94" t="str">
        <f>IF(PROGRAMA_DETALLE!AB184="","",PROGRAMA_DETALLE!AB184)</f>
        <v/>
      </c>
      <c r="E884" s="84" t="str">
        <f>IF(PROGRAMA_DETALLE!A184="","","Teñido "&amp;PROGRAMA_DETALLE!D184&amp;" "&amp;PROGRAMA_DETALLE!B184)</f>
        <v/>
      </c>
      <c r="F884" s="95" t="str">
        <f>IF(PROGRAMA_DETALLE!Z184=0,"",PROGRAMA_DETALLE!Z184)</f>
        <v/>
      </c>
      <c r="G884" s="95">
        <f>IF(PROGRAMA_DETALLE!AC184="PAGADO",PROGRAMA_DETALLE!Z184,0)</f>
        <v>0</v>
      </c>
      <c r="H884" s="95">
        <f>IF(OR(PROGRAMA_DETALLE!AC184="PENDIENTE",PROGRAMA_DETALLE!AC184="PARCIAL"),PROGRAMA_DETALLE!Z184,0)</f>
        <v>0</v>
      </c>
      <c r="I884" s="94" t="str">
        <f>IF(PROGRAMA_DETALLE!AC184="","",PROGRAMA_DETALLE!AC184)</f>
        <v/>
      </c>
    </row>
    <row r="885" ht="15.75" customHeight="1">
      <c r="A885" s="96" t="s">
        <v>236</v>
      </c>
      <c r="B885" s="93" t="str">
        <f>IF(PROGRAMA_DETALLE!Q185="","",PROGRAMA_DETALLE!Q185)</f>
        <v/>
      </c>
      <c r="C885" s="84" t="str">
        <f>IF(PROGRAMA_DETALLE!A185="","","Tintorería")</f>
        <v/>
      </c>
      <c r="D885" s="94" t="str">
        <f>IF(PROGRAMA_DETALLE!AB185="","",PROGRAMA_DETALLE!AB185)</f>
        <v/>
      </c>
      <c r="E885" s="84" t="str">
        <f>IF(PROGRAMA_DETALLE!A185="","","Teñido "&amp;PROGRAMA_DETALLE!D185&amp;" "&amp;PROGRAMA_DETALLE!B185)</f>
        <v/>
      </c>
      <c r="F885" s="95" t="str">
        <f>IF(PROGRAMA_DETALLE!Z185=0,"",PROGRAMA_DETALLE!Z185)</f>
        <v/>
      </c>
      <c r="G885" s="95">
        <f>IF(PROGRAMA_DETALLE!AC185="PAGADO",PROGRAMA_DETALLE!Z185,0)</f>
        <v>0</v>
      </c>
      <c r="H885" s="95">
        <f>IF(OR(PROGRAMA_DETALLE!AC185="PENDIENTE",PROGRAMA_DETALLE!AC185="PARCIAL"),PROGRAMA_DETALLE!Z185,0)</f>
        <v>0</v>
      </c>
      <c r="I885" s="94" t="str">
        <f>IF(PROGRAMA_DETALLE!AC185="","",PROGRAMA_DETALLE!AC185)</f>
        <v/>
      </c>
    </row>
    <row r="886" ht="15.75" customHeight="1">
      <c r="A886" s="96" t="s">
        <v>236</v>
      </c>
      <c r="B886" s="93" t="str">
        <f>IF(PROGRAMA_DETALLE!Q186="","",PROGRAMA_DETALLE!Q186)</f>
        <v/>
      </c>
      <c r="C886" s="84" t="str">
        <f>IF(PROGRAMA_DETALLE!A186="","","Tintorería")</f>
        <v/>
      </c>
      <c r="D886" s="94" t="str">
        <f>IF(PROGRAMA_DETALLE!AB186="","",PROGRAMA_DETALLE!AB186)</f>
        <v/>
      </c>
      <c r="E886" s="84" t="str">
        <f>IF(PROGRAMA_DETALLE!A186="","","Teñido "&amp;PROGRAMA_DETALLE!D186&amp;" "&amp;PROGRAMA_DETALLE!B186)</f>
        <v/>
      </c>
      <c r="F886" s="95" t="str">
        <f>IF(PROGRAMA_DETALLE!Z186=0,"",PROGRAMA_DETALLE!Z186)</f>
        <v/>
      </c>
      <c r="G886" s="95">
        <f>IF(PROGRAMA_DETALLE!AC186="PAGADO",PROGRAMA_DETALLE!Z186,0)</f>
        <v>0</v>
      </c>
      <c r="H886" s="95">
        <f>IF(OR(PROGRAMA_DETALLE!AC186="PENDIENTE",PROGRAMA_DETALLE!AC186="PARCIAL"),PROGRAMA_DETALLE!Z186,0)</f>
        <v>0</v>
      </c>
      <c r="I886" s="94" t="str">
        <f>IF(PROGRAMA_DETALLE!AC186="","",PROGRAMA_DETALLE!AC186)</f>
        <v/>
      </c>
    </row>
    <row r="887" ht="15.75" customHeight="1">
      <c r="A887" s="96" t="s">
        <v>236</v>
      </c>
      <c r="B887" s="93" t="str">
        <f>IF(PROGRAMA_DETALLE!Q187="","",PROGRAMA_DETALLE!Q187)</f>
        <v/>
      </c>
      <c r="C887" s="84" t="str">
        <f>IF(PROGRAMA_DETALLE!A187="","","Tintorería")</f>
        <v/>
      </c>
      <c r="D887" s="94" t="str">
        <f>IF(PROGRAMA_DETALLE!AB187="","",PROGRAMA_DETALLE!AB187)</f>
        <v/>
      </c>
      <c r="E887" s="84" t="str">
        <f>IF(PROGRAMA_DETALLE!A187="","","Teñido "&amp;PROGRAMA_DETALLE!D187&amp;" "&amp;PROGRAMA_DETALLE!B187)</f>
        <v/>
      </c>
      <c r="F887" s="95" t="str">
        <f>IF(PROGRAMA_DETALLE!Z187=0,"",PROGRAMA_DETALLE!Z187)</f>
        <v/>
      </c>
      <c r="G887" s="95">
        <f>IF(PROGRAMA_DETALLE!AC187="PAGADO",PROGRAMA_DETALLE!Z187,0)</f>
        <v>0</v>
      </c>
      <c r="H887" s="95">
        <f>IF(OR(PROGRAMA_DETALLE!AC187="PENDIENTE",PROGRAMA_DETALLE!AC187="PARCIAL"),PROGRAMA_DETALLE!Z187,0)</f>
        <v>0</v>
      </c>
      <c r="I887" s="94" t="str">
        <f>IF(PROGRAMA_DETALLE!AC187="","",PROGRAMA_DETALLE!AC187)</f>
        <v/>
      </c>
    </row>
    <row r="888" ht="15.75" customHeight="1">
      <c r="A888" s="96" t="s">
        <v>236</v>
      </c>
      <c r="B888" s="93" t="str">
        <f>IF(PROGRAMA_DETALLE!Q188="","",PROGRAMA_DETALLE!Q188)</f>
        <v/>
      </c>
      <c r="C888" s="84" t="str">
        <f>IF(PROGRAMA_DETALLE!A188="","","Tintorería")</f>
        <v/>
      </c>
      <c r="D888" s="94" t="str">
        <f>IF(PROGRAMA_DETALLE!AB188="","",PROGRAMA_DETALLE!AB188)</f>
        <v/>
      </c>
      <c r="E888" s="84" t="str">
        <f>IF(PROGRAMA_DETALLE!A188="","","Teñido "&amp;PROGRAMA_DETALLE!D188&amp;" "&amp;PROGRAMA_DETALLE!B188)</f>
        <v/>
      </c>
      <c r="F888" s="95" t="str">
        <f>IF(PROGRAMA_DETALLE!Z188=0,"",PROGRAMA_DETALLE!Z188)</f>
        <v/>
      </c>
      <c r="G888" s="95">
        <f>IF(PROGRAMA_DETALLE!AC188="PAGADO",PROGRAMA_DETALLE!Z188,0)</f>
        <v>0</v>
      </c>
      <c r="H888" s="95">
        <f>IF(OR(PROGRAMA_DETALLE!AC188="PENDIENTE",PROGRAMA_DETALLE!AC188="PARCIAL"),PROGRAMA_DETALLE!Z188,0)</f>
        <v>0</v>
      </c>
      <c r="I888" s="94" t="str">
        <f>IF(PROGRAMA_DETALLE!AC188="","",PROGRAMA_DETALLE!AC188)</f>
        <v/>
      </c>
    </row>
    <row r="889" ht="15.75" customHeight="1">
      <c r="A889" s="96" t="s">
        <v>236</v>
      </c>
      <c r="B889" s="93" t="str">
        <f>IF(PROGRAMA_DETALLE!Q189="","",PROGRAMA_DETALLE!Q189)</f>
        <v/>
      </c>
      <c r="C889" s="84" t="str">
        <f>IF(PROGRAMA_DETALLE!A189="","","Tintorería")</f>
        <v/>
      </c>
      <c r="D889" s="94" t="str">
        <f>IF(PROGRAMA_DETALLE!AB189="","",PROGRAMA_DETALLE!AB189)</f>
        <v/>
      </c>
      <c r="E889" s="84" t="str">
        <f>IF(PROGRAMA_DETALLE!A189="","","Teñido "&amp;PROGRAMA_DETALLE!D189&amp;" "&amp;PROGRAMA_DETALLE!B189)</f>
        <v/>
      </c>
      <c r="F889" s="95" t="str">
        <f>IF(PROGRAMA_DETALLE!Z189=0,"",PROGRAMA_DETALLE!Z189)</f>
        <v/>
      </c>
      <c r="G889" s="95">
        <f>IF(PROGRAMA_DETALLE!AC189="PAGADO",PROGRAMA_DETALLE!Z189,0)</f>
        <v>0</v>
      </c>
      <c r="H889" s="95">
        <f>IF(OR(PROGRAMA_DETALLE!AC189="PENDIENTE",PROGRAMA_DETALLE!AC189="PARCIAL"),PROGRAMA_DETALLE!Z189,0)</f>
        <v>0</v>
      </c>
      <c r="I889" s="94" t="str">
        <f>IF(PROGRAMA_DETALLE!AC189="","",PROGRAMA_DETALLE!AC189)</f>
        <v/>
      </c>
    </row>
    <row r="890" ht="15.75" customHeight="1">
      <c r="A890" s="96" t="s">
        <v>236</v>
      </c>
      <c r="B890" s="93" t="str">
        <f>IF(PROGRAMA_DETALLE!Q190="","",PROGRAMA_DETALLE!Q190)</f>
        <v/>
      </c>
      <c r="C890" s="84" t="str">
        <f>IF(PROGRAMA_DETALLE!A190="","","Tintorería")</f>
        <v/>
      </c>
      <c r="D890" s="94" t="str">
        <f>IF(PROGRAMA_DETALLE!AB190="","",PROGRAMA_DETALLE!AB190)</f>
        <v/>
      </c>
      <c r="E890" s="84" t="str">
        <f>IF(PROGRAMA_DETALLE!A190="","","Teñido "&amp;PROGRAMA_DETALLE!D190&amp;" "&amp;PROGRAMA_DETALLE!B190)</f>
        <v/>
      </c>
      <c r="F890" s="95" t="str">
        <f>IF(PROGRAMA_DETALLE!Z190=0,"",PROGRAMA_DETALLE!Z190)</f>
        <v/>
      </c>
      <c r="G890" s="95">
        <f>IF(PROGRAMA_DETALLE!AC190="PAGADO",PROGRAMA_DETALLE!Z190,0)</f>
        <v>0</v>
      </c>
      <c r="H890" s="95">
        <f>IF(OR(PROGRAMA_DETALLE!AC190="PENDIENTE",PROGRAMA_DETALLE!AC190="PARCIAL"),PROGRAMA_DETALLE!Z190,0)</f>
        <v>0</v>
      </c>
      <c r="I890" s="94" t="str">
        <f>IF(PROGRAMA_DETALLE!AC190="","",PROGRAMA_DETALLE!AC190)</f>
        <v/>
      </c>
    </row>
    <row r="891" ht="15.75" customHeight="1">
      <c r="A891" s="96" t="s">
        <v>236</v>
      </c>
      <c r="B891" s="93" t="str">
        <f>IF(PROGRAMA_DETALLE!Q191="","",PROGRAMA_DETALLE!Q191)</f>
        <v/>
      </c>
      <c r="C891" s="84" t="str">
        <f>IF(PROGRAMA_DETALLE!A191="","","Tintorería")</f>
        <v/>
      </c>
      <c r="D891" s="94" t="str">
        <f>IF(PROGRAMA_DETALLE!AB191="","",PROGRAMA_DETALLE!AB191)</f>
        <v/>
      </c>
      <c r="E891" s="84" t="str">
        <f>IF(PROGRAMA_DETALLE!A191="","","Teñido "&amp;PROGRAMA_DETALLE!D191&amp;" "&amp;PROGRAMA_DETALLE!B191)</f>
        <v/>
      </c>
      <c r="F891" s="95" t="str">
        <f>IF(PROGRAMA_DETALLE!Z191=0,"",PROGRAMA_DETALLE!Z191)</f>
        <v/>
      </c>
      <c r="G891" s="95">
        <f>IF(PROGRAMA_DETALLE!AC191="PAGADO",PROGRAMA_DETALLE!Z191,0)</f>
        <v>0</v>
      </c>
      <c r="H891" s="95">
        <f>IF(OR(PROGRAMA_DETALLE!AC191="PENDIENTE",PROGRAMA_DETALLE!AC191="PARCIAL"),PROGRAMA_DETALLE!Z191,0)</f>
        <v>0</v>
      </c>
      <c r="I891" s="94" t="str">
        <f>IF(PROGRAMA_DETALLE!AC191="","",PROGRAMA_DETALLE!AC191)</f>
        <v/>
      </c>
    </row>
    <row r="892" ht="15.75" customHeight="1">
      <c r="A892" s="96" t="s">
        <v>236</v>
      </c>
      <c r="B892" s="93" t="str">
        <f>IF(PROGRAMA_DETALLE!Q192="","",PROGRAMA_DETALLE!Q192)</f>
        <v/>
      </c>
      <c r="C892" s="84" t="str">
        <f>IF(PROGRAMA_DETALLE!A192="","","Tintorería")</f>
        <v/>
      </c>
      <c r="D892" s="94" t="str">
        <f>IF(PROGRAMA_DETALLE!AB192="","",PROGRAMA_DETALLE!AB192)</f>
        <v/>
      </c>
      <c r="E892" s="84" t="str">
        <f>IF(PROGRAMA_DETALLE!A192="","","Teñido "&amp;PROGRAMA_DETALLE!D192&amp;" "&amp;PROGRAMA_DETALLE!B192)</f>
        <v/>
      </c>
      <c r="F892" s="95" t="str">
        <f>IF(PROGRAMA_DETALLE!Z192=0,"",PROGRAMA_DETALLE!Z192)</f>
        <v/>
      </c>
      <c r="G892" s="95">
        <f>IF(PROGRAMA_DETALLE!AC192="PAGADO",PROGRAMA_DETALLE!Z192,0)</f>
        <v>0</v>
      </c>
      <c r="H892" s="95">
        <f>IF(OR(PROGRAMA_DETALLE!AC192="PENDIENTE",PROGRAMA_DETALLE!AC192="PARCIAL"),PROGRAMA_DETALLE!Z192,0)</f>
        <v>0</v>
      </c>
      <c r="I892" s="94" t="str">
        <f>IF(PROGRAMA_DETALLE!AC192="","",PROGRAMA_DETALLE!AC192)</f>
        <v/>
      </c>
    </row>
    <row r="893" ht="15.75" customHeight="1">
      <c r="A893" s="96" t="s">
        <v>236</v>
      </c>
      <c r="B893" s="93" t="str">
        <f>IF(PROGRAMA_DETALLE!Q193="","",PROGRAMA_DETALLE!Q193)</f>
        <v/>
      </c>
      <c r="C893" s="84" t="str">
        <f>IF(PROGRAMA_DETALLE!A193="","","Tintorería")</f>
        <v/>
      </c>
      <c r="D893" s="94" t="str">
        <f>IF(PROGRAMA_DETALLE!AB193="","",PROGRAMA_DETALLE!AB193)</f>
        <v/>
      </c>
      <c r="E893" s="84" t="str">
        <f>IF(PROGRAMA_DETALLE!A193="","","Teñido "&amp;PROGRAMA_DETALLE!D193&amp;" "&amp;PROGRAMA_DETALLE!B193)</f>
        <v/>
      </c>
      <c r="F893" s="95" t="str">
        <f>IF(PROGRAMA_DETALLE!Z193=0,"",PROGRAMA_DETALLE!Z193)</f>
        <v/>
      </c>
      <c r="G893" s="95">
        <f>IF(PROGRAMA_DETALLE!AC193="PAGADO",PROGRAMA_DETALLE!Z193,0)</f>
        <v>0</v>
      </c>
      <c r="H893" s="95">
        <f>IF(OR(PROGRAMA_DETALLE!AC193="PENDIENTE",PROGRAMA_DETALLE!AC193="PARCIAL"),PROGRAMA_DETALLE!Z193,0)</f>
        <v>0</v>
      </c>
      <c r="I893" s="94" t="str">
        <f>IF(PROGRAMA_DETALLE!AC193="","",PROGRAMA_DETALLE!AC193)</f>
        <v/>
      </c>
    </row>
    <row r="894" ht="15.75" customHeight="1">
      <c r="A894" s="96" t="s">
        <v>236</v>
      </c>
      <c r="B894" s="93" t="str">
        <f>IF(PROGRAMA_DETALLE!Q194="","",PROGRAMA_DETALLE!Q194)</f>
        <v/>
      </c>
      <c r="C894" s="84" t="str">
        <f>IF(PROGRAMA_DETALLE!A194="","","Tintorería")</f>
        <v/>
      </c>
      <c r="D894" s="94" t="str">
        <f>IF(PROGRAMA_DETALLE!AB194="","",PROGRAMA_DETALLE!AB194)</f>
        <v/>
      </c>
      <c r="E894" s="84" t="str">
        <f>IF(PROGRAMA_DETALLE!A194="","","Teñido "&amp;PROGRAMA_DETALLE!D194&amp;" "&amp;PROGRAMA_DETALLE!B194)</f>
        <v/>
      </c>
      <c r="F894" s="95" t="str">
        <f>IF(PROGRAMA_DETALLE!Z194=0,"",PROGRAMA_DETALLE!Z194)</f>
        <v/>
      </c>
      <c r="G894" s="95">
        <f>IF(PROGRAMA_DETALLE!AC194="PAGADO",PROGRAMA_DETALLE!Z194,0)</f>
        <v>0</v>
      </c>
      <c r="H894" s="95">
        <f>IF(OR(PROGRAMA_DETALLE!AC194="PENDIENTE",PROGRAMA_DETALLE!AC194="PARCIAL"),PROGRAMA_DETALLE!Z194,0)</f>
        <v>0</v>
      </c>
      <c r="I894" s="94" t="str">
        <f>IF(PROGRAMA_DETALLE!AC194="","",PROGRAMA_DETALLE!AC194)</f>
        <v/>
      </c>
    </row>
    <row r="895" ht="15.75" customHeight="1">
      <c r="A895" s="96" t="s">
        <v>236</v>
      </c>
      <c r="B895" s="93" t="str">
        <f>IF(PROGRAMA_DETALLE!Q195="","",PROGRAMA_DETALLE!Q195)</f>
        <v/>
      </c>
      <c r="C895" s="84" t="str">
        <f>IF(PROGRAMA_DETALLE!A195="","","Tintorería")</f>
        <v/>
      </c>
      <c r="D895" s="94" t="str">
        <f>IF(PROGRAMA_DETALLE!AB195="","",PROGRAMA_DETALLE!AB195)</f>
        <v/>
      </c>
      <c r="E895" s="84" t="str">
        <f>IF(PROGRAMA_DETALLE!A195="","","Teñido "&amp;PROGRAMA_DETALLE!D195&amp;" "&amp;PROGRAMA_DETALLE!B195)</f>
        <v/>
      </c>
      <c r="F895" s="95" t="str">
        <f>IF(PROGRAMA_DETALLE!Z195=0,"",PROGRAMA_DETALLE!Z195)</f>
        <v/>
      </c>
      <c r="G895" s="95">
        <f>IF(PROGRAMA_DETALLE!AC195="PAGADO",PROGRAMA_DETALLE!Z195,0)</f>
        <v>0</v>
      </c>
      <c r="H895" s="95">
        <f>IF(OR(PROGRAMA_DETALLE!AC195="PENDIENTE",PROGRAMA_DETALLE!AC195="PARCIAL"),PROGRAMA_DETALLE!Z195,0)</f>
        <v>0</v>
      </c>
      <c r="I895" s="94" t="str">
        <f>IF(PROGRAMA_DETALLE!AC195="","",PROGRAMA_DETALLE!AC195)</f>
        <v/>
      </c>
    </row>
    <row r="896" ht="15.75" customHeight="1">
      <c r="A896" s="96" t="s">
        <v>236</v>
      </c>
      <c r="B896" s="93" t="str">
        <f>IF(PROGRAMA_DETALLE!Q196="","",PROGRAMA_DETALLE!Q196)</f>
        <v/>
      </c>
      <c r="C896" s="84" t="str">
        <f>IF(PROGRAMA_DETALLE!A196="","","Tintorería")</f>
        <v/>
      </c>
      <c r="D896" s="94" t="str">
        <f>IF(PROGRAMA_DETALLE!AB196="","",PROGRAMA_DETALLE!AB196)</f>
        <v/>
      </c>
      <c r="E896" s="84" t="str">
        <f>IF(PROGRAMA_DETALLE!A196="","","Teñido "&amp;PROGRAMA_DETALLE!D196&amp;" "&amp;PROGRAMA_DETALLE!B196)</f>
        <v/>
      </c>
      <c r="F896" s="95" t="str">
        <f>IF(PROGRAMA_DETALLE!Z196=0,"",PROGRAMA_DETALLE!Z196)</f>
        <v/>
      </c>
      <c r="G896" s="95">
        <f>IF(PROGRAMA_DETALLE!AC196="PAGADO",PROGRAMA_DETALLE!Z196,0)</f>
        <v>0</v>
      </c>
      <c r="H896" s="95">
        <f>IF(OR(PROGRAMA_DETALLE!AC196="PENDIENTE",PROGRAMA_DETALLE!AC196="PARCIAL"),PROGRAMA_DETALLE!Z196,0)</f>
        <v>0</v>
      </c>
      <c r="I896" s="94" t="str">
        <f>IF(PROGRAMA_DETALLE!AC196="","",PROGRAMA_DETALLE!AC196)</f>
        <v/>
      </c>
    </row>
    <row r="897" ht="15.75" customHeight="1">
      <c r="A897" s="96" t="s">
        <v>236</v>
      </c>
      <c r="B897" s="93" t="str">
        <f>IF(PROGRAMA_DETALLE!Q197="","",PROGRAMA_DETALLE!Q197)</f>
        <v/>
      </c>
      <c r="C897" s="84" t="str">
        <f>IF(PROGRAMA_DETALLE!A197="","","Tintorería")</f>
        <v/>
      </c>
      <c r="D897" s="94" t="str">
        <f>IF(PROGRAMA_DETALLE!AB197="","",PROGRAMA_DETALLE!AB197)</f>
        <v/>
      </c>
      <c r="E897" s="84" t="str">
        <f>IF(PROGRAMA_DETALLE!A197="","","Teñido "&amp;PROGRAMA_DETALLE!D197&amp;" "&amp;PROGRAMA_DETALLE!B197)</f>
        <v/>
      </c>
      <c r="F897" s="95" t="str">
        <f>IF(PROGRAMA_DETALLE!Z197=0,"",PROGRAMA_DETALLE!Z197)</f>
        <v/>
      </c>
      <c r="G897" s="95">
        <f>IF(PROGRAMA_DETALLE!AC197="PAGADO",PROGRAMA_DETALLE!Z197,0)</f>
        <v>0</v>
      </c>
      <c r="H897" s="95">
        <f>IF(OR(PROGRAMA_DETALLE!AC197="PENDIENTE",PROGRAMA_DETALLE!AC197="PARCIAL"),PROGRAMA_DETALLE!Z197,0)</f>
        <v>0</v>
      </c>
      <c r="I897" s="94" t="str">
        <f>IF(PROGRAMA_DETALLE!AC197="","",PROGRAMA_DETALLE!AC197)</f>
        <v/>
      </c>
    </row>
    <row r="898" ht="15.75" customHeight="1">
      <c r="A898" s="96" t="s">
        <v>236</v>
      </c>
      <c r="B898" s="93" t="str">
        <f>IF(PROGRAMA_DETALLE!Q198="","",PROGRAMA_DETALLE!Q198)</f>
        <v/>
      </c>
      <c r="C898" s="84" t="str">
        <f>IF(PROGRAMA_DETALLE!A198="","","Tintorería")</f>
        <v/>
      </c>
      <c r="D898" s="94" t="str">
        <f>IF(PROGRAMA_DETALLE!AB198="","",PROGRAMA_DETALLE!AB198)</f>
        <v/>
      </c>
      <c r="E898" s="84" t="str">
        <f>IF(PROGRAMA_DETALLE!A198="","","Teñido "&amp;PROGRAMA_DETALLE!D198&amp;" "&amp;PROGRAMA_DETALLE!B198)</f>
        <v/>
      </c>
      <c r="F898" s="95" t="str">
        <f>IF(PROGRAMA_DETALLE!Z198=0,"",PROGRAMA_DETALLE!Z198)</f>
        <v/>
      </c>
      <c r="G898" s="95">
        <f>IF(PROGRAMA_DETALLE!AC198="PAGADO",PROGRAMA_DETALLE!Z198,0)</f>
        <v>0</v>
      </c>
      <c r="H898" s="95">
        <f>IF(OR(PROGRAMA_DETALLE!AC198="PENDIENTE",PROGRAMA_DETALLE!AC198="PARCIAL"),PROGRAMA_DETALLE!Z198,0)</f>
        <v>0</v>
      </c>
      <c r="I898" s="94" t="str">
        <f>IF(PROGRAMA_DETALLE!AC198="","",PROGRAMA_DETALLE!AC198)</f>
        <v/>
      </c>
    </row>
    <row r="899" ht="15.75" customHeight="1">
      <c r="A899" s="96" t="s">
        <v>236</v>
      </c>
      <c r="B899" s="93" t="str">
        <f>IF(PROGRAMA_DETALLE!Q199="","",PROGRAMA_DETALLE!Q199)</f>
        <v/>
      </c>
      <c r="C899" s="84" t="str">
        <f>IF(PROGRAMA_DETALLE!A199="","","Tintorería")</f>
        <v/>
      </c>
      <c r="D899" s="94" t="str">
        <f>IF(PROGRAMA_DETALLE!AB199="","",PROGRAMA_DETALLE!AB199)</f>
        <v/>
      </c>
      <c r="E899" s="84" t="str">
        <f>IF(PROGRAMA_DETALLE!A199="","","Teñido "&amp;PROGRAMA_DETALLE!D199&amp;" "&amp;PROGRAMA_DETALLE!B199)</f>
        <v/>
      </c>
      <c r="F899" s="95" t="str">
        <f>IF(PROGRAMA_DETALLE!Z199=0,"",PROGRAMA_DETALLE!Z199)</f>
        <v/>
      </c>
      <c r="G899" s="95">
        <f>IF(PROGRAMA_DETALLE!AC199="PAGADO",PROGRAMA_DETALLE!Z199,0)</f>
        <v>0</v>
      </c>
      <c r="H899" s="95">
        <f>IF(OR(PROGRAMA_DETALLE!AC199="PENDIENTE",PROGRAMA_DETALLE!AC199="PARCIAL"),PROGRAMA_DETALLE!Z199,0)</f>
        <v>0</v>
      </c>
      <c r="I899" s="94" t="str">
        <f>IF(PROGRAMA_DETALLE!AC199="","",PROGRAMA_DETALLE!AC199)</f>
        <v/>
      </c>
    </row>
    <row r="900" ht="15.75" customHeight="1">
      <c r="A900" s="96" t="s">
        <v>236</v>
      </c>
      <c r="B900" s="93" t="str">
        <f>IF(PROGRAMA_DETALLE!Q200="","",PROGRAMA_DETALLE!Q200)</f>
        <v/>
      </c>
      <c r="C900" s="84" t="str">
        <f>IF(PROGRAMA_DETALLE!A200="","","Tintorería")</f>
        <v/>
      </c>
      <c r="D900" s="94" t="str">
        <f>IF(PROGRAMA_DETALLE!AB200="","",PROGRAMA_DETALLE!AB200)</f>
        <v/>
      </c>
      <c r="E900" s="84" t="str">
        <f>IF(PROGRAMA_DETALLE!A200="","","Teñido "&amp;PROGRAMA_DETALLE!D200&amp;" "&amp;PROGRAMA_DETALLE!B200)</f>
        <v/>
      </c>
      <c r="F900" s="95" t="str">
        <f>IF(PROGRAMA_DETALLE!Z200=0,"",PROGRAMA_DETALLE!Z200)</f>
        <v/>
      </c>
      <c r="G900" s="95">
        <f>IF(PROGRAMA_DETALLE!AC200="PAGADO",PROGRAMA_DETALLE!Z200,0)</f>
        <v>0</v>
      </c>
      <c r="H900" s="95">
        <f>IF(OR(PROGRAMA_DETALLE!AC200="PENDIENTE",PROGRAMA_DETALLE!AC200="PARCIAL"),PROGRAMA_DETALLE!Z200,0)</f>
        <v>0</v>
      </c>
      <c r="I900" s="94" t="str">
        <f>IF(PROGRAMA_DETALLE!AC200="","",PROGRAMA_DETALLE!AC200)</f>
        <v/>
      </c>
    </row>
    <row r="901" ht="15.75" customHeight="1">
      <c r="A901" s="96" t="s">
        <v>236</v>
      </c>
      <c r="B901" s="93" t="str">
        <f>IF(PROGRAMA_DETALLE!Q201="","",PROGRAMA_DETALLE!Q201)</f>
        <v/>
      </c>
      <c r="C901" s="84" t="str">
        <f>IF(PROGRAMA_DETALLE!A201="","","Tintorería")</f>
        <v/>
      </c>
      <c r="D901" s="94" t="str">
        <f>IF(PROGRAMA_DETALLE!AB201="","",PROGRAMA_DETALLE!AB201)</f>
        <v/>
      </c>
      <c r="E901" s="84" t="str">
        <f>IF(PROGRAMA_DETALLE!A201="","","Teñido "&amp;PROGRAMA_DETALLE!D201&amp;" "&amp;PROGRAMA_DETALLE!B201)</f>
        <v/>
      </c>
      <c r="F901" s="95" t="str">
        <f>IF(PROGRAMA_DETALLE!Z201=0,"",PROGRAMA_DETALLE!Z201)</f>
        <v/>
      </c>
      <c r="G901" s="95">
        <f>IF(PROGRAMA_DETALLE!AC201="PAGADO",PROGRAMA_DETALLE!Z201,0)</f>
        <v>0</v>
      </c>
      <c r="H901" s="95">
        <f>IF(OR(PROGRAMA_DETALLE!AC201="PENDIENTE",PROGRAMA_DETALLE!AC201="PARCIAL"),PROGRAMA_DETALLE!Z201,0)</f>
        <v>0</v>
      </c>
      <c r="I901" s="94" t="str">
        <f>IF(PROGRAMA_DETALLE!AC201="","",PROGRAMA_DETALLE!AC201)</f>
        <v/>
      </c>
    </row>
    <row r="902" ht="15.75" customHeight="1">
      <c r="A902" s="96" t="s">
        <v>236</v>
      </c>
      <c r="B902" s="93" t="str">
        <f>IF(PROGRAMA_DETALLE!Q202="","",PROGRAMA_DETALLE!Q202)</f>
        <v/>
      </c>
      <c r="C902" s="84" t="str">
        <f>IF(PROGRAMA_DETALLE!A202="","","Tintorería")</f>
        <v/>
      </c>
      <c r="D902" s="94" t="str">
        <f>IF(PROGRAMA_DETALLE!AB202="","",PROGRAMA_DETALLE!AB202)</f>
        <v/>
      </c>
      <c r="E902" s="84" t="str">
        <f>IF(PROGRAMA_DETALLE!A202="","","Teñido "&amp;PROGRAMA_DETALLE!D202&amp;" "&amp;PROGRAMA_DETALLE!B202)</f>
        <v/>
      </c>
      <c r="F902" s="95" t="str">
        <f>IF(PROGRAMA_DETALLE!Z202=0,"",PROGRAMA_DETALLE!Z202)</f>
        <v/>
      </c>
      <c r="G902" s="95">
        <f>IF(PROGRAMA_DETALLE!AC202="PAGADO",PROGRAMA_DETALLE!Z202,0)</f>
        <v>0</v>
      </c>
      <c r="H902" s="95">
        <f>IF(OR(PROGRAMA_DETALLE!AC202="PENDIENTE",PROGRAMA_DETALLE!AC202="PARCIAL"),PROGRAMA_DETALLE!Z202,0)</f>
        <v>0</v>
      </c>
      <c r="I902" s="94" t="str">
        <f>IF(PROGRAMA_DETALLE!AC202="","",PROGRAMA_DETALLE!AC202)</f>
        <v/>
      </c>
    </row>
    <row r="903" ht="15.75" customHeight="1">
      <c r="A903" s="96" t="s">
        <v>236</v>
      </c>
      <c r="B903" s="93" t="str">
        <f>IF(PROGRAMA_DETALLE!Q203="","",PROGRAMA_DETALLE!Q203)</f>
        <v/>
      </c>
      <c r="C903" s="84" t="str">
        <f>IF(PROGRAMA_DETALLE!A203="","","Tintorería")</f>
        <v/>
      </c>
      <c r="D903" s="94" t="str">
        <f>IF(PROGRAMA_DETALLE!AB203="","",PROGRAMA_DETALLE!AB203)</f>
        <v/>
      </c>
      <c r="E903" s="84" t="str">
        <f>IF(PROGRAMA_DETALLE!A203="","","Teñido "&amp;PROGRAMA_DETALLE!D203&amp;" "&amp;PROGRAMA_DETALLE!B203)</f>
        <v/>
      </c>
      <c r="F903" s="95" t="str">
        <f>IF(PROGRAMA_DETALLE!Z203=0,"",PROGRAMA_DETALLE!Z203)</f>
        <v/>
      </c>
      <c r="G903" s="95">
        <f>IF(PROGRAMA_DETALLE!AC203="PAGADO",PROGRAMA_DETALLE!Z203,0)</f>
        <v>0</v>
      </c>
      <c r="H903" s="95">
        <f>IF(OR(PROGRAMA_DETALLE!AC203="PENDIENTE",PROGRAMA_DETALLE!AC203="PARCIAL"),PROGRAMA_DETALLE!Z203,0)</f>
        <v>0</v>
      </c>
      <c r="I903" s="94" t="str">
        <f>IF(PROGRAMA_DETALLE!AC203="","",PROGRAMA_DETALLE!AC203)</f>
        <v/>
      </c>
    </row>
    <row r="904" ht="15.75" customHeight="1">
      <c r="A904" s="96" t="s">
        <v>236</v>
      </c>
      <c r="B904" s="93" t="str">
        <f>IF(PROGRAMA_DETALLE!Q204="","",PROGRAMA_DETALLE!Q204)</f>
        <v/>
      </c>
      <c r="C904" s="84" t="str">
        <f>IF(PROGRAMA_DETALLE!A204="","","Tintorería")</f>
        <v/>
      </c>
      <c r="D904" s="94" t="str">
        <f>IF(PROGRAMA_DETALLE!AB204="","",PROGRAMA_DETALLE!AB204)</f>
        <v/>
      </c>
      <c r="E904" s="84" t="str">
        <f>IF(PROGRAMA_DETALLE!A204="","","Teñido "&amp;PROGRAMA_DETALLE!D204&amp;" "&amp;PROGRAMA_DETALLE!B204)</f>
        <v/>
      </c>
      <c r="F904" s="95" t="str">
        <f>IF(PROGRAMA_DETALLE!Z204=0,"",PROGRAMA_DETALLE!Z204)</f>
        <v/>
      </c>
      <c r="G904" s="95">
        <f>IF(PROGRAMA_DETALLE!AC204="PAGADO",PROGRAMA_DETALLE!Z204,0)</f>
        <v>0</v>
      </c>
      <c r="H904" s="95">
        <f>IF(OR(PROGRAMA_DETALLE!AC204="PENDIENTE",PROGRAMA_DETALLE!AC204="PARCIAL"),PROGRAMA_DETALLE!Z204,0)</f>
        <v>0</v>
      </c>
      <c r="I904" s="94" t="str">
        <f>IF(PROGRAMA_DETALLE!AC204="","",PROGRAMA_DETALLE!AC204)</f>
        <v/>
      </c>
    </row>
    <row r="905" ht="15.75" customHeight="1">
      <c r="A905" s="96" t="s">
        <v>236</v>
      </c>
      <c r="B905" s="93" t="str">
        <f>IF(PROGRAMA_DETALLE!Q205="","",PROGRAMA_DETALLE!Q205)</f>
        <v/>
      </c>
      <c r="C905" s="84" t="str">
        <f>IF(PROGRAMA_DETALLE!A205="","","Tintorería")</f>
        <v/>
      </c>
      <c r="D905" s="94" t="str">
        <f>IF(PROGRAMA_DETALLE!AB205="","",PROGRAMA_DETALLE!AB205)</f>
        <v/>
      </c>
      <c r="E905" s="84" t="str">
        <f>IF(PROGRAMA_DETALLE!A205="","","Teñido "&amp;PROGRAMA_DETALLE!D205&amp;" "&amp;PROGRAMA_DETALLE!B205)</f>
        <v/>
      </c>
      <c r="F905" s="95" t="str">
        <f>IF(PROGRAMA_DETALLE!Z205=0,"",PROGRAMA_DETALLE!Z205)</f>
        <v/>
      </c>
      <c r="G905" s="95">
        <f>IF(PROGRAMA_DETALLE!AC205="PAGADO",PROGRAMA_DETALLE!Z205,0)</f>
        <v>0</v>
      </c>
      <c r="H905" s="95">
        <f>IF(OR(PROGRAMA_DETALLE!AC205="PENDIENTE",PROGRAMA_DETALLE!AC205="PARCIAL"),PROGRAMA_DETALLE!Z205,0)</f>
        <v>0</v>
      </c>
      <c r="I905" s="94" t="str">
        <f>IF(PROGRAMA_DETALLE!AC205="","",PROGRAMA_DETALLE!AC205)</f>
        <v/>
      </c>
    </row>
    <row r="906" ht="15.75" customHeight="1">
      <c r="A906" s="96" t="s">
        <v>236</v>
      </c>
      <c r="B906" s="93" t="str">
        <f>IF(PROGRAMA_DETALLE!Q206="","",PROGRAMA_DETALLE!Q206)</f>
        <v/>
      </c>
      <c r="C906" s="84" t="str">
        <f>IF(PROGRAMA_DETALLE!A206="","","Tintorería")</f>
        <v/>
      </c>
      <c r="D906" s="94" t="str">
        <f>IF(PROGRAMA_DETALLE!AB206="","",PROGRAMA_DETALLE!AB206)</f>
        <v/>
      </c>
      <c r="E906" s="84" t="str">
        <f>IF(PROGRAMA_DETALLE!A206="","","Teñido "&amp;PROGRAMA_DETALLE!D206&amp;" "&amp;PROGRAMA_DETALLE!B206)</f>
        <v/>
      </c>
      <c r="F906" s="95" t="str">
        <f>IF(PROGRAMA_DETALLE!Z206=0,"",PROGRAMA_DETALLE!Z206)</f>
        <v/>
      </c>
      <c r="G906" s="95">
        <f>IF(PROGRAMA_DETALLE!AC206="PAGADO",PROGRAMA_DETALLE!Z206,0)</f>
        <v>0</v>
      </c>
      <c r="H906" s="95">
        <f>IF(OR(PROGRAMA_DETALLE!AC206="PENDIENTE",PROGRAMA_DETALLE!AC206="PARCIAL"),PROGRAMA_DETALLE!Z206,0)</f>
        <v>0</v>
      </c>
      <c r="I906" s="94" t="str">
        <f>IF(PROGRAMA_DETALLE!AC206="","",PROGRAMA_DETALLE!AC206)</f>
        <v/>
      </c>
    </row>
    <row r="907" ht="15.75" customHeight="1">
      <c r="A907" s="96" t="s">
        <v>236</v>
      </c>
      <c r="B907" s="93" t="str">
        <f>IF(PROGRAMA_DETALLE!Q207="","",PROGRAMA_DETALLE!Q207)</f>
        <v/>
      </c>
      <c r="C907" s="84" t="str">
        <f>IF(PROGRAMA_DETALLE!A207="","","Tintorería")</f>
        <v/>
      </c>
      <c r="D907" s="94" t="str">
        <f>IF(PROGRAMA_DETALLE!AB207="","",PROGRAMA_DETALLE!AB207)</f>
        <v/>
      </c>
      <c r="E907" s="84" t="str">
        <f>IF(PROGRAMA_DETALLE!A207="","","Teñido "&amp;PROGRAMA_DETALLE!D207&amp;" "&amp;PROGRAMA_DETALLE!B207)</f>
        <v/>
      </c>
      <c r="F907" s="95" t="str">
        <f>IF(PROGRAMA_DETALLE!Z207=0,"",PROGRAMA_DETALLE!Z207)</f>
        <v/>
      </c>
      <c r="G907" s="95">
        <f>IF(PROGRAMA_DETALLE!AC207="PAGADO",PROGRAMA_DETALLE!Z207,0)</f>
        <v>0</v>
      </c>
      <c r="H907" s="95">
        <f>IF(OR(PROGRAMA_DETALLE!AC207="PENDIENTE",PROGRAMA_DETALLE!AC207="PARCIAL"),PROGRAMA_DETALLE!Z207,0)</f>
        <v>0</v>
      </c>
      <c r="I907" s="94" t="str">
        <f>IF(PROGRAMA_DETALLE!AC207="","",PROGRAMA_DETALLE!AC207)</f>
        <v/>
      </c>
    </row>
    <row r="908" ht="15.75" customHeight="1">
      <c r="A908" s="96" t="s">
        <v>236</v>
      </c>
      <c r="B908" s="93" t="str">
        <f>IF(PROGRAMA_DETALLE!Q208="","",PROGRAMA_DETALLE!Q208)</f>
        <v/>
      </c>
      <c r="C908" s="84" t="str">
        <f>IF(PROGRAMA_DETALLE!A208="","","Tintorería")</f>
        <v/>
      </c>
      <c r="D908" s="94" t="str">
        <f>IF(PROGRAMA_DETALLE!AB208="","",PROGRAMA_DETALLE!AB208)</f>
        <v/>
      </c>
      <c r="E908" s="84" t="str">
        <f>IF(PROGRAMA_DETALLE!A208="","","Teñido "&amp;PROGRAMA_DETALLE!D208&amp;" "&amp;PROGRAMA_DETALLE!B208)</f>
        <v/>
      </c>
      <c r="F908" s="95" t="str">
        <f>IF(PROGRAMA_DETALLE!Z208=0,"",PROGRAMA_DETALLE!Z208)</f>
        <v/>
      </c>
      <c r="G908" s="95">
        <f>IF(PROGRAMA_DETALLE!AC208="PAGADO",PROGRAMA_DETALLE!Z208,0)</f>
        <v>0</v>
      </c>
      <c r="H908" s="95">
        <f>IF(OR(PROGRAMA_DETALLE!AC208="PENDIENTE",PROGRAMA_DETALLE!AC208="PARCIAL"),PROGRAMA_DETALLE!Z208,0)</f>
        <v>0</v>
      </c>
      <c r="I908" s="94" t="str">
        <f>IF(PROGRAMA_DETALLE!AC208="","",PROGRAMA_DETALLE!AC208)</f>
        <v/>
      </c>
    </row>
    <row r="909" ht="15.75" customHeight="1">
      <c r="A909" s="96" t="s">
        <v>236</v>
      </c>
      <c r="B909" s="93" t="str">
        <f>IF(PROGRAMA_DETALLE!Q209="","",PROGRAMA_DETALLE!Q209)</f>
        <v/>
      </c>
      <c r="C909" s="84" t="str">
        <f>IF(PROGRAMA_DETALLE!A209="","","Tintorería")</f>
        <v/>
      </c>
      <c r="D909" s="94" t="str">
        <f>IF(PROGRAMA_DETALLE!AB209="","",PROGRAMA_DETALLE!AB209)</f>
        <v/>
      </c>
      <c r="E909" s="84" t="str">
        <f>IF(PROGRAMA_DETALLE!A209="","","Teñido "&amp;PROGRAMA_DETALLE!D209&amp;" "&amp;PROGRAMA_DETALLE!B209)</f>
        <v/>
      </c>
      <c r="F909" s="95" t="str">
        <f>IF(PROGRAMA_DETALLE!Z209=0,"",PROGRAMA_DETALLE!Z209)</f>
        <v/>
      </c>
      <c r="G909" s="95">
        <f>IF(PROGRAMA_DETALLE!AC209="PAGADO",PROGRAMA_DETALLE!Z209,0)</f>
        <v>0</v>
      </c>
      <c r="H909" s="95">
        <f>IF(OR(PROGRAMA_DETALLE!AC209="PENDIENTE",PROGRAMA_DETALLE!AC209="PARCIAL"),PROGRAMA_DETALLE!Z209,0)</f>
        <v>0</v>
      </c>
      <c r="I909" s="94" t="str">
        <f>IF(PROGRAMA_DETALLE!AC209="","",PROGRAMA_DETALLE!AC209)</f>
        <v/>
      </c>
    </row>
    <row r="910" ht="15.75" customHeight="1">
      <c r="A910" s="96" t="s">
        <v>236</v>
      </c>
      <c r="B910" s="93" t="str">
        <f>IF(PROGRAMA_DETALLE!Q210="","",PROGRAMA_DETALLE!Q210)</f>
        <v/>
      </c>
      <c r="C910" s="84" t="str">
        <f>IF(PROGRAMA_DETALLE!A210="","","Tintorería")</f>
        <v/>
      </c>
      <c r="D910" s="94" t="str">
        <f>IF(PROGRAMA_DETALLE!AB210="","",PROGRAMA_DETALLE!AB210)</f>
        <v/>
      </c>
      <c r="E910" s="84" t="str">
        <f>IF(PROGRAMA_DETALLE!A210="","","Teñido "&amp;PROGRAMA_DETALLE!D210&amp;" "&amp;PROGRAMA_DETALLE!B210)</f>
        <v/>
      </c>
      <c r="F910" s="95" t="str">
        <f>IF(PROGRAMA_DETALLE!Z210=0,"",PROGRAMA_DETALLE!Z210)</f>
        <v/>
      </c>
      <c r="G910" s="95">
        <f>IF(PROGRAMA_DETALLE!AC210="PAGADO",PROGRAMA_DETALLE!Z210,0)</f>
        <v>0</v>
      </c>
      <c r="H910" s="95">
        <f>IF(OR(PROGRAMA_DETALLE!AC210="PENDIENTE",PROGRAMA_DETALLE!AC210="PARCIAL"),PROGRAMA_DETALLE!Z210,0)</f>
        <v>0</v>
      </c>
      <c r="I910" s="94" t="str">
        <f>IF(PROGRAMA_DETALLE!AC210="","",PROGRAMA_DETALLE!AC210)</f>
        <v/>
      </c>
    </row>
    <row r="911" ht="15.75" customHeight="1">
      <c r="A911" s="96" t="s">
        <v>236</v>
      </c>
      <c r="B911" s="93" t="str">
        <f>IF(PROGRAMA_DETALLE!Q211="","",PROGRAMA_DETALLE!Q211)</f>
        <v/>
      </c>
      <c r="C911" s="84" t="str">
        <f>IF(PROGRAMA_DETALLE!A211="","","Tintorería")</f>
        <v/>
      </c>
      <c r="D911" s="94" t="str">
        <f>IF(PROGRAMA_DETALLE!AB211="","",PROGRAMA_DETALLE!AB211)</f>
        <v/>
      </c>
      <c r="E911" s="84" t="str">
        <f>IF(PROGRAMA_DETALLE!A211="","","Teñido "&amp;PROGRAMA_DETALLE!D211&amp;" "&amp;PROGRAMA_DETALLE!B211)</f>
        <v/>
      </c>
      <c r="F911" s="95" t="str">
        <f>IF(PROGRAMA_DETALLE!Z211=0,"",PROGRAMA_DETALLE!Z211)</f>
        <v/>
      </c>
      <c r="G911" s="95">
        <f>IF(PROGRAMA_DETALLE!AC211="PAGADO",PROGRAMA_DETALLE!Z211,0)</f>
        <v>0</v>
      </c>
      <c r="H911" s="95">
        <f>IF(OR(PROGRAMA_DETALLE!AC211="PENDIENTE",PROGRAMA_DETALLE!AC211="PARCIAL"),PROGRAMA_DETALLE!Z211,0)</f>
        <v>0</v>
      </c>
      <c r="I911" s="94" t="str">
        <f>IF(PROGRAMA_DETALLE!AC211="","",PROGRAMA_DETALLE!AC211)</f>
        <v/>
      </c>
    </row>
    <row r="912" ht="15.75" customHeight="1">
      <c r="A912" s="96" t="s">
        <v>236</v>
      </c>
      <c r="B912" s="93" t="str">
        <f>IF(PROGRAMA_DETALLE!Q212="","",PROGRAMA_DETALLE!Q212)</f>
        <v/>
      </c>
      <c r="C912" s="84" t="str">
        <f>IF(PROGRAMA_DETALLE!A212="","","Tintorería")</f>
        <v/>
      </c>
      <c r="D912" s="94" t="str">
        <f>IF(PROGRAMA_DETALLE!AB212="","",PROGRAMA_DETALLE!AB212)</f>
        <v/>
      </c>
      <c r="E912" s="84" t="str">
        <f>IF(PROGRAMA_DETALLE!A212="","","Teñido "&amp;PROGRAMA_DETALLE!D212&amp;" "&amp;PROGRAMA_DETALLE!B212)</f>
        <v/>
      </c>
      <c r="F912" s="95" t="str">
        <f>IF(PROGRAMA_DETALLE!Z212=0,"",PROGRAMA_DETALLE!Z212)</f>
        <v/>
      </c>
      <c r="G912" s="95">
        <f>IF(PROGRAMA_DETALLE!AC212="PAGADO",PROGRAMA_DETALLE!Z212,0)</f>
        <v>0</v>
      </c>
      <c r="H912" s="95">
        <f>IF(OR(PROGRAMA_DETALLE!AC212="PENDIENTE",PROGRAMA_DETALLE!AC212="PARCIAL"),PROGRAMA_DETALLE!Z212,0)</f>
        <v>0</v>
      </c>
      <c r="I912" s="94" t="str">
        <f>IF(PROGRAMA_DETALLE!AC212="","",PROGRAMA_DETALLE!AC212)</f>
        <v/>
      </c>
    </row>
    <row r="913" ht="15.75" customHeight="1">
      <c r="A913" s="96" t="s">
        <v>236</v>
      </c>
      <c r="B913" s="93" t="str">
        <f>IF(PROGRAMA_DETALLE!Q213="","",PROGRAMA_DETALLE!Q213)</f>
        <v/>
      </c>
      <c r="C913" s="84" t="str">
        <f>IF(PROGRAMA_DETALLE!A213="","","Tintorería")</f>
        <v/>
      </c>
      <c r="D913" s="94" t="str">
        <f>IF(PROGRAMA_DETALLE!AB213="","",PROGRAMA_DETALLE!AB213)</f>
        <v/>
      </c>
      <c r="E913" s="84" t="str">
        <f>IF(PROGRAMA_DETALLE!A213="","","Teñido "&amp;PROGRAMA_DETALLE!D213&amp;" "&amp;PROGRAMA_DETALLE!B213)</f>
        <v/>
      </c>
      <c r="F913" s="95" t="str">
        <f>IF(PROGRAMA_DETALLE!Z213=0,"",PROGRAMA_DETALLE!Z213)</f>
        <v/>
      </c>
      <c r="G913" s="95">
        <f>IF(PROGRAMA_DETALLE!AC213="PAGADO",PROGRAMA_DETALLE!Z213,0)</f>
        <v>0</v>
      </c>
      <c r="H913" s="95">
        <f>IF(OR(PROGRAMA_DETALLE!AC213="PENDIENTE",PROGRAMA_DETALLE!AC213="PARCIAL"),PROGRAMA_DETALLE!Z213,0)</f>
        <v>0</v>
      </c>
      <c r="I913" s="94" t="str">
        <f>IF(PROGRAMA_DETALLE!AC213="","",PROGRAMA_DETALLE!AC213)</f>
        <v/>
      </c>
    </row>
    <row r="914" ht="15.75" customHeight="1">
      <c r="A914" s="96" t="s">
        <v>236</v>
      </c>
      <c r="B914" s="93" t="str">
        <f>IF(PROGRAMA_DETALLE!Q214="","",PROGRAMA_DETALLE!Q214)</f>
        <v/>
      </c>
      <c r="C914" s="84" t="str">
        <f>IF(PROGRAMA_DETALLE!A214="","","Tintorería")</f>
        <v/>
      </c>
      <c r="D914" s="94" t="str">
        <f>IF(PROGRAMA_DETALLE!AB214="","",PROGRAMA_DETALLE!AB214)</f>
        <v/>
      </c>
      <c r="E914" s="84" t="str">
        <f>IF(PROGRAMA_DETALLE!A214="","","Teñido "&amp;PROGRAMA_DETALLE!D214&amp;" "&amp;PROGRAMA_DETALLE!B214)</f>
        <v/>
      </c>
      <c r="F914" s="95" t="str">
        <f>IF(PROGRAMA_DETALLE!Z214=0,"",PROGRAMA_DETALLE!Z214)</f>
        <v/>
      </c>
      <c r="G914" s="95">
        <f>IF(PROGRAMA_DETALLE!AC214="PAGADO",PROGRAMA_DETALLE!Z214,0)</f>
        <v>0</v>
      </c>
      <c r="H914" s="95">
        <f>IF(OR(PROGRAMA_DETALLE!AC214="PENDIENTE",PROGRAMA_DETALLE!AC214="PARCIAL"),PROGRAMA_DETALLE!Z214,0)</f>
        <v>0</v>
      </c>
      <c r="I914" s="94" t="str">
        <f>IF(PROGRAMA_DETALLE!AC214="","",PROGRAMA_DETALLE!AC214)</f>
        <v/>
      </c>
    </row>
    <row r="915" ht="15.75" customHeight="1">
      <c r="A915" s="96" t="s">
        <v>236</v>
      </c>
      <c r="B915" s="93" t="str">
        <f>IF(PROGRAMA_DETALLE!Q215="","",PROGRAMA_DETALLE!Q215)</f>
        <v/>
      </c>
      <c r="C915" s="84" t="str">
        <f>IF(PROGRAMA_DETALLE!A215="","","Tintorería")</f>
        <v/>
      </c>
      <c r="D915" s="94" t="str">
        <f>IF(PROGRAMA_DETALLE!AB215="","",PROGRAMA_DETALLE!AB215)</f>
        <v/>
      </c>
      <c r="E915" s="84" t="str">
        <f>IF(PROGRAMA_DETALLE!A215="","","Teñido "&amp;PROGRAMA_DETALLE!D215&amp;" "&amp;PROGRAMA_DETALLE!B215)</f>
        <v/>
      </c>
      <c r="F915" s="95" t="str">
        <f>IF(PROGRAMA_DETALLE!Z215=0,"",PROGRAMA_DETALLE!Z215)</f>
        <v/>
      </c>
      <c r="G915" s="95">
        <f>IF(PROGRAMA_DETALLE!AC215="PAGADO",PROGRAMA_DETALLE!Z215,0)</f>
        <v>0</v>
      </c>
      <c r="H915" s="95">
        <f>IF(OR(PROGRAMA_DETALLE!AC215="PENDIENTE",PROGRAMA_DETALLE!AC215="PARCIAL"),PROGRAMA_DETALLE!Z215,0)</f>
        <v>0</v>
      </c>
      <c r="I915" s="94" t="str">
        <f>IF(PROGRAMA_DETALLE!AC215="","",PROGRAMA_DETALLE!AC215)</f>
        <v/>
      </c>
    </row>
    <row r="916" ht="15.75" customHeight="1">
      <c r="A916" s="96" t="s">
        <v>236</v>
      </c>
      <c r="B916" s="93" t="str">
        <f>IF(PROGRAMA_DETALLE!Q216="","",PROGRAMA_DETALLE!Q216)</f>
        <v/>
      </c>
      <c r="C916" s="84" t="str">
        <f>IF(PROGRAMA_DETALLE!A216="","","Tintorería")</f>
        <v/>
      </c>
      <c r="D916" s="94" t="str">
        <f>IF(PROGRAMA_DETALLE!AB216="","",PROGRAMA_DETALLE!AB216)</f>
        <v/>
      </c>
      <c r="E916" s="84" t="str">
        <f>IF(PROGRAMA_DETALLE!A216="","","Teñido "&amp;PROGRAMA_DETALLE!D216&amp;" "&amp;PROGRAMA_DETALLE!B216)</f>
        <v/>
      </c>
      <c r="F916" s="95" t="str">
        <f>IF(PROGRAMA_DETALLE!Z216=0,"",PROGRAMA_DETALLE!Z216)</f>
        <v/>
      </c>
      <c r="G916" s="95">
        <f>IF(PROGRAMA_DETALLE!AC216="PAGADO",PROGRAMA_DETALLE!Z216,0)</f>
        <v>0</v>
      </c>
      <c r="H916" s="95">
        <f>IF(OR(PROGRAMA_DETALLE!AC216="PENDIENTE",PROGRAMA_DETALLE!AC216="PARCIAL"),PROGRAMA_DETALLE!Z216,0)</f>
        <v>0</v>
      </c>
      <c r="I916" s="94" t="str">
        <f>IF(PROGRAMA_DETALLE!AC216="","",PROGRAMA_DETALLE!AC216)</f>
        <v/>
      </c>
    </row>
    <row r="917" ht="15.75" customHeight="1">
      <c r="A917" s="96" t="s">
        <v>236</v>
      </c>
      <c r="B917" s="93" t="str">
        <f>IF(PROGRAMA_DETALLE!Q217="","",PROGRAMA_DETALLE!Q217)</f>
        <v/>
      </c>
      <c r="C917" s="84" t="str">
        <f>IF(PROGRAMA_DETALLE!A217="","","Tintorería")</f>
        <v/>
      </c>
      <c r="D917" s="94" t="str">
        <f>IF(PROGRAMA_DETALLE!AB217="","",PROGRAMA_DETALLE!AB217)</f>
        <v/>
      </c>
      <c r="E917" s="84" t="str">
        <f>IF(PROGRAMA_DETALLE!A217="","","Teñido "&amp;PROGRAMA_DETALLE!D217&amp;" "&amp;PROGRAMA_DETALLE!B217)</f>
        <v/>
      </c>
      <c r="F917" s="95" t="str">
        <f>IF(PROGRAMA_DETALLE!Z217=0,"",PROGRAMA_DETALLE!Z217)</f>
        <v/>
      </c>
      <c r="G917" s="95">
        <f>IF(PROGRAMA_DETALLE!AC217="PAGADO",PROGRAMA_DETALLE!Z217,0)</f>
        <v>0</v>
      </c>
      <c r="H917" s="95">
        <f>IF(OR(PROGRAMA_DETALLE!AC217="PENDIENTE",PROGRAMA_DETALLE!AC217="PARCIAL"),PROGRAMA_DETALLE!Z217,0)</f>
        <v>0</v>
      </c>
      <c r="I917" s="94" t="str">
        <f>IF(PROGRAMA_DETALLE!AC217="","",PROGRAMA_DETALLE!AC217)</f>
        <v/>
      </c>
    </row>
    <row r="918" ht="15.75" customHeight="1">
      <c r="A918" s="96" t="s">
        <v>236</v>
      </c>
      <c r="B918" s="93" t="str">
        <f>IF(PROGRAMA_DETALLE!Q218="","",PROGRAMA_DETALLE!Q218)</f>
        <v/>
      </c>
      <c r="C918" s="84" t="str">
        <f>IF(PROGRAMA_DETALLE!A218="","","Tintorería")</f>
        <v/>
      </c>
      <c r="D918" s="94" t="str">
        <f>IF(PROGRAMA_DETALLE!AB218="","",PROGRAMA_DETALLE!AB218)</f>
        <v/>
      </c>
      <c r="E918" s="84" t="str">
        <f>IF(PROGRAMA_DETALLE!A218="","","Teñido "&amp;PROGRAMA_DETALLE!D218&amp;" "&amp;PROGRAMA_DETALLE!B218)</f>
        <v/>
      </c>
      <c r="F918" s="95" t="str">
        <f>IF(PROGRAMA_DETALLE!Z218=0,"",PROGRAMA_DETALLE!Z218)</f>
        <v/>
      </c>
      <c r="G918" s="95">
        <f>IF(PROGRAMA_DETALLE!AC218="PAGADO",PROGRAMA_DETALLE!Z218,0)</f>
        <v>0</v>
      </c>
      <c r="H918" s="95">
        <f>IF(OR(PROGRAMA_DETALLE!AC218="PENDIENTE",PROGRAMA_DETALLE!AC218="PARCIAL"),PROGRAMA_DETALLE!Z218,0)</f>
        <v>0</v>
      </c>
      <c r="I918" s="94" t="str">
        <f>IF(PROGRAMA_DETALLE!AC218="","",PROGRAMA_DETALLE!AC218)</f>
        <v/>
      </c>
    </row>
    <row r="919" ht="15.75" customHeight="1">
      <c r="A919" s="96" t="s">
        <v>236</v>
      </c>
      <c r="B919" s="93" t="str">
        <f>IF(PROGRAMA_DETALLE!Q219="","",PROGRAMA_DETALLE!Q219)</f>
        <v/>
      </c>
      <c r="C919" s="84" t="str">
        <f>IF(PROGRAMA_DETALLE!A219="","","Tintorería")</f>
        <v/>
      </c>
      <c r="D919" s="94" t="str">
        <f>IF(PROGRAMA_DETALLE!AB219="","",PROGRAMA_DETALLE!AB219)</f>
        <v/>
      </c>
      <c r="E919" s="84" t="str">
        <f>IF(PROGRAMA_DETALLE!A219="","","Teñido "&amp;PROGRAMA_DETALLE!D219&amp;" "&amp;PROGRAMA_DETALLE!B219)</f>
        <v/>
      </c>
      <c r="F919" s="95" t="str">
        <f>IF(PROGRAMA_DETALLE!Z219=0,"",PROGRAMA_DETALLE!Z219)</f>
        <v/>
      </c>
      <c r="G919" s="95">
        <f>IF(PROGRAMA_DETALLE!AC219="PAGADO",PROGRAMA_DETALLE!Z219,0)</f>
        <v>0</v>
      </c>
      <c r="H919" s="95">
        <f>IF(OR(PROGRAMA_DETALLE!AC219="PENDIENTE",PROGRAMA_DETALLE!AC219="PARCIAL"),PROGRAMA_DETALLE!Z219,0)</f>
        <v>0</v>
      </c>
      <c r="I919" s="94" t="str">
        <f>IF(PROGRAMA_DETALLE!AC219="","",PROGRAMA_DETALLE!AC219)</f>
        <v/>
      </c>
    </row>
    <row r="920" ht="15.75" customHeight="1">
      <c r="A920" s="96" t="s">
        <v>236</v>
      </c>
      <c r="B920" s="93" t="str">
        <f>IF(PROGRAMA_DETALLE!Q220="","",PROGRAMA_DETALLE!Q220)</f>
        <v/>
      </c>
      <c r="C920" s="84" t="str">
        <f>IF(PROGRAMA_DETALLE!A220="","","Tintorería")</f>
        <v/>
      </c>
      <c r="D920" s="94" t="str">
        <f>IF(PROGRAMA_DETALLE!AB220="","",PROGRAMA_DETALLE!AB220)</f>
        <v/>
      </c>
      <c r="E920" s="84" t="str">
        <f>IF(PROGRAMA_DETALLE!A220="","","Teñido "&amp;PROGRAMA_DETALLE!D220&amp;" "&amp;PROGRAMA_DETALLE!B220)</f>
        <v/>
      </c>
      <c r="F920" s="95" t="str">
        <f>IF(PROGRAMA_DETALLE!Z220=0,"",PROGRAMA_DETALLE!Z220)</f>
        <v/>
      </c>
      <c r="G920" s="95">
        <f>IF(PROGRAMA_DETALLE!AC220="PAGADO",PROGRAMA_DETALLE!Z220,0)</f>
        <v>0</v>
      </c>
      <c r="H920" s="95">
        <f>IF(OR(PROGRAMA_DETALLE!AC220="PENDIENTE",PROGRAMA_DETALLE!AC220="PARCIAL"),PROGRAMA_DETALLE!Z220,0)</f>
        <v>0</v>
      </c>
      <c r="I920" s="94" t="str">
        <f>IF(PROGRAMA_DETALLE!AC220="","",PROGRAMA_DETALLE!AC220)</f>
        <v/>
      </c>
    </row>
    <row r="921" ht="15.75" customHeight="1">
      <c r="A921" s="96" t="s">
        <v>236</v>
      </c>
      <c r="B921" s="93" t="str">
        <f>IF(PROGRAMA_DETALLE!Q221="","",PROGRAMA_DETALLE!Q221)</f>
        <v/>
      </c>
      <c r="C921" s="84" t="str">
        <f>IF(PROGRAMA_DETALLE!A221="","","Tintorería")</f>
        <v/>
      </c>
      <c r="D921" s="94" t="str">
        <f>IF(PROGRAMA_DETALLE!AB221="","",PROGRAMA_DETALLE!AB221)</f>
        <v/>
      </c>
      <c r="E921" s="84" t="str">
        <f>IF(PROGRAMA_DETALLE!A221="","","Teñido "&amp;PROGRAMA_DETALLE!D221&amp;" "&amp;PROGRAMA_DETALLE!B221)</f>
        <v/>
      </c>
      <c r="F921" s="95" t="str">
        <f>IF(PROGRAMA_DETALLE!Z221=0,"",PROGRAMA_DETALLE!Z221)</f>
        <v/>
      </c>
      <c r="G921" s="95">
        <f>IF(PROGRAMA_DETALLE!AC221="PAGADO",PROGRAMA_DETALLE!Z221,0)</f>
        <v>0</v>
      </c>
      <c r="H921" s="95">
        <f>IF(OR(PROGRAMA_DETALLE!AC221="PENDIENTE",PROGRAMA_DETALLE!AC221="PARCIAL"),PROGRAMA_DETALLE!Z221,0)</f>
        <v>0</v>
      </c>
      <c r="I921" s="94" t="str">
        <f>IF(PROGRAMA_DETALLE!AC221="","",PROGRAMA_DETALLE!AC221)</f>
        <v/>
      </c>
    </row>
    <row r="922" ht="15.75" customHeight="1">
      <c r="A922" s="96" t="s">
        <v>236</v>
      </c>
      <c r="B922" s="93" t="str">
        <f>IF(PROGRAMA_DETALLE!Q222="","",PROGRAMA_DETALLE!Q222)</f>
        <v/>
      </c>
      <c r="C922" s="84" t="str">
        <f>IF(PROGRAMA_DETALLE!A222="","","Tintorería")</f>
        <v/>
      </c>
      <c r="D922" s="94" t="str">
        <f>IF(PROGRAMA_DETALLE!AB222="","",PROGRAMA_DETALLE!AB222)</f>
        <v/>
      </c>
      <c r="E922" s="84" t="str">
        <f>IF(PROGRAMA_DETALLE!A222="","","Teñido "&amp;PROGRAMA_DETALLE!D222&amp;" "&amp;PROGRAMA_DETALLE!B222)</f>
        <v/>
      </c>
      <c r="F922" s="95" t="str">
        <f>IF(PROGRAMA_DETALLE!Z222=0,"",PROGRAMA_DETALLE!Z222)</f>
        <v/>
      </c>
      <c r="G922" s="95">
        <f>IF(PROGRAMA_DETALLE!AC222="PAGADO",PROGRAMA_DETALLE!Z222,0)</f>
        <v>0</v>
      </c>
      <c r="H922" s="95">
        <f>IF(OR(PROGRAMA_DETALLE!AC222="PENDIENTE",PROGRAMA_DETALLE!AC222="PARCIAL"),PROGRAMA_DETALLE!Z222,0)</f>
        <v>0</v>
      </c>
      <c r="I922" s="94" t="str">
        <f>IF(PROGRAMA_DETALLE!AC222="","",PROGRAMA_DETALLE!AC222)</f>
        <v/>
      </c>
    </row>
    <row r="923" ht="15.75" customHeight="1">
      <c r="A923" s="96" t="s">
        <v>236</v>
      </c>
      <c r="B923" s="93" t="str">
        <f>IF(PROGRAMA_DETALLE!Q223="","",PROGRAMA_DETALLE!Q223)</f>
        <v/>
      </c>
      <c r="C923" s="84" t="str">
        <f>IF(PROGRAMA_DETALLE!A223="","","Tintorería")</f>
        <v/>
      </c>
      <c r="D923" s="94" t="str">
        <f>IF(PROGRAMA_DETALLE!AB223="","",PROGRAMA_DETALLE!AB223)</f>
        <v/>
      </c>
      <c r="E923" s="84" t="str">
        <f>IF(PROGRAMA_DETALLE!A223="","","Teñido "&amp;PROGRAMA_DETALLE!D223&amp;" "&amp;PROGRAMA_DETALLE!B223)</f>
        <v/>
      </c>
      <c r="F923" s="95" t="str">
        <f>IF(PROGRAMA_DETALLE!Z223=0,"",PROGRAMA_DETALLE!Z223)</f>
        <v/>
      </c>
      <c r="G923" s="95">
        <f>IF(PROGRAMA_DETALLE!AC223="PAGADO",PROGRAMA_DETALLE!Z223,0)</f>
        <v>0</v>
      </c>
      <c r="H923" s="95">
        <f>IF(OR(PROGRAMA_DETALLE!AC223="PENDIENTE",PROGRAMA_DETALLE!AC223="PARCIAL"),PROGRAMA_DETALLE!Z223,0)</f>
        <v>0</v>
      </c>
      <c r="I923" s="94" t="str">
        <f>IF(PROGRAMA_DETALLE!AC223="","",PROGRAMA_DETALLE!AC223)</f>
        <v/>
      </c>
    </row>
    <row r="924" ht="15.75" customHeight="1">
      <c r="A924" s="96" t="s">
        <v>236</v>
      </c>
      <c r="B924" s="93" t="str">
        <f>IF(PROGRAMA_DETALLE!Q224="","",PROGRAMA_DETALLE!Q224)</f>
        <v/>
      </c>
      <c r="C924" s="84" t="str">
        <f>IF(PROGRAMA_DETALLE!A224="","","Tintorería")</f>
        <v/>
      </c>
      <c r="D924" s="94" t="str">
        <f>IF(PROGRAMA_DETALLE!AB224="","",PROGRAMA_DETALLE!AB224)</f>
        <v/>
      </c>
      <c r="E924" s="84" t="str">
        <f>IF(PROGRAMA_DETALLE!A224="","","Teñido "&amp;PROGRAMA_DETALLE!D224&amp;" "&amp;PROGRAMA_DETALLE!B224)</f>
        <v/>
      </c>
      <c r="F924" s="95" t="str">
        <f>IF(PROGRAMA_DETALLE!Z224=0,"",PROGRAMA_DETALLE!Z224)</f>
        <v/>
      </c>
      <c r="G924" s="95">
        <f>IF(PROGRAMA_DETALLE!AC224="PAGADO",PROGRAMA_DETALLE!Z224,0)</f>
        <v>0</v>
      </c>
      <c r="H924" s="95">
        <f>IF(OR(PROGRAMA_DETALLE!AC224="PENDIENTE",PROGRAMA_DETALLE!AC224="PARCIAL"),PROGRAMA_DETALLE!Z224,0)</f>
        <v>0</v>
      </c>
      <c r="I924" s="94" t="str">
        <f>IF(PROGRAMA_DETALLE!AC224="","",PROGRAMA_DETALLE!AC224)</f>
        <v/>
      </c>
    </row>
    <row r="925" ht="15.75" customHeight="1">
      <c r="A925" s="96" t="s">
        <v>236</v>
      </c>
      <c r="B925" s="93" t="str">
        <f>IF(PROGRAMA_DETALLE!Q225="","",PROGRAMA_DETALLE!Q225)</f>
        <v/>
      </c>
      <c r="C925" s="84" t="str">
        <f>IF(PROGRAMA_DETALLE!A225="","","Tintorería")</f>
        <v/>
      </c>
      <c r="D925" s="94" t="str">
        <f>IF(PROGRAMA_DETALLE!AB225="","",PROGRAMA_DETALLE!AB225)</f>
        <v/>
      </c>
      <c r="E925" s="84" t="str">
        <f>IF(PROGRAMA_DETALLE!A225="","","Teñido "&amp;PROGRAMA_DETALLE!D225&amp;" "&amp;PROGRAMA_DETALLE!B225)</f>
        <v/>
      </c>
      <c r="F925" s="95" t="str">
        <f>IF(PROGRAMA_DETALLE!Z225=0,"",PROGRAMA_DETALLE!Z225)</f>
        <v/>
      </c>
      <c r="G925" s="95">
        <f>IF(PROGRAMA_DETALLE!AC225="PAGADO",PROGRAMA_DETALLE!Z225,0)</f>
        <v>0</v>
      </c>
      <c r="H925" s="95">
        <f>IF(OR(PROGRAMA_DETALLE!AC225="PENDIENTE",PROGRAMA_DETALLE!AC225="PARCIAL"),PROGRAMA_DETALLE!Z225,0)</f>
        <v>0</v>
      </c>
      <c r="I925" s="94" t="str">
        <f>IF(PROGRAMA_DETALLE!AC225="","",PROGRAMA_DETALLE!AC225)</f>
        <v/>
      </c>
    </row>
    <row r="926" ht="15.75" customHeight="1">
      <c r="A926" s="96" t="s">
        <v>236</v>
      </c>
      <c r="B926" s="93" t="str">
        <f>IF(PROGRAMA_DETALLE!Q226="","",PROGRAMA_DETALLE!Q226)</f>
        <v/>
      </c>
      <c r="C926" s="84" t="str">
        <f>IF(PROGRAMA_DETALLE!A226="","","Tintorería")</f>
        <v/>
      </c>
      <c r="D926" s="94" t="str">
        <f>IF(PROGRAMA_DETALLE!AB226="","",PROGRAMA_DETALLE!AB226)</f>
        <v/>
      </c>
      <c r="E926" s="84" t="str">
        <f>IF(PROGRAMA_DETALLE!A226="","","Teñido "&amp;PROGRAMA_DETALLE!D226&amp;" "&amp;PROGRAMA_DETALLE!B226)</f>
        <v/>
      </c>
      <c r="F926" s="95" t="str">
        <f>IF(PROGRAMA_DETALLE!Z226=0,"",PROGRAMA_DETALLE!Z226)</f>
        <v/>
      </c>
      <c r="G926" s="95">
        <f>IF(PROGRAMA_DETALLE!AC226="PAGADO",PROGRAMA_DETALLE!Z226,0)</f>
        <v>0</v>
      </c>
      <c r="H926" s="95">
        <f>IF(OR(PROGRAMA_DETALLE!AC226="PENDIENTE",PROGRAMA_DETALLE!AC226="PARCIAL"),PROGRAMA_DETALLE!Z226,0)</f>
        <v>0</v>
      </c>
      <c r="I926" s="94" t="str">
        <f>IF(PROGRAMA_DETALLE!AC226="","",PROGRAMA_DETALLE!AC226)</f>
        <v/>
      </c>
    </row>
    <row r="927" ht="15.75" customHeight="1">
      <c r="A927" s="96" t="s">
        <v>236</v>
      </c>
      <c r="B927" s="93" t="str">
        <f>IF(PROGRAMA_DETALLE!Q227="","",PROGRAMA_DETALLE!Q227)</f>
        <v/>
      </c>
      <c r="C927" s="84" t="str">
        <f>IF(PROGRAMA_DETALLE!A227="","","Tintorería")</f>
        <v/>
      </c>
      <c r="D927" s="94" t="str">
        <f>IF(PROGRAMA_DETALLE!AB227="","",PROGRAMA_DETALLE!AB227)</f>
        <v/>
      </c>
      <c r="E927" s="84" t="str">
        <f>IF(PROGRAMA_DETALLE!A227="","","Teñido "&amp;PROGRAMA_DETALLE!D227&amp;" "&amp;PROGRAMA_DETALLE!B227)</f>
        <v/>
      </c>
      <c r="F927" s="95" t="str">
        <f>IF(PROGRAMA_DETALLE!Z227=0,"",PROGRAMA_DETALLE!Z227)</f>
        <v/>
      </c>
      <c r="G927" s="95">
        <f>IF(PROGRAMA_DETALLE!AC227="PAGADO",PROGRAMA_DETALLE!Z227,0)</f>
        <v>0</v>
      </c>
      <c r="H927" s="95">
        <f>IF(OR(PROGRAMA_DETALLE!AC227="PENDIENTE",PROGRAMA_DETALLE!AC227="PARCIAL"),PROGRAMA_DETALLE!Z227,0)</f>
        <v>0</v>
      </c>
      <c r="I927" s="94" t="str">
        <f>IF(PROGRAMA_DETALLE!AC227="","",PROGRAMA_DETALLE!AC227)</f>
        <v/>
      </c>
    </row>
    <row r="928" ht="15.75" customHeight="1">
      <c r="A928" s="96" t="s">
        <v>236</v>
      </c>
      <c r="B928" s="93" t="str">
        <f>IF(PROGRAMA_DETALLE!Q228="","",PROGRAMA_DETALLE!Q228)</f>
        <v/>
      </c>
      <c r="C928" s="84" t="str">
        <f>IF(PROGRAMA_DETALLE!A228="","","Tintorería")</f>
        <v/>
      </c>
      <c r="D928" s="94" t="str">
        <f>IF(PROGRAMA_DETALLE!AB228="","",PROGRAMA_DETALLE!AB228)</f>
        <v/>
      </c>
      <c r="E928" s="84" t="str">
        <f>IF(PROGRAMA_DETALLE!A228="","","Teñido "&amp;PROGRAMA_DETALLE!D228&amp;" "&amp;PROGRAMA_DETALLE!B228)</f>
        <v/>
      </c>
      <c r="F928" s="95" t="str">
        <f>IF(PROGRAMA_DETALLE!Z228=0,"",PROGRAMA_DETALLE!Z228)</f>
        <v/>
      </c>
      <c r="G928" s="95">
        <f>IF(PROGRAMA_DETALLE!AC228="PAGADO",PROGRAMA_DETALLE!Z228,0)</f>
        <v>0</v>
      </c>
      <c r="H928" s="95">
        <f>IF(OR(PROGRAMA_DETALLE!AC228="PENDIENTE",PROGRAMA_DETALLE!AC228="PARCIAL"),PROGRAMA_DETALLE!Z228,0)</f>
        <v>0</v>
      </c>
      <c r="I928" s="94" t="str">
        <f>IF(PROGRAMA_DETALLE!AC228="","",PROGRAMA_DETALLE!AC228)</f>
        <v/>
      </c>
    </row>
    <row r="929" ht="15.75" customHeight="1">
      <c r="A929" s="96" t="s">
        <v>236</v>
      </c>
      <c r="B929" s="93" t="str">
        <f>IF(PROGRAMA_DETALLE!Q229="","",PROGRAMA_DETALLE!Q229)</f>
        <v/>
      </c>
      <c r="C929" s="84" t="str">
        <f>IF(PROGRAMA_DETALLE!A229="","","Tintorería")</f>
        <v/>
      </c>
      <c r="D929" s="94" t="str">
        <f>IF(PROGRAMA_DETALLE!AB229="","",PROGRAMA_DETALLE!AB229)</f>
        <v/>
      </c>
      <c r="E929" s="84" t="str">
        <f>IF(PROGRAMA_DETALLE!A229="","","Teñido "&amp;PROGRAMA_DETALLE!D229&amp;" "&amp;PROGRAMA_DETALLE!B229)</f>
        <v/>
      </c>
      <c r="F929" s="95" t="str">
        <f>IF(PROGRAMA_DETALLE!Z229=0,"",PROGRAMA_DETALLE!Z229)</f>
        <v/>
      </c>
      <c r="G929" s="95">
        <f>IF(PROGRAMA_DETALLE!AC229="PAGADO",PROGRAMA_DETALLE!Z229,0)</f>
        <v>0</v>
      </c>
      <c r="H929" s="95">
        <f>IF(OR(PROGRAMA_DETALLE!AC229="PENDIENTE",PROGRAMA_DETALLE!AC229="PARCIAL"),PROGRAMA_DETALLE!Z229,0)</f>
        <v>0</v>
      </c>
      <c r="I929" s="94" t="str">
        <f>IF(PROGRAMA_DETALLE!AC229="","",PROGRAMA_DETALLE!AC229)</f>
        <v/>
      </c>
    </row>
    <row r="930" ht="15.75" customHeight="1">
      <c r="A930" s="96" t="s">
        <v>236</v>
      </c>
      <c r="B930" s="93" t="str">
        <f>IF(PROGRAMA_DETALLE!Q230="","",PROGRAMA_DETALLE!Q230)</f>
        <v/>
      </c>
      <c r="C930" s="84" t="str">
        <f>IF(PROGRAMA_DETALLE!A230="","","Tintorería")</f>
        <v/>
      </c>
      <c r="D930" s="94" t="str">
        <f>IF(PROGRAMA_DETALLE!AB230="","",PROGRAMA_DETALLE!AB230)</f>
        <v/>
      </c>
      <c r="E930" s="84" t="str">
        <f>IF(PROGRAMA_DETALLE!A230="","","Teñido "&amp;PROGRAMA_DETALLE!D230&amp;" "&amp;PROGRAMA_DETALLE!B230)</f>
        <v/>
      </c>
      <c r="F930" s="95" t="str">
        <f>IF(PROGRAMA_DETALLE!Z230=0,"",PROGRAMA_DETALLE!Z230)</f>
        <v/>
      </c>
      <c r="G930" s="95">
        <f>IF(PROGRAMA_DETALLE!AC230="PAGADO",PROGRAMA_DETALLE!Z230,0)</f>
        <v>0</v>
      </c>
      <c r="H930" s="95">
        <f>IF(OR(PROGRAMA_DETALLE!AC230="PENDIENTE",PROGRAMA_DETALLE!AC230="PARCIAL"),PROGRAMA_DETALLE!Z230,0)</f>
        <v>0</v>
      </c>
      <c r="I930" s="94" t="str">
        <f>IF(PROGRAMA_DETALLE!AC230="","",PROGRAMA_DETALLE!AC230)</f>
        <v/>
      </c>
    </row>
    <row r="931" ht="15.75" customHeight="1">
      <c r="A931" s="96" t="s">
        <v>236</v>
      </c>
      <c r="B931" s="93" t="str">
        <f>IF(PROGRAMA_DETALLE!Q231="","",PROGRAMA_DETALLE!Q231)</f>
        <v/>
      </c>
      <c r="C931" s="84" t="str">
        <f>IF(PROGRAMA_DETALLE!A231="","","Tintorería")</f>
        <v/>
      </c>
      <c r="D931" s="94" t="str">
        <f>IF(PROGRAMA_DETALLE!AB231="","",PROGRAMA_DETALLE!AB231)</f>
        <v/>
      </c>
      <c r="E931" s="84" t="str">
        <f>IF(PROGRAMA_DETALLE!A231="","","Teñido "&amp;PROGRAMA_DETALLE!D231&amp;" "&amp;PROGRAMA_DETALLE!B231)</f>
        <v/>
      </c>
      <c r="F931" s="95" t="str">
        <f>IF(PROGRAMA_DETALLE!Z231=0,"",PROGRAMA_DETALLE!Z231)</f>
        <v/>
      </c>
      <c r="G931" s="95">
        <f>IF(PROGRAMA_DETALLE!AC231="PAGADO",PROGRAMA_DETALLE!Z231,0)</f>
        <v>0</v>
      </c>
      <c r="H931" s="95">
        <f>IF(OR(PROGRAMA_DETALLE!AC231="PENDIENTE",PROGRAMA_DETALLE!AC231="PARCIAL"),PROGRAMA_DETALLE!Z231,0)</f>
        <v>0</v>
      </c>
      <c r="I931" s="94" t="str">
        <f>IF(PROGRAMA_DETALLE!AC231="","",PROGRAMA_DETALLE!AC231)</f>
        <v/>
      </c>
    </row>
    <row r="932" ht="15.75" customHeight="1">
      <c r="A932" s="96" t="s">
        <v>236</v>
      </c>
      <c r="B932" s="93" t="str">
        <f>IF(PROGRAMA_DETALLE!Q232="","",PROGRAMA_DETALLE!Q232)</f>
        <v/>
      </c>
      <c r="C932" s="84" t="str">
        <f>IF(PROGRAMA_DETALLE!A232="","","Tintorería")</f>
        <v/>
      </c>
      <c r="D932" s="94" t="str">
        <f>IF(PROGRAMA_DETALLE!AB232="","",PROGRAMA_DETALLE!AB232)</f>
        <v/>
      </c>
      <c r="E932" s="84" t="str">
        <f>IF(PROGRAMA_DETALLE!A232="","","Teñido "&amp;PROGRAMA_DETALLE!D232&amp;" "&amp;PROGRAMA_DETALLE!B232)</f>
        <v/>
      </c>
      <c r="F932" s="95" t="str">
        <f>IF(PROGRAMA_DETALLE!Z232=0,"",PROGRAMA_DETALLE!Z232)</f>
        <v/>
      </c>
      <c r="G932" s="95">
        <f>IF(PROGRAMA_DETALLE!AC232="PAGADO",PROGRAMA_DETALLE!Z232,0)</f>
        <v>0</v>
      </c>
      <c r="H932" s="95">
        <f>IF(OR(PROGRAMA_DETALLE!AC232="PENDIENTE",PROGRAMA_DETALLE!AC232="PARCIAL"),PROGRAMA_DETALLE!Z232,0)</f>
        <v>0</v>
      </c>
      <c r="I932" s="94" t="str">
        <f>IF(PROGRAMA_DETALLE!AC232="","",PROGRAMA_DETALLE!AC232)</f>
        <v/>
      </c>
    </row>
    <row r="933" ht="15.75" customHeight="1">
      <c r="A933" s="96" t="s">
        <v>236</v>
      </c>
      <c r="B933" s="93" t="str">
        <f>IF(PROGRAMA_DETALLE!Q233="","",PROGRAMA_DETALLE!Q233)</f>
        <v/>
      </c>
      <c r="C933" s="84" t="str">
        <f>IF(PROGRAMA_DETALLE!A233="","","Tintorería")</f>
        <v/>
      </c>
      <c r="D933" s="94" t="str">
        <f>IF(PROGRAMA_DETALLE!AB233="","",PROGRAMA_DETALLE!AB233)</f>
        <v/>
      </c>
      <c r="E933" s="84" t="str">
        <f>IF(PROGRAMA_DETALLE!A233="","","Teñido "&amp;PROGRAMA_DETALLE!D233&amp;" "&amp;PROGRAMA_DETALLE!B233)</f>
        <v/>
      </c>
      <c r="F933" s="95" t="str">
        <f>IF(PROGRAMA_DETALLE!Z233=0,"",PROGRAMA_DETALLE!Z233)</f>
        <v/>
      </c>
      <c r="G933" s="95">
        <f>IF(PROGRAMA_DETALLE!AC233="PAGADO",PROGRAMA_DETALLE!Z233,0)</f>
        <v>0</v>
      </c>
      <c r="H933" s="95">
        <f>IF(OR(PROGRAMA_DETALLE!AC233="PENDIENTE",PROGRAMA_DETALLE!AC233="PARCIAL"),PROGRAMA_DETALLE!Z233,0)</f>
        <v>0</v>
      </c>
      <c r="I933" s="94" t="str">
        <f>IF(PROGRAMA_DETALLE!AC233="","",PROGRAMA_DETALLE!AC233)</f>
        <v/>
      </c>
    </row>
    <row r="934" ht="15.75" customHeight="1">
      <c r="A934" s="96" t="s">
        <v>236</v>
      </c>
      <c r="B934" s="93" t="str">
        <f>IF(PROGRAMA_DETALLE!Q234="","",PROGRAMA_DETALLE!Q234)</f>
        <v/>
      </c>
      <c r="C934" s="84" t="str">
        <f>IF(PROGRAMA_DETALLE!A234="","","Tintorería")</f>
        <v/>
      </c>
      <c r="D934" s="94" t="str">
        <f>IF(PROGRAMA_DETALLE!AB234="","",PROGRAMA_DETALLE!AB234)</f>
        <v/>
      </c>
      <c r="E934" s="84" t="str">
        <f>IF(PROGRAMA_DETALLE!A234="","","Teñido "&amp;PROGRAMA_DETALLE!D234&amp;" "&amp;PROGRAMA_DETALLE!B234)</f>
        <v/>
      </c>
      <c r="F934" s="95" t="str">
        <f>IF(PROGRAMA_DETALLE!Z234=0,"",PROGRAMA_DETALLE!Z234)</f>
        <v/>
      </c>
      <c r="G934" s="95">
        <f>IF(PROGRAMA_DETALLE!AC234="PAGADO",PROGRAMA_DETALLE!Z234,0)</f>
        <v>0</v>
      </c>
      <c r="H934" s="95">
        <f>IF(OR(PROGRAMA_DETALLE!AC234="PENDIENTE",PROGRAMA_DETALLE!AC234="PARCIAL"),PROGRAMA_DETALLE!Z234,0)</f>
        <v>0</v>
      </c>
      <c r="I934" s="94" t="str">
        <f>IF(PROGRAMA_DETALLE!AC234="","",PROGRAMA_DETALLE!AC234)</f>
        <v/>
      </c>
    </row>
    <row r="935" ht="15.75" customHeight="1">
      <c r="A935" s="96" t="s">
        <v>236</v>
      </c>
      <c r="B935" s="93" t="str">
        <f>IF(PROGRAMA_DETALLE!Q235="","",PROGRAMA_DETALLE!Q235)</f>
        <v/>
      </c>
      <c r="C935" s="84" t="str">
        <f>IF(PROGRAMA_DETALLE!A235="","","Tintorería")</f>
        <v/>
      </c>
      <c r="D935" s="94" t="str">
        <f>IF(PROGRAMA_DETALLE!AB235="","",PROGRAMA_DETALLE!AB235)</f>
        <v/>
      </c>
      <c r="E935" s="84" t="str">
        <f>IF(PROGRAMA_DETALLE!A235="","","Teñido "&amp;PROGRAMA_DETALLE!D235&amp;" "&amp;PROGRAMA_DETALLE!B235)</f>
        <v/>
      </c>
      <c r="F935" s="95" t="str">
        <f>IF(PROGRAMA_DETALLE!Z235=0,"",PROGRAMA_DETALLE!Z235)</f>
        <v/>
      </c>
      <c r="G935" s="95">
        <f>IF(PROGRAMA_DETALLE!AC235="PAGADO",PROGRAMA_DETALLE!Z235,0)</f>
        <v>0</v>
      </c>
      <c r="H935" s="95">
        <f>IF(OR(PROGRAMA_DETALLE!AC235="PENDIENTE",PROGRAMA_DETALLE!AC235="PARCIAL"),PROGRAMA_DETALLE!Z235,0)</f>
        <v>0</v>
      </c>
      <c r="I935" s="94" t="str">
        <f>IF(PROGRAMA_DETALLE!AC235="","",PROGRAMA_DETALLE!AC235)</f>
        <v/>
      </c>
    </row>
    <row r="936" ht="15.75" customHeight="1">
      <c r="A936" s="96" t="s">
        <v>236</v>
      </c>
      <c r="B936" s="93" t="str">
        <f>IF(PROGRAMA_DETALLE!Q236="","",PROGRAMA_DETALLE!Q236)</f>
        <v/>
      </c>
      <c r="C936" s="84" t="str">
        <f>IF(PROGRAMA_DETALLE!A236="","","Tintorería")</f>
        <v/>
      </c>
      <c r="D936" s="94" t="str">
        <f>IF(PROGRAMA_DETALLE!AB236="","",PROGRAMA_DETALLE!AB236)</f>
        <v/>
      </c>
      <c r="E936" s="84" t="str">
        <f>IF(PROGRAMA_DETALLE!A236="","","Teñido "&amp;PROGRAMA_DETALLE!D236&amp;" "&amp;PROGRAMA_DETALLE!B236)</f>
        <v/>
      </c>
      <c r="F936" s="95" t="str">
        <f>IF(PROGRAMA_DETALLE!Z236=0,"",PROGRAMA_DETALLE!Z236)</f>
        <v/>
      </c>
      <c r="G936" s="95">
        <f>IF(PROGRAMA_DETALLE!AC236="PAGADO",PROGRAMA_DETALLE!Z236,0)</f>
        <v>0</v>
      </c>
      <c r="H936" s="95">
        <f>IF(OR(PROGRAMA_DETALLE!AC236="PENDIENTE",PROGRAMA_DETALLE!AC236="PARCIAL"),PROGRAMA_DETALLE!Z236,0)</f>
        <v>0</v>
      </c>
      <c r="I936" s="94" t="str">
        <f>IF(PROGRAMA_DETALLE!AC236="","",PROGRAMA_DETALLE!AC236)</f>
        <v/>
      </c>
    </row>
    <row r="937" ht="15.75" customHeight="1">
      <c r="A937" s="96" t="s">
        <v>236</v>
      </c>
      <c r="B937" s="93" t="str">
        <f>IF(PROGRAMA_DETALLE!Q237="","",PROGRAMA_DETALLE!Q237)</f>
        <v/>
      </c>
      <c r="C937" s="84" t="str">
        <f>IF(PROGRAMA_DETALLE!A237="","","Tintorería")</f>
        <v/>
      </c>
      <c r="D937" s="94" t="str">
        <f>IF(PROGRAMA_DETALLE!AB237="","",PROGRAMA_DETALLE!AB237)</f>
        <v/>
      </c>
      <c r="E937" s="84" t="str">
        <f>IF(PROGRAMA_DETALLE!A237="","","Teñido "&amp;PROGRAMA_DETALLE!D237&amp;" "&amp;PROGRAMA_DETALLE!B237)</f>
        <v/>
      </c>
      <c r="F937" s="95" t="str">
        <f>IF(PROGRAMA_DETALLE!Z237=0,"",PROGRAMA_DETALLE!Z237)</f>
        <v/>
      </c>
      <c r="G937" s="95">
        <f>IF(PROGRAMA_DETALLE!AC237="PAGADO",PROGRAMA_DETALLE!Z237,0)</f>
        <v>0</v>
      </c>
      <c r="H937" s="95">
        <f>IF(OR(PROGRAMA_DETALLE!AC237="PENDIENTE",PROGRAMA_DETALLE!AC237="PARCIAL"),PROGRAMA_DETALLE!Z237,0)</f>
        <v>0</v>
      </c>
      <c r="I937" s="94" t="str">
        <f>IF(PROGRAMA_DETALLE!AC237="","",PROGRAMA_DETALLE!AC237)</f>
        <v/>
      </c>
    </row>
    <row r="938" ht="15.75" customHeight="1">
      <c r="A938" s="96" t="s">
        <v>236</v>
      </c>
      <c r="B938" s="93" t="str">
        <f>IF(PROGRAMA_DETALLE!Q238="","",PROGRAMA_DETALLE!Q238)</f>
        <v/>
      </c>
      <c r="C938" s="84" t="str">
        <f>IF(PROGRAMA_DETALLE!A238="","","Tintorería")</f>
        <v/>
      </c>
      <c r="D938" s="94" t="str">
        <f>IF(PROGRAMA_DETALLE!AB238="","",PROGRAMA_DETALLE!AB238)</f>
        <v/>
      </c>
      <c r="E938" s="84" t="str">
        <f>IF(PROGRAMA_DETALLE!A238="","","Teñido "&amp;PROGRAMA_DETALLE!D238&amp;" "&amp;PROGRAMA_DETALLE!B238)</f>
        <v/>
      </c>
      <c r="F938" s="95" t="str">
        <f>IF(PROGRAMA_DETALLE!Z238=0,"",PROGRAMA_DETALLE!Z238)</f>
        <v/>
      </c>
      <c r="G938" s="95">
        <f>IF(PROGRAMA_DETALLE!AC238="PAGADO",PROGRAMA_DETALLE!Z238,0)</f>
        <v>0</v>
      </c>
      <c r="H938" s="95">
        <f>IF(OR(PROGRAMA_DETALLE!AC238="PENDIENTE",PROGRAMA_DETALLE!AC238="PARCIAL"),PROGRAMA_DETALLE!Z238,0)</f>
        <v>0</v>
      </c>
      <c r="I938" s="94" t="str">
        <f>IF(PROGRAMA_DETALLE!AC238="","",PROGRAMA_DETALLE!AC238)</f>
        <v/>
      </c>
    </row>
    <row r="939" ht="15.75" customHeight="1">
      <c r="A939" s="96" t="s">
        <v>236</v>
      </c>
      <c r="B939" s="93" t="str">
        <f>IF(PROGRAMA_DETALLE!Q239="","",PROGRAMA_DETALLE!Q239)</f>
        <v/>
      </c>
      <c r="C939" s="84" t="str">
        <f>IF(PROGRAMA_DETALLE!A239="","","Tintorería")</f>
        <v/>
      </c>
      <c r="D939" s="94" t="str">
        <f>IF(PROGRAMA_DETALLE!AB239="","",PROGRAMA_DETALLE!AB239)</f>
        <v/>
      </c>
      <c r="E939" s="84" t="str">
        <f>IF(PROGRAMA_DETALLE!A239="","","Teñido "&amp;PROGRAMA_DETALLE!D239&amp;" "&amp;PROGRAMA_DETALLE!B239)</f>
        <v/>
      </c>
      <c r="F939" s="95" t="str">
        <f>IF(PROGRAMA_DETALLE!Z239=0,"",PROGRAMA_DETALLE!Z239)</f>
        <v/>
      </c>
      <c r="G939" s="95">
        <f>IF(PROGRAMA_DETALLE!AC239="PAGADO",PROGRAMA_DETALLE!Z239,0)</f>
        <v>0</v>
      </c>
      <c r="H939" s="95">
        <f>IF(OR(PROGRAMA_DETALLE!AC239="PENDIENTE",PROGRAMA_DETALLE!AC239="PARCIAL"),PROGRAMA_DETALLE!Z239,0)</f>
        <v>0</v>
      </c>
      <c r="I939" s="94" t="str">
        <f>IF(PROGRAMA_DETALLE!AC239="","",PROGRAMA_DETALLE!AC239)</f>
        <v/>
      </c>
    </row>
    <row r="940" ht="15.75" customHeight="1">
      <c r="A940" s="96" t="s">
        <v>236</v>
      </c>
      <c r="B940" s="93" t="str">
        <f>IF(PROGRAMA_DETALLE!Q240="","",PROGRAMA_DETALLE!Q240)</f>
        <v/>
      </c>
      <c r="C940" s="84" t="str">
        <f>IF(PROGRAMA_DETALLE!A240="","","Tintorería")</f>
        <v/>
      </c>
      <c r="D940" s="94" t="str">
        <f>IF(PROGRAMA_DETALLE!AB240="","",PROGRAMA_DETALLE!AB240)</f>
        <v/>
      </c>
      <c r="E940" s="84" t="str">
        <f>IF(PROGRAMA_DETALLE!A240="","","Teñido "&amp;PROGRAMA_DETALLE!D240&amp;" "&amp;PROGRAMA_DETALLE!B240)</f>
        <v/>
      </c>
      <c r="F940" s="95" t="str">
        <f>IF(PROGRAMA_DETALLE!Z240=0,"",PROGRAMA_DETALLE!Z240)</f>
        <v/>
      </c>
      <c r="G940" s="95">
        <f>IF(PROGRAMA_DETALLE!AC240="PAGADO",PROGRAMA_DETALLE!Z240,0)</f>
        <v>0</v>
      </c>
      <c r="H940" s="95">
        <f>IF(OR(PROGRAMA_DETALLE!AC240="PENDIENTE",PROGRAMA_DETALLE!AC240="PARCIAL"),PROGRAMA_DETALLE!Z240,0)</f>
        <v>0</v>
      </c>
      <c r="I940" s="94" t="str">
        <f>IF(PROGRAMA_DETALLE!AC240="","",PROGRAMA_DETALLE!AC240)</f>
        <v/>
      </c>
    </row>
    <row r="941" ht="15.75" customHeight="1">
      <c r="A941" s="96" t="s">
        <v>236</v>
      </c>
      <c r="B941" s="93" t="str">
        <f>IF(PROGRAMA_DETALLE!Q241="","",PROGRAMA_DETALLE!Q241)</f>
        <v/>
      </c>
      <c r="C941" s="84" t="str">
        <f>IF(PROGRAMA_DETALLE!A241="","","Tintorería")</f>
        <v/>
      </c>
      <c r="D941" s="94" t="str">
        <f>IF(PROGRAMA_DETALLE!AB241="","",PROGRAMA_DETALLE!AB241)</f>
        <v/>
      </c>
      <c r="E941" s="84" t="str">
        <f>IF(PROGRAMA_DETALLE!A241="","","Teñido "&amp;PROGRAMA_DETALLE!D241&amp;" "&amp;PROGRAMA_DETALLE!B241)</f>
        <v/>
      </c>
      <c r="F941" s="95" t="str">
        <f>IF(PROGRAMA_DETALLE!Z241=0,"",PROGRAMA_DETALLE!Z241)</f>
        <v/>
      </c>
      <c r="G941" s="95">
        <f>IF(PROGRAMA_DETALLE!AC241="PAGADO",PROGRAMA_DETALLE!Z241,0)</f>
        <v>0</v>
      </c>
      <c r="H941" s="95">
        <f>IF(OR(PROGRAMA_DETALLE!AC241="PENDIENTE",PROGRAMA_DETALLE!AC241="PARCIAL"),PROGRAMA_DETALLE!Z241,0)</f>
        <v>0</v>
      </c>
      <c r="I941" s="94" t="str">
        <f>IF(PROGRAMA_DETALLE!AC241="","",PROGRAMA_DETALLE!AC241)</f>
        <v/>
      </c>
    </row>
    <row r="942" ht="15.75" customHeight="1">
      <c r="A942" s="96" t="s">
        <v>236</v>
      </c>
      <c r="B942" s="93" t="str">
        <f>IF(PROGRAMA_DETALLE!Q242="","",PROGRAMA_DETALLE!Q242)</f>
        <v/>
      </c>
      <c r="C942" s="84" t="str">
        <f>IF(PROGRAMA_DETALLE!A242="","","Tintorería")</f>
        <v/>
      </c>
      <c r="D942" s="94" t="str">
        <f>IF(PROGRAMA_DETALLE!AB242="","",PROGRAMA_DETALLE!AB242)</f>
        <v/>
      </c>
      <c r="E942" s="84" t="str">
        <f>IF(PROGRAMA_DETALLE!A242="","","Teñido "&amp;PROGRAMA_DETALLE!D242&amp;" "&amp;PROGRAMA_DETALLE!B242)</f>
        <v/>
      </c>
      <c r="F942" s="95" t="str">
        <f>IF(PROGRAMA_DETALLE!Z242=0,"",PROGRAMA_DETALLE!Z242)</f>
        <v/>
      </c>
      <c r="G942" s="95">
        <f>IF(PROGRAMA_DETALLE!AC242="PAGADO",PROGRAMA_DETALLE!Z242,0)</f>
        <v>0</v>
      </c>
      <c r="H942" s="95">
        <f>IF(OR(PROGRAMA_DETALLE!AC242="PENDIENTE",PROGRAMA_DETALLE!AC242="PARCIAL"),PROGRAMA_DETALLE!Z242,0)</f>
        <v>0</v>
      </c>
      <c r="I942" s="94" t="str">
        <f>IF(PROGRAMA_DETALLE!AC242="","",PROGRAMA_DETALLE!AC242)</f>
        <v/>
      </c>
    </row>
    <row r="943" ht="15.75" customHeight="1">
      <c r="A943" s="96" t="s">
        <v>236</v>
      </c>
      <c r="B943" s="93" t="str">
        <f>IF(PROGRAMA_DETALLE!Q243="","",PROGRAMA_DETALLE!Q243)</f>
        <v/>
      </c>
      <c r="C943" s="84" t="str">
        <f>IF(PROGRAMA_DETALLE!A243="","","Tintorería")</f>
        <v/>
      </c>
      <c r="D943" s="94" t="str">
        <f>IF(PROGRAMA_DETALLE!AB243="","",PROGRAMA_DETALLE!AB243)</f>
        <v/>
      </c>
      <c r="E943" s="84" t="str">
        <f>IF(PROGRAMA_DETALLE!A243="","","Teñido "&amp;PROGRAMA_DETALLE!D243&amp;" "&amp;PROGRAMA_DETALLE!B243)</f>
        <v/>
      </c>
      <c r="F943" s="95" t="str">
        <f>IF(PROGRAMA_DETALLE!Z243=0,"",PROGRAMA_DETALLE!Z243)</f>
        <v/>
      </c>
      <c r="G943" s="95">
        <f>IF(PROGRAMA_DETALLE!AC243="PAGADO",PROGRAMA_DETALLE!Z243,0)</f>
        <v>0</v>
      </c>
      <c r="H943" s="95">
        <f>IF(OR(PROGRAMA_DETALLE!AC243="PENDIENTE",PROGRAMA_DETALLE!AC243="PARCIAL"),PROGRAMA_DETALLE!Z243,0)</f>
        <v>0</v>
      </c>
      <c r="I943" s="94" t="str">
        <f>IF(PROGRAMA_DETALLE!AC243="","",PROGRAMA_DETALLE!AC243)</f>
        <v/>
      </c>
    </row>
    <row r="944" ht="15.75" customHeight="1">
      <c r="A944" s="96" t="s">
        <v>236</v>
      </c>
      <c r="B944" s="93" t="str">
        <f>IF(PROGRAMA_DETALLE!Q244="","",PROGRAMA_DETALLE!Q244)</f>
        <v/>
      </c>
      <c r="C944" s="84" t="str">
        <f>IF(PROGRAMA_DETALLE!A244="","","Tintorería")</f>
        <v/>
      </c>
      <c r="D944" s="94" t="str">
        <f>IF(PROGRAMA_DETALLE!AB244="","",PROGRAMA_DETALLE!AB244)</f>
        <v/>
      </c>
      <c r="E944" s="84" t="str">
        <f>IF(PROGRAMA_DETALLE!A244="","","Teñido "&amp;PROGRAMA_DETALLE!D244&amp;" "&amp;PROGRAMA_DETALLE!B244)</f>
        <v/>
      </c>
      <c r="F944" s="95" t="str">
        <f>IF(PROGRAMA_DETALLE!Z244=0,"",PROGRAMA_DETALLE!Z244)</f>
        <v/>
      </c>
      <c r="G944" s="95">
        <f>IF(PROGRAMA_DETALLE!AC244="PAGADO",PROGRAMA_DETALLE!Z244,0)</f>
        <v>0</v>
      </c>
      <c r="H944" s="95">
        <f>IF(OR(PROGRAMA_DETALLE!AC244="PENDIENTE",PROGRAMA_DETALLE!AC244="PARCIAL"),PROGRAMA_DETALLE!Z244,0)</f>
        <v>0</v>
      </c>
      <c r="I944" s="94" t="str">
        <f>IF(PROGRAMA_DETALLE!AC244="","",PROGRAMA_DETALLE!AC244)</f>
        <v/>
      </c>
    </row>
    <row r="945" ht="15.75" customHeight="1">
      <c r="A945" s="96" t="s">
        <v>236</v>
      </c>
      <c r="B945" s="93" t="str">
        <f>IF(PROGRAMA_DETALLE!Q245="","",PROGRAMA_DETALLE!Q245)</f>
        <v/>
      </c>
      <c r="C945" s="84" t="str">
        <f>IF(PROGRAMA_DETALLE!A245="","","Tintorería")</f>
        <v/>
      </c>
      <c r="D945" s="94" t="str">
        <f>IF(PROGRAMA_DETALLE!AB245="","",PROGRAMA_DETALLE!AB245)</f>
        <v/>
      </c>
      <c r="E945" s="84" t="str">
        <f>IF(PROGRAMA_DETALLE!A245="","","Teñido "&amp;PROGRAMA_DETALLE!D245&amp;" "&amp;PROGRAMA_DETALLE!B245)</f>
        <v/>
      </c>
      <c r="F945" s="95" t="str">
        <f>IF(PROGRAMA_DETALLE!Z245=0,"",PROGRAMA_DETALLE!Z245)</f>
        <v/>
      </c>
      <c r="G945" s="95">
        <f>IF(PROGRAMA_DETALLE!AC245="PAGADO",PROGRAMA_DETALLE!Z245,0)</f>
        <v>0</v>
      </c>
      <c r="H945" s="95">
        <f>IF(OR(PROGRAMA_DETALLE!AC245="PENDIENTE",PROGRAMA_DETALLE!AC245="PARCIAL"),PROGRAMA_DETALLE!Z245,0)</f>
        <v>0</v>
      </c>
      <c r="I945" s="94" t="str">
        <f>IF(PROGRAMA_DETALLE!AC245="","",PROGRAMA_DETALLE!AC245)</f>
        <v/>
      </c>
    </row>
    <row r="946" ht="15.75" customHeight="1">
      <c r="A946" s="96" t="s">
        <v>236</v>
      </c>
      <c r="B946" s="93" t="str">
        <f>IF(PROGRAMA_DETALLE!Q246="","",PROGRAMA_DETALLE!Q246)</f>
        <v/>
      </c>
      <c r="C946" s="84" t="str">
        <f>IF(PROGRAMA_DETALLE!A246="","","Tintorería")</f>
        <v/>
      </c>
      <c r="D946" s="94" t="str">
        <f>IF(PROGRAMA_DETALLE!AB246="","",PROGRAMA_DETALLE!AB246)</f>
        <v/>
      </c>
      <c r="E946" s="84" t="str">
        <f>IF(PROGRAMA_DETALLE!A246="","","Teñido "&amp;PROGRAMA_DETALLE!D246&amp;" "&amp;PROGRAMA_DETALLE!B246)</f>
        <v/>
      </c>
      <c r="F946" s="95" t="str">
        <f>IF(PROGRAMA_DETALLE!Z246=0,"",PROGRAMA_DETALLE!Z246)</f>
        <v/>
      </c>
      <c r="G946" s="95">
        <f>IF(PROGRAMA_DETALLE!AC246="PAGADO",PROGRAMA_DETALLE!Z246,0)</f>
        <v>0</v>
      </c>
      <c r="H946" s="95">
        <f>IF(OR(PROGRAMA_DETALLE!AC246="PENDIENTE",PROGRAMA_DETALLE!AC246="PARCIAL"),PROGRAMA_DETALLE!Z246,0)</f>
        <v>0</v>
      </c>
      <c r="I946" s="94" t="str">
        <f>IF(PROGRAMA_DETALLE!AC246="","",PROGRAMA_DETALLE!AC246)</f>
        <v/>
      </c>
    </row>
    <row r="947" ht="15.75" customHeight="1">
      <c r="A947" s="96" t="s">
        <v>236</v>
      </c>
      <c r="B947" s="93" t="str">
        <f>IF(PROGRAMA_DETALLE!Q247="","",PROGRAMA_DETALLE!Q247)</f>
        <v/>
      </c>
      <c r="C947" s="84" t="str">
        <f>IF(PROGRAMA_DETALLE!A247="","","Tintorería")</f>
        <v/>
      </c>
      <c r="D947" s="94" t="str">
        <f>IF(PROGRAMA_DETALLE!AB247="","",PROGRAMA_DETALLE!AB247)</f>
        <v/>
      </c>
      <c r="E947" s="84" t="str">
        <f>IF(PROGRAMA_DETALLE!A247="","","Teñido "&amp;PROGRAMA_DETALLE!D247&amp;" "&amp;PROGRAMA_DETALLE!B247)</f>
        <v/>
      </c>
      <c r="F947" s="95" t="str">
        <f>IF(PROGRAMA_DETALLE!Z247=0,"",PROGRAMA_DETALLE!Z247)</f>
        <v/>
      </c>
      <c r="G947" s="95">
        <f>IF(PROGRAMA_DETALLE!AC247="PAGADO",PROGRAMA_DETALLE!Z247,0)</f>
        <v>0</v>
      </c>
      <c r="H947" s="95">
        <f>IF(OR(PROGRAMA_DETALLE!AC247="PENDIENTE",PROGRAMA_DETALLE!AC247="PARCIAL"),PROGRAMA_DETALLE!Z247,0)</f>
        <v>0</v>
      </c>
      <c r="I947" s="94" t="str">
        <f>IF(PROGRAMA_DETALLE!AC247="","",PROGRAMA_DETALLE!AC247)</f>
        <v/>
      </c>
    </row>
    <row r="948" ht="15.75" customHeight="1">
      <c r="A948" s="96" t="s">
        <v>236</v>
      </c>
      <c r="B948" s="93" t="str">
        <f>IF(PROGRAMA_DETALLE!Q248="","",PROGRAMA_DETALLE!Q248)</f>
        <v/>
      </c>
      <c r="C948" s="84" t="str">
        <f>IF(PROGRAMA_DETALLE!A248="","","Tintorería")</f>
        <v/>
      </c>
      <c r="D948" s="94" t="str">
        <f>IF(PROGRAMA_DETALLE!AB248="","",PROGRAMA_DETALLE!AB248)</f>
        <v/>
      </c>
      <c r="E948" s="84" t="str">
        <f>IF(PROGRAMA_DETALLE!A248="","","Teñido "&amp;PROGRAMA_DETALLE!D248&amp;" "&amp;PROGRAMA_DETALLE!B248)</f>
        <v/>
      </c>
      <c r="F948" s="95" t="str">
        <f>IF(PROGRAMA_DETALLE!Z248=0,"",PROGRAMA_DETALLE!Z248)</f>
        <v/>
      </c>
      <c r="G948" s="95">
        <f>IF(PROGRAMA_DETALLE!AC248="PAGADO",PROGRAMA_DETALLE!Z248,0)</f>
        <v>0</v>
      </c>
      <c r="H948" s="95">
        <f>IF(OR(PROGRAMA_DETALLE!AC248="PENDIENTE",PROGRAMA_DETALLE!AC248="PARCIAL"),PROGRAMA_DETALLE!Z248,0)</f>
        <v>0</v>
      </c>
      <c r="I948" s="94" t="str">
        <f>IF(PROGRAMA_DETALLE!AC248="","",PROGRAMA_DETALLE!AC248)</f>
        <v/>
      </c>
    </row>
    <row r="949" ht="15.75" customHeight="1">
      <c r="A949" s="96" t="s">
        <v>236</v>
      </c>
      <c r="B949" s="93" t="str">
        <f>IF(PROGRAMA_DETALLE!Q249="","",PROGRAMA_DETALLE!Q249)</f>
        <v/>
      </c>
      <c r="C949" s="84" t="str">
        <f>IF(PROGRAMA_DETALLE!A249="","","Tintorería")</f>
        <v/>
      </c>
      <c r="D949" s="94" t="str">
        <f>IF(PROGRAMA_DETALLE!AB249="","",PROGRAMA_DETALLE!AB249)</f>
        <v/>
      </c>
      <c r="E949" s="84" t="str">
        <f>IF(PROGRAMA_DETALLE!A249="","","Teñido "&amp;PROGRAMA_DETALLE!D249&amp;" "&amp;PROGRAMA_DETALLE!B249)</f>
        <v/>
      </c>
      <c r="F949" s="95" t="str">
        <f>IF(PROGRAMA_DETALLE!Z249=0,"",PROGRAMA_DETALLE!Z249)</f>
        <v/>
      </c>
      <c r="G949" s="95">
        <f>IF(PROGRAMA_DETALLE!AC249="PAGADO",PROGRAMA_DETALLE!Z249,0)</f>
        <v>0</v>
      </c>
      <c r="H949" s="95">
        <f>IF(OR(PROGRAMA_DETALLE!AC249="PENDIENTE",PROGRAMA_DETALLE!AC249="PARCIAL"),PROGRAMA_DETALLE!Z249,0)</f>
        <v>0</v>
      </c>
      <c r="I949" s="94" t="str">
        <f>IF(PROGRAMA_DETALLE!AC249="","",PROGRAMA_DETALLE!AC249)</f>
        <v/>
      </c>
    </row>
    <row r="950" ht="15.75" customHeight="1">
      <c r="A950" s="96" t="s">
        <v>236</v>
      </c>
      <c r="B950" s="93" t="str">
        <f>IF(PROGRAMA_DETALLE!Q250="","",PROGRAMA_DETALLE!Q250)</f>
        <v/>
      </c>
      <c r="C950" s="84" t="str">
        <f>IF(PROGRAMA_DETALLE!A250="","","Tintorería")</f>
        <v/>
      </c>
      <c r="D950" s="94" t="str">
        <f>IF(PROGRAMA_DETALLE!AB250="","",PROGRAMA_DETALLE!AB250)</f>
        <v/>
      </c>
      <c r="E950" s="84" t="str">
        <f>IF(PROGRAMA_DETALLE!A250="","","Teñido "&amp;PROGRAMA_DETALLE!D250&amp;" "&amp;PROGRAMA_DETALLE!B250)</f>
        <v/>
      </c>
      <c r="F950" s="95" t="str">
        <f>IF(PROGRAMA_DETALLE!Z250=0,"",PROGRAMA_DETALLE!Z250)</f>
        <v/>
      </c>
      <c r="G950" s="95">
        <f>IF(PROGRAMA_DETALLE!AC250="PAGADO",PROGRAMA_DETALLE!Z250,0)</f>
        <v>0</v>
      </c>
      <c r="H950" s="95">
        <f>IF(OR(PROGRAMA_DETALLE!AC250="PENDIENTE",PROGRAMA_DETALLE!AC250="PARCIAL"),PROGRAMA_DETALLE!Z250,0)</f>
        <v>0</v>
      </c>
      <c r="I950" s="94" t="str">
        <f>IF(PROGRAMA_DETALLE!AC250="","",PROGRAMA_DETALLE!AC250)</f>
        <v/>
      </c>
    </row>
    <row r="951" ht="15.75" customHeight="1">
      <c r="A951" s="96" t="s">
        <v>236</v>
      </c>
      <c r="B951" s="93" t="str">
        <f>IF(PROGRAMA_DETALLE!Q251="","",PROGRAMA_DETALLE!Q251)</f>
        <v/>
      </c>
      <c r="C951" s="84" t="str">
        <f>IF(PROGRAMA_DETALLE!A251="","","Tintorería")</f>
        <v/>
      </c>
      <c r="D951" s="94" t="str">
        <f>IF(PROGRAMA_DETALLE!AB251="","",PROGRAMA_DETALLE!AB251)</f>
        <v/>
      </c>
      <c r="E951" s="84" t="str">
        <f>IF(PROGRAMA_DETALLE!A251="","","Teñido "&amp;PROGRAMA_DETALLE!D251&amp;" "&amp;PROGRAMA_DETALLE!B251)</f>
        <v/>
      </c>
      <c r="F951" s="95" t="str">
        <f>IF(PROGRAMA_DETALLE!Z251=0,"",PROGRAMA_DETALLE!Z251)</f>
        <v/>
      </c>
      <c r="G951" s="95">
        <f>IF(PROGRAMA_DETALLE!AC251="PAGADO",PROGRAMA_DETALLE!Z251,0)</f>
        <v>0</v>
      </c>
      <c r="H951" s="95">
        <f>IF(OR(PROGRAMA_DETALLE!AC251="PENDIENTE",PROGRAMA_DETALLE!AC251="PARCIAL"),PROGRAMA_DETALLE!Z251,0)</f>
        <v>0</v>
      </c>
      <c r="I951" s="94" t="str">
        <f>IF(PROGRAMA_DETALLE!AC251="","",PROGRAMA_DETALLE!AC251)</f>
        <v/>
      </c>
    </row>
    <row r="952" ht="15.75" customHeight="1">
      <c r="A952" s="96" t="s">
        <v>236</v>
      </c>
      <c r="B952" s="93" t="str">
        <f>IF(PROGRAMA_DETALLE!Q252="","",PROGRAMA_DETALLE!Q252)</f>
        <v/>
      </c>
      <c r="C952" s="84" t="str">
        <f>IF(PROGRAMA_DETALLE!A252="","","Tintorería")</f>
        <v/>
      </c>
      <c r="D952" s="94" t="str">
        <f>IF(PROGRAMA_DETALLE!AB252="","",PROGRAMA_DETALLE!AB252)</f>
        <v/>
      </c>
      <c r="E952" s="84" t="str">
        <f>IF(PROGRAMA_DETALLE!A252="","","Teñido "&amp;PROGRAMA_DETALLE!D252&amp;" "&amp;PROGRAMA_DETALLE!B252)</f>
        <v/>
      </c>
      <c r="F952" s="95" t="str">
        <f>IF(PROGRAMA_DETALLE!Z252=0,"",PROGRAMA_DETALLE!Z252)</f>
        <v/>
      </c>
      <c r="G952" s="95">
        <f>IF(PROGRAMA_DETALLE!AC252="PAGADO",PROGRAMA_DETALLE!Z252,0)</f>
        <v>0</v>
      </c>
      <c r="H952" s="95">
        <f>IF(OR(PROGRAMA_DETALLE!AC252="PENDIENTE",PROGRAMA_DETALLE!AC252="PARCIAL"),PROGRAMA_DETALLE!Z252,0)</f>
        <v>0</v>
      </c>
      <c r="I952" s="94" t="str">
        <f>IF(PROGRAMA_DETALLE!AC252="","",PROGRAMA_DETALLE!AC252)</f>
        <v/>
      </c>
    </row>
    <row r="953" ht="15.75" customHeight="1">
      <c r="A953" s="96" t="s">
        <v>236</v>
      </c>
      <c r="B953" s="93" t="str">
        <f>IF(PROGRAMA_DETALLE!Q253="","",PROGRAMA_DETALLE!Q253)</f>
        <v/>
      </c>
      <c r="C953" s="84" t="str">
        <f>IF(PROGRAMA_DETALLE!A253="","","Tintorería")</f>
        <v/>
      </c>
      <c r="D953" s="94" t="str">
        <f>IF(PROGRAMA_DETALLE!AB253="","",PROGRAMA_DETALLE!AB253)</f>
        <v/>
      </c>
      <c r="E953" s="84" t="str">
        <f>IF(PROGRAMA_DETALLE!A253="","","Teñido "&amp;PROGRAMA_DETALLE!D253&amp;" "&amp;PROGRAMA_DETALLE!B253)</f>
        <v/>
      </c>
      <c r="F953" s="95" t="str">
        <f>IF(PROGRAMA_DETALLE!Z253=0,"",PROGRAMA_DETALLE!Z253)</f>
        <v/>
      </c>
      <c r="G953" s="95">
        <f>IF(PROGRAMA_DETALLE!AC253="PAGADO",PROGRAMA_DETALLE!Z253,0)</f>
        <v>0</v>
      </c>
      <c r="H953" s="95">
        <f>IF(OR(PROGRAMA_DETALLE!AC253="PENDIENTE",PROGRAMA_DETALLE!AC253="PARCIAL"),PROGRAMA_DETALLE!Z253,0)</f>
        <v>0</v>
      </c>
      <c r="I953" s="94" t="str">
        <f>IF(PROGRAMA_DETALLE!AC253="","",PROGRAMA_DETALLE!AC253)</f>
        <v/>
      </c>
    </row>
    <row r="954" ht="15.75" customHeight="1">
      <c r="A954" s="96" t="s">
        <v>236</v>
      </c>
      <c r="B954" s="93" t="str">
        <f>IF(PROGRAMA_DETALLE!Q254="","",PROGRAMA_DETALLE!Q254)</f>
        <v/>
      </c>
      <c r="C954" s="84" t="str">
        <f>IF(PROGRAMA_DETALLE!A254="","","Tintorería")</f>
        <v/>
      </c>
      <c r="D954" s="94" t="str">
        <f>IF(PROGRAMA_DETALLE!AB254="","",PROGRAMA_DETALLE!AB254)</f>
        <v/>
      </c>
      <c r="E954" s="84" t="str">
        <f>IF(PROGRAMA_DETALLE!A254="","","Teñido "&amp;PROGRAMA_DETALLE!D254&amp;" "&amp;PROGRAMA_DETALLE!B254)</f>
        <v/>
      </c>
      <c r="F954" s="95" t="str">
        <f>IF(PROGRAMA_DETALLE!Z254=0,"",PROGRAMA_DETALLE!Z254)</f>
        <v/>
      </c>
      <c r="G954" s="95">
        <f>IF(PROGRAMA_DETALLE!AC254="PAGADO",PROGRAMA_DETALLE!Z254,0)</f>
        <v>0</v>
      </c>
      <c r="H954" s="95">
        <f>IF(OR(PROGRAMA_DETALLE!AC254="PENDIENTE",PROGRAMA_DETALLE!AC254="PARCIAL"),PROGRAMA_DETALLE!Z254,0)</f>
        <v>0</v>
      </c>
      <c r="I954" s="94" t="str">
        <f>IF(PROGRAMA_DETALLE!AC254="","",PROGRAMA_DETALLE!AC254)</f>
        <v/>
      </c>
    </row>
    <row r="955" ht="15.75" customHeight="1">
      <c r="A955" s="96" t="s">
        <v>236</v>
      </c>
      <c r="B955" s="93" t="str">
        <f>IF(PROGRAMA_DETALLE!Q255="","",PROGRAMA_DETALLE!Q255)</f>
        <v/>
      </c>
      <c r="C955" s="84" t="str">
        <f>IF(PROGRAMA_DETALLE!A255="","","Tintorería")</f>
        <v/>
      </c>
      <c r="D955" s="94" t="str">
        <f>IF(PROGRAMA_DETALLE!AB255="","",PROGRAMA_DETALLE!AB255)</f>
        <v/>
      </c>
      <c r="E955" s="84" t="str">
        <f>IF(PROGRAMA_DETALLE!A255="","","Teñido "&amp;PROGRAMA_DETALLE!D255&amp;" "&amp;PROGRAMA_DETALLE!B255)</f>
        <v/>
      </c>
      <c r="F955" s="95" t="str">
        <f>IF(PROGRAMA_DETALLE!Z255=0,"",PROGRAMA_DETALLE!Z255)</f>
        <v/>
      </c>
      <c r="G955" s="95">
        <f>IF(PROGRAMA_DETALLE!AC255="PAGADO",PROGRAMA_DETALLE!Z255,0)</f>
        <v>0</v>
      </c>
      <c r="H955" s="95">
        <f>IF(OR(PROGRAMA_DETALLE!AC255="PENDIENTE",PROGRAMA_DETALLE!AC255="PARCIAL"),PROGRAMA_DETALLE!Z255,0)</f>
        <v>0</v>
      </c>
      <c r="I955" s="94" t="str">
        <f>IF(PROGRAMA_DETALLE!AC255="","",PROGRAMA_DETALLE!AC255)</f>
        <v/>
      </c>
    </row>
    <row r="956" ht="15.75" customHeight="1">
      <c r="A956" s="96" t="s">
        <v>236</v>
      </c>
      <c r="B956" s="93" t="str">
        <f>IF(PROGRAMA_DETALLE!Q256="","",PROGRAMA_DETALLE!Q256)</f>
        <v/>
      </c>
      <c r="C956" s="84" t="str">
        <f>IF(PROGRAMA_DETALLE!A256="","","Tintorería")</f>
        <v/>
      </c>
      <c r="D956" s="94" t="str">
        <f>IF(PROGRAMA_DETALLE!AB256="","",PROGRAMA_DETALLE!AB256)</f>
        <v/>
      </c>
      <c r="E956" s="84" t="str">
        <f>IF(PROGRAMA_DETALLE!A256="","","Teñido "&amp;PROGRAMA_DETALLE!D256&amp;" "&amp;PROGRAMA_DETALLE!B256)</f>
        <v/>
      </c>
      <c r="F956" s="95" t="str">
        <f>IF(PROGRAMA_DETALLE!Z256=0,"",PROGRAMA_DETALLE!Z256)</f>
        <v/>
      </c>
      <c r="G956" s="95">
        <f>IF(PROGRAMA_DETALLE!AC256="PAGADO",PROGRAMA_DETALLE!Z256,0)</f>
        <v>0</v>
      </c>
      <c r="H956" s="95">
        <f>IF(OR(PROGRAMA_DETALLE!AC256="PENDIENTE",PROGRAMA_DETALLE!AC256="PARCIAL"),PROGRAMA_DETALLE!Z256,0)</f>
        <v>0</v>
      </c>
      <c r="I956" s="94" t="str">
        <f>IF(PROGRAMA_DETALLE!AC256="","",PROGRAMA_DETALLE!AC256)</f>
        <v/>
      </c>
    </row>
    <row r="957" ht="15.75" customHeight="1">
      <c r="A957" s="96" t="s">
        <v>236</v>
      </c>
      <c r="B957" s="93" t="str">
        <f>IF(PROGRAMA_DETALLE!Q257="","",PROGRAMA_DETALLE!Q257)</f>
        <v/>
      </c>
      <c r="C957" s="84" t="str">
        <f>IF(PROGRAMA_DETALLE!A257="","","Tintorería")</f>
        <v/>
      </c>
      <c r="D957" s="94" t="str">
        <f>IF(PROGRAMA_DETALLE!AB257="","",PROGRAMA_DETALLE!AB257)</f>
        <v/>
      </c>
      <c r="E957" s="84" t="str">
        <f>IF(PROGRAMA_DETALLE!A257="","","Teñido "&amp;PROGRAMA_DETALLE!D257&amp;" "&amp;PROGRAMA_DETALLE!B257)</f>
        <v/>
      </c>
      <c r="F957" s="95" t="str">
        <f>IF(PROGRAMA_DETALLE!Z257=0,"",PROGRAMA_DETALLE!Z257)</f>
        <v/>
      </c>
      <c r="G957" s="95">
        <f>IF(PROGRAMA_DETALLE!AC257="PAGADO",PROGRAMA_DETALLE!Z257,0)</f>
        <v>0</v>
      </c>
      <c r="H957" s="95">
        <f>IF(OR(PROGRAMA_DETALLE!AC257="PENDIENTE",PROGRAMA_DETALLE!AC257="PARCIAL"),PROGRAMA_DETALLE!Z257,0)</f>
        <v>0</v>
      </c>
      <c r="I957" s="94" t="str">
        <f>IF(PROGRAMA_DETALLE!AC257="","",PROGRAMA_DETALLE!AC257)</f>
        <v/>
      </c>
    </row>
    <row r="958" ht="15.75" customHeight="1">
      <c r="A958" s="96" t="s">
        <v>236</v>
      </c>
      <c r="B958" s="93" t="str">
        <f>IF(PROGRAMA_DETALLE!Q258="","",PROGRAMA_DETALLE!Q258)</f>
        <v/>
      </c>
      <c r="C958" s="84" t="str">
        <f>IF(PROGRAMA_DETALLE!A258="","","Tintorería")</f>
        <v/>
      </c>
      <c r="D958" s="94" t="str">
        <f>IF(PROGRAMA_DETALLE!AB258="","",PROGRAMA_DETALLE!AB258)</f>
        <v/>
      </c>
      <c r="E958" s="84" t="str">
        <f>IF(PROGRAMA_DETALLE!A258="","","Teñido "&amp;PROGRAMA_DETALLE!D258&amp;" "&amp;PROGRAMA_DETALLE!B258)</f>
        <v/>
      </c>
      <c r="F958" s="95" t="str">
        <f>IF(PROGRAMA_DETALLE!Z258=0,"",PROGRAMA_DETALLE!Z258)</f>
        <v/>
      </c>
      <c r="G958" s="95">
        <f>IF(PROGRAMA_DETALLE!AC258="PAGADO",PROGRAMA_DETALLE!Z258,0)</f>
        <v>0</v>
      </c>
      <c r="H958" s="95">
        <f>IF(OR(PROGRAMA_DETALLE!AC258="PENDIENTE",PROGRAMA_DETALLE!AC258="PARCIAL"),PROGRAMA_DETALLE!Z258,0)</f>
        <v>0</v>
      </c>
      <c r="I958" s="94" t="str">
        <f>IF(PROGRAMA_DETALLE!AC258="","",PROGRAMA_DETALLE!AC258)</f>
        <v/>
      </c>
    </row>
    <row r="959" ht="15.75" customHeight="1">
      <c r="A959" s="96" t="s">
        <v>236</v>
      </c>
      <c r="B959" s="93" t="str">
        <f>IF(PROGRAMA_DETALLE!Q259="","",PROGRAMA_DETALLE!Q259)</f>
        <v/>
      </c>
      <c r="C959" s="84" t="str">
        <f>IF(PROGRAMA_DETALLE!A259="","","Tintorería")</f>
        <v/>
      </c>
      <c r="D959" s="94" t="str">
        <f>IF(PROGRAMA_DETALLE!AB259="","",PROGRAMA_DETALLE!AB259)</f>
        <v/>
      </c>
      <c r="E959" s="84" t="str">
        <f>IF(PROGRAMA_DETALLE!A259="","","Teñido "&amp;PROGRAMA_DETALLE!D259&amp;" "&amp;PROGRAMA_DETALLE!B259)</f>
        <v/>
      </c>
      <c r="F959" s="95" t="str">
        <f>IF(PROGRAMA_DETALLE!Z259=0,"",PROGRAMA_DETALLE!Z259)</f>
        <v/>
      </c>
      <c r="G959" s="95">
        <f>IF(PROGRAMA_DETALLE!AC259="PAGADO",PROGRAMA_DETALLE!Z259,0)</f>
        <v>0</v>
      </c>
      <c r="H959" s="95">
        <f>IF(OR(PROGRAMA_DETALLE!AC259="PENDIENTE",PROGRAMA_DETALLE!AC259="PARCIAL"),PROGRAMA_DETALLE!Z259,0)</f>
        <v>0</v>
      </c>
      <c r="I959" s="94" t="str">
        <f>IF(PROGRAMA_DETALLE!AC259="","",PROGRAMA_DETALLE!AC259)</f>
        <v/>
      </c>
    </row>
    <row r="960" ht="15.75" customHeight="1">
      <c r="A960" s="96" t="s">
        <v>236</v>
      </c>
      <c r="B960" s="93" t="str">
        <f>IF(PROGRAMA_DETALLE!Q260="","",PROGRAMA_DETALLE!Q260)</f>
        <v/>
      </c>
      <c r="C960" s="84" t="str">
        <f>IF(PROGRAMA_DETALLE!A260="","","Tintorería")</f>
        <v/>
      </c>
      <c r="D960" s="94" t="str">
        <f>IF(PROGRAMA_DETALLE!AB260="","",PROGRAMA_DETALLE!AB260)</f>
        <v/>
      </c>
      <c r="E960" s="84" t="str">
        <f>IF(PROGRAMA_DETALLE!A260="","","Teñido "&amp;PROGRAMA_DETALLE!D260&amp;" "&amp;PROGRAMA_DETALLE!B260)</f>
        <v/>
      </c>
      <c r="F960" s="95" t="str">
        <f>IF(PROGRAMA_DETALLE!Z260=0,"",PROGRAMA_DETALLE!Z260)</f>
        <v/>
      </c>
      <c r="G960" s="95">
        <f>IF(PROGRAMA_DETALLE!AC260="PAGADO",PROGRAMA_DETALLE!Z260,0)</f>
        <v>0</v>
      </c>
      <c r="H960" s="95">
        <f>IF(OR(PROGRAMA_DETALLE!AC260="PENDIENTE",PROGRAMA_DETALLE!AC260="PARCIAL"),PROGRAMA_DETALLE!Z260,0)</f>
        <v>0</v>
      </c>
      <c r="I960" s="94" t="str">
        <f>IF(PROGRAMA_DETALLE!AC260="","",PROGRAMA_DETALLE!AC260)</f>
        <v/>
      </c>
    </row>
    <row r="961" ht="15.75" customHeight="1">
      <c r="A961" s="96" t="s">
        <v>236</v>
      </c>
      <c r="B961" s="93" t="str">
        <f>IF(PROGRAMA_DETALLE!Q261="","",PROGRAMA_DETALLE!Q261)</f>
        <v/>
      </c>
      <c r="C961" s="84" t="str">
        <f>IF(PROGRAMA_DETALLE!A261="","","Tintorería")</f>
        <v/>
      </c>
      <c r="D961" s="94" t="str">
        <f>IF(PROGRAMA_DETALLE!AB261="","",PROGRAMA_DETALLE!AB261)</f>
        <v/>
      </c>
      <c r="E961" s="84" t="str">
        <f>IF(PROGRAMA_DETALLE!A261="","","Teñido "&amp;PROGRAMA_DETALLE!D261&amp;" "&amp;PROGRAMA_DETALLE!B261)</f>
        <v/>
      </c>
      <c r="F961" s="95" t="str">
        <f>IF(PROGRAMA_DETALLE!Z261=0,"",PROGRAMA_DETALLE!Z261)</f>
        <v/>
      </c>
      <c r="G961" s="95">
        <f>IF(PROGRAMA_DETALLE!AC261="PAGADO",PROGRAMA_DETALLE!Z261,0)</f>
        <v>0</v>
      </c>
      <c r="H961" s="95">
        <f>IF(OR(PROGRAMA_DETALLE!AC261="PENDIENTE",PROGRAMA_DETALLE!AC261="PARCIAL"),PROGRAMA_DETALLE!Z261,0)</f>
        <v>0</v>
      </c>
      <c r="I961" s="94" t="str">
        <f>IF(PROGRAMA_DETALLE!AC261="","",PROGRAMA_DETALLE!AC261)</f>
        <v/>
      </c>
    </row>
    <row r="962" ht="15.75" customHeight="1">
      <c r="A962" s="96" t="s">
        <v>236</v>
      </c>
      <c r="B962" s="93" t="str">
        <f>IF(PROGRAMA_DETALLE!Q262="","",PROGRAMA_DETALLE!Q262)</f>
        <v/>
      </c>
      <c r="C962" s="84" t="str">
        <f>IF(PROGRAMA_DETALLE!A262="","","Tintorería")</f>
        <v/>
      </c>
      <c r="D962" s="94" t="str">
        <f>IF(PROGRAMA_DETALLE!AB262="","",PROGRAMA_DETALLE!AB262)</f>
        <v/>
      </c>
      <c r="E962" s="84" t="str">
        <f>IF(PROGRAMA_DETALLE!A262="","","Teñido "&amp;PROGRAMA_DETALLE!D262&amp;" "&amp;PROGRAMA_DETALLE!B262)</f>
        <v/>
      </c>
      <c r="F962" s="95" t="str">
        <f>IF(PROGRAMA_DETALLE!Z262=0,"",PROGRAMA_DETALLE!Z262)</f>
        <v/>
      </c>
      <c r="G962" s="95">
        <f>IF(PROGRAMA_DETALLE!AC262="PAGADO",PROGRAMA_DETALLE!Z262,0)</f>
        <v>0</v>
      </c>
      <c r="H962" s="95">
        <f>IF(OR(PROGRAMA_DETALLE!AC262="PENDIENTE",PROGRAMA_DETALLE!AC262="PARCIAL"),PROGRAMA_DETALLE!Z262,0)</f>
        <v>0</v>
      </c>
      <c r="I962" s="94" t="str">
        <f>IF(PROGRAMA_DETALLE!AC262="","",PROGRAMA_DETALLE!AC262)</f>
        <v/>
      </c>
    </row>
    <row r="963" ht="15.75" customHeight="1">
      <c r="A963" s="96" t="s">
        <v>236</v>
      </c>
      <c r="B963" s="93" t="str">
        <f>IF(PROGRAMA_DETALLE!Q263="","",PROGRAMA_DETALLE!Q263)</f>
        <v/>
      </c>
      <c r="C963" s="84" t="str">
        <f>IF(PROGRAMA_DETALLE!A263="","","Tintorería")</f>
        <v/>
      </c>
      <c r="D963" s="94" t="str">
        <f>IF(PROGRAMA_DETALLE!AB263="","",PROGRAMA_DETALLE!AB263)</f>
        <v/>
      </c>
      <c r="E963" s="84" t="str">
        <f>IF(PROGRAMA_DETALLE!A263="","","Teñido "&amp;PROGRAMA_DETALLE!D263&amp;" "&amp;PROGRAMA_DETALLE!B263)</f>
        <v/>
      </c>
      <c r="F963" s="95" t="str">
        <f>IF(PROGRAMA_DETALLE!Z263=0,"",PROGRAMA_DETALLE!Z263)</f>
        <v/>
      </c>
      <c r="G963" s="95">
        <f>IF(PROGRAMA_DETALLE!AC263="PAGADO",PROGRAMA_DETALLE!Z263,0)</f>
        <v>0</v>
      </c>
      <c r="H963" s="95">
        <f>IF(OR(PROGRAMA_DETALLE!AC263="PENDIENTE",PROGRAMA_DETALLE!AC263="PARCIAL"),PROGRAMA_DETALLE!Z263,0)</f>
        <v>0</v>
      </c>
      <c r="I963" s="94" t="str">
        <f>IF(PROGRAMA_DETALLE!AC263="","",PROGRAMA_DETALLE!AC263)</f>
        <v/>
      </c>
    </row>
    <row r="964" ht="15.75" customHeight="1">
      <c r="A964" s="96" t="s">
        <v>236</v>
      </c>
      <c r="B964" s="93" t="str">
        <f>IF(PROGRAMA_DETALLE!Q264="","",PROGRAMA_DETALLE!Q264)</f>
        <v/>
      </c>
      <c r="C964" s="84" t="str">
        <f>IF(PROGRAMA_DETALLE!A264="","","Tintorería")</f>
        <v/>
      </c>
      <c r="D964" s="94" t="str">
        <f>IF(PROGRAMA_DETALLE!AB264="","",PROGRAMA_DETALLE!AB264)</f>
        <v/>
      </c>
      <c r="E964" s="84" t="str">
        <f>IF(PROGRAMA_DETALLE!A264="","","Teñido "&amp;PROGRAMA_DETALLE!D264&amp;" "&amp;PROGRAMA_DETALLE!B264)</f>
        <v/>
      </c>
      <c r="F964" s="95" t="str">
        <f>IF(PROGRAMA_DETALLE!Z264=0,"",PROGRAMA_DETALLE!Z264)</f>
        <v/>
      </c>
      <c r="G964" s="95">
        <f>IF(PROGRAMA_DETALLE!AC264="PAGADO",PROGRAMA_DETALLE!Z264,0)</f>
        <v>0</v>
      </c>
      <c r="H964" s="95">
        <f>IF(OR(PROGRAMA_DETALLE!AC264="PENDIENTE",PROGRAMA_DETALLE!AC264="PARCIAL"),PROGRAMA_DETALLE!Z264,0)</f>
        <v>0</v>
      </c>
      <c r="I964" s="94" t="str">
        <f>IF(PROGRAMA_DETALLE!AC264="","",PROGRAMA_DETALLE!AC264)</f>
        <v/>
      </c>
    </row>
    <row r="965" ht="15.75" customHeight="1">
      <c r="A965" s="96" t="s">
        <v>236</v>
      </c>
      <c r="B965" s="93" t="str">
        <f>IF(PROGRAMA_DETALLE!Q265="","",PROGRAMA_DETALLE!Q265)</f>
        <v/>
      </c>
      <c r="C965" s="84" t="str">
        <f>IF(PROGRAMA_DETALLE!A265="","","Tintorería")</f>
        <v/>
      </c>
      <c r="D965" s="94" t="str">
        <f>IF(PROGRAMA_DETALLE!AB265="","",PROGRAMA_DETALLE!AB265)</f>
        <v/>
      </c>
      <c r="E965" s="84" t="str">
        <f>IF(PROGRAMA_DETALLE!A265="","","Teñido "&amp;PROGRAMA_DETALLE!D265&amp;" "&amp;PROGRAMA_DETALLE!B265)</f>
        <v/>
      </c>
      <c r="F965" s="95" t="str">
        <f>IF(PROGRAMA_DETALLE!Z265=0,"",PROGRAMA_DETALLE!Z265)</f>
        <v/>
      </c>
      <c r="G965" s="95">
        <f>IF(PROGRAMA_DETALLE!AC265="PAGADO",PROGRAMA_DETALLE!Z265,0)</f>
        <v>0</v>
      </c>
      <c r="H965" s="95">
        <f>IF(OR(PROGRAMA_DETALLE!AC265="PENDIENTE",PROGRAMA_DETALLE!AC265="PARCIAL"),PROGRAMA_DETALLE!Z265,0)</f>
        <v>0</v>
      </c>
      <c r="I965" s="94" t="str">
        <f>IF(PROGRAMA_DETALLE!AC265="","",PROGRAMA_DETALLE!AC265)</f>
        <v/>
      </c>
    </row>
    <row r="966" ht="15.75" customHeight="1">
      <c r="A966" s="96" t="s">
        <v>236</v>
      </c>
      <c r="B966" s="93" t="str">
        <f>IF(PROGRAMA_DETALLE!Q266="","",PROGRAMA_DETALLE!Q266)</f>
        <v/>
      </c>
      <c r="C966" s="84" t="str">
        <f>IF(PROGRAMA_DETALLE!A266="","","Tintorería")</f>
        <v/>
      </c>
      <c r="D966" s="94" t="str">
        <f>IF(PROGRAMA_DETALLE!AB266="","",PROGRAMA_DETALLE!AB266)</f>
        <v/>
      </c>
      <c r="E966" s="84" t="str">
        <f>IF(PROGRAMA_DETALLE!A266="","","Teñido "&amp;PROGRAMA_DETALLE!D266&amp;" "&amp;PROGRAMA_DETALLE!B266)</f>
        <v/>
      </c>
      <c r="F966" s="95" t="str">
        <f>IF(PROGRAMA_DETALLE!Z266=0,"",PROGRAMA_DETALLE!Z266)</f>
        <v/>
      </c>
      <c r="G966" s="95">
        <f>IF(PROGRAMA_DETALLE!AC266="PAGADO",PROGRAMA_DETALLE!Z266,0)</f>
        <v>0</v>
      </c>
      <c r="H966" s="95">
        <f>IF(OR(PROGRAMA_DETALLE!AC266="PENDIENTE",PROGRAMA_DETALLE!AC266="PARCIAL"),PROGRAMA_DETALLE!Z266,0)</f>
        <v>0</v>
      </c>
      <c r="I966" s="94" t="str">
        <f>IF(PROGRAMA_DETALLE!AC266="","",PROGRAMA_DETALLE!AC266)</f>
        <v/>
      </c>
    </row>
    <row r="967" ht="15.75" customHeight="1">
      <c r="A967" s="96" t="s">
        <v>236</v>
      </c>
      <c r="B967" s="93" t="str">
        <f>IF(PROGRAMA_DETALLE!Q267="","",PROGRAMA_DETALLE!Q267)</f>
        <v/>
      </c>
      <c r="C967" s="84" t="str">
        <f>IF(PROGRAMA_DETALLE!A267="","","Tintorería")</f>
        <v/>
      </c>
      <c r="D967" s="94" t="str">
        <f>IF(PROGRAMA_DETALLE!AB267="","",PROGRAMA_DETALLE!AB267)</f>
        <v/>
      </c>
      <c r="E967" s="84" t="str">
        <f>IF(PROGRAMA_DETALLE!A267="","","Teñido "&amp;PROGRAMA_DETALLE!D267&amp;" "&amp;PROGRAMA_DETALLE!B267)</f>
        <v/>
      </c>
      <c r="F967" s="95" t="str">
        <f>IF(PROGRAMA_DETALLE!Z267=0,"",PROGRAMA_DETALLE!Z267)</f>
        <v/>
      </c>
      <c r="G967" s="95">
        <f>IF(PROGRAMA_DETALLE!AC267="PAGADO",PROGRAMA_DETALLE!Z267,0)</f>
        <v>0</v>
      </c>
      <c r="H967" s="95">
        <f>IF(OR(PROGRAMA_DETALLE!AC267="PENDIENTE",PROGRAMA_DETALLE!AC267="PARCIAL"),PROGRAMA_DETALLE!Z267,0)</f>
        <v>0</v>
      </c>
      <c r="I967" s="94" t="str">
        <f>IF(PROGRAMA_DETALLE!AC267="","",PROGRAMA_DETALLE!AC267)</f>
        <v/>
      </c>
    </row>
    <row r="968" ht="15.75" customHeight="1">
      <c r="A968" s="96" t="s">
        <v>236</v>
      </c>
      <c r="B968" s="93" t="str">
        <f>IF(PROGRAMA_DETALLE!Q268="","",PROGRAMA_DETALLE!Q268)</f>
        <v/>
      </c>
      <c r="C968" s="84" t="str">
        <f>IF(PROGRAMA_DETALLE!A268="","","Tintorería")</f>
        <v/>
      </c>
      <c r="D968" s="94" t="str">
        <f>IF(PROGRAMA_DETALLE!AB268="","",PROGRAMA_DETALLE!AB268)</f>
        <v/>
      </c>
      <c r="E968" s="84" t="str">
        <f>IF(PROGRAMA_DETALLE!A268="","","Teñido "&amp;PROGRAMA_DETALLE!D268&amp;" "&amp;PROGRAMA_DETALLE!B268)</f>
        <v/>
      </c>
      <c r="F968" s="95" t="str">
        <f>IF(PROGRAMA_DETALLE!Z268=0,"",PROGRAMA_DETALLE!Z268)</f>
        <v/>
      </c>
      <c r="G968" s="95">
        <f>IF(PROGRAMA_DETALLE!AC268="PAGADO",PROGRAMA_DETALLE!Z268,0)</f>
        <v>0</v>
      </c>
      <c r="H968" s="95">
        <f>IF(OR(PROGRAMA_DETALLE!AC268="PENDIENTE",PROGRAMA_DETALLE!AC268="PARCIAL"),PROGRAMA_DETALLE!Z268,0)</f>
        <v>0</v>
      </c>
      <c r="I968" s="94" t="str">
        <f>IF(PROGRAMA_DETALLE!AC268="","",PROGRAMA_DETALLE!AC268)</f>
        <v/>
      </c>
    </row>
    <row r="969" ht="15.75" customHeight="1">
      <c r="A969" s="96" t="s">
        <v>236</v>
      </c>
      <c r="B969" s="93" t="str">
        <f>IF(PROGRAMA_DETALLE!Q269="","",PROGRAMA_DETALLE!Q269)</f>
        <v/>
      </c>
      <c r="C969" s="84" t="str">
        <f>IF(PROGRAMA_DETALLE!A269="","","Tintorería")</f>
        <v/>
      </c>
      <c r="D969" s="94" t="str">
        <f>IF(PROGRAMA_DETALLE!AB269="","",PROGRAMA_DETALLE!AB269)</f>
        <v/>
      </c>
      <c r="E969" s="84" t="str">
        <f>IF(PROGRAMA_DETALLE!A269="","","Teñido "&amp;PROGRAMA_DETALLE!D269&amp;" "&amp;PROGRAMA_DETALLE!B269)</f>
        <v/>
      </c>
      <c r="F969" s="95" t="str">
        <f>IF(PROGRAMA_DETALLE!Z269=0,"",PROGRAMA_DETALLE!Z269)</f>
        <v/>
      </c>
      <c r="G969" s="95">
        <f>IF(PROGRAMA_DETALLE!AC269="PAGADO",PROGRAMA_DETALLE!Z269,0)</f>
        <v>0</v>
      </c>
      <c r="H969" s="95">
        <f>IF(OR(PROGRAMA_DETALLE!AC269="PENDIENTE",PROGRAMA_DETALLE!AC269="PARCIAL"),PROGRAMA_DETALLE!Z269,0)</f>
        <v>0</v>
      </c>
      <c r="I969" s="94" t="str">
        <f>IF(PROGRAMA_DETALLE!AC269="","",PROGRAMA_DETALLE!AC269)</f>
        <v/>
      </c>
    </row>
    <row r="970" ht="15.75" customHeight="1">
      <c r="A970" s="96" t="s">
        <v>236</v>
      </c>
      <c r="B970" s="93" t="str">
        <f>IF(PROGRAMA_DETALLE!Q270="","",PROGRAMA_DETALLE!Q270)</f>
        <v/>
      </c>
      <c r="C970" s="84" t="str">
        <f>IF(PROGRAMA_DETALLE!A270="","","Tintorería")</f>
        <v/>
      </c>
      <c r="D970" s="94" t="str">
        <f>IF(PROGRAMA_DETALLE!AB270="","",PROGRAMA_DETALLE!AB270)</f>
        <v/>
      </c>
      <c r="E970" s="84" t="str">
        <f>IF(PROGRAMA_DETALLE!A270="","","Teñido "&amp;PROGRAMA_DETALLE!D270&amp;" "&amp;PROGRAMA_DETALLE!B270)</f>
        <v/>
      </c>
      <c r="F970" s="95" t="str">
        <f>IF(PROGRAMA_DETALLE!Z270=0,"",PROGRAMA_DETALLE!Z270)</f>
        <v/>
      </c>
      <c r="G970" s="95">
        <f>IF(PROGRAMA_DETALLE!AC270="PAGADO",PROGRAMA_DETALLE!Z270,0)</f>
        <v>0</v>
      </c>
      <c r="H970" s="95">
        <f>IF(OR(PROGRAMA_DETALLE!AC270="PENDIENTE",PROGRAMA_DETALLE!AC270="PARCIAL"),PROGRAMA_DETALLE!Z270,0)</f>
        <v>0</v>
      </c>
      <c r="I970" s="94" t="str">
        <f>IF(PROGRAMA_DETALLE!AC270="","",PROGRAMA_DETALLE!AC270)</f>
        <v/>
      </c>
    </row>
    <row r="971" ht="15.75" customHeight="1">
      <c r="A971" s="96" t="s">
        <v>236</v>
      </c>
      <c r="B971" s="93" t="str">
        <f>IF(PROGRAMA_DETALLE!Q271="","",PROGRAMA_DETALLE!Q271)</f>
        <v/>
      </c>
      <c r="C971" s="84" t="str">
        <f>IF(PROGRAMA_DETALLE!A271="","","Tintorería")</f>
        <v/>
      </c>
      <c r="D971" s="94" t="str">
        <f>IF(PROGRAMA_DETALLE!AB271="","",PROGRAMA_DETALLE!AB271)</f>
        <v/>
      </c>
      <c r="E971" s="84" t="str">
        <f>IF(PROGRAMA_DETALLE!A271="","","Teñido "&amp;PROGRAMA_DETALLE!D271&amp;" "&amp;PROGRAMA_DETALLE!B271)</f>
        <v/>
      </c>
      <c r="F971" s="95" t="str">
        <f>IF(PROGRAMA_DETALLE!Z271=0,"",PROGRAMA_DETALLE!Z271)</f>
        <v/>
      </c>
      <c r="G971" s="95">
        <f>IF(PROGRAMA_DETALLE!AC271="PAGADO",PROGRAMA_DETALLE!Z271,0)</f>
        <v>0</v>
      </c>
      <c r="H971" s="95">
        <f>IF(OR(PROGRAMA_DETALLE!AC271="PENDIENTE",PROGRAMA_DETALLE!AC271="PARCIAL"),PROGRAMA_DETALLE!Z271,0)</f>
        <v>0</v>
      </c>
      <c r="I971" s="94" t="str">
        <f>IF(PROGRAMA_DETALLE!AC271="","",PROGRAMA_DETALLE!AC271)</f>
        <v/>
      </c>
    </row>
    <row r="972" ht="15.75" customHeight="1">
      <c r="A972" s="96" t="s">
        <v>236</v>
      </c>
      <c r="B972" s="93" t="str">
        <f>IF(PROGRAMA_DETALLE!Q272="","",PROGRAMA_DETALLE!Q272)</f>
        <v/>
      </c>
      <c r="C972" s="84" t="str">
        <f>IF(PROGRAMA_DETALLE!A272="","","Tintorería")</f>
        <v/>
      </c>
      <c r="D972" s="94" t="str">
        <f>IF(PROGRAMA_DETALLE!AB272="","",PROGRAMA_DETALLE!AB272)</f>
        <v/>
      </c>
      <c r="E972" s="84" t="str">
        <f>IF(PROGRAMA_DETALLE!A272="","","Teñido "&amp;PROGRAMA_DETALLE!D272&amp;" "&amp;PROGRAMA_DETALLE!B272)</f>
        <v/>
      </c>
      <c r="F972" s="95" t="str">
        <f>IF(PROGRAMA_DETALLE!Z272=0,"",PROGRAMA_DETALLE!Z272)</f>
        <v/>
      </c>
      <c r="G972" s="95">
        <f>IF(PROGRAMA_DETALLE!AC272="PAGADO",PROGRAMA_DETALLE!Z272,0)</f>
        <v>0</v>
      </c>
      <c r="H972" s="95">
        <f>IF(OR(PROGRAMA_DETALLE!AC272="PENDIENTE",PROGRAMA_DETALLE!AC272="PARCIAL"),PROGRAMA_DETALLE!Z272,0)</f>
        <v>0</v>
      </c>
      <c r="I972" s="94" t="str">
        <f>IF(PROGRAMA_DETALLE!AC272="","",PROGRAMA_DETALLE!AC272)</f>
        <v/>
      </c>
    </row>
    <row r="973" ht="15.75" customHeight="1">
      <c r="A973" s="96" t="s">
        <v>236</v>
      </c>
      <c r="B973" s="93" t="str">
        <f>IF(PROGRAMA_DETALLE!Q273="","",PROGRAMA_DETALLE!Q273)</f>
        <v/>
      </c>
      <c r="C973" s="84" t="str">
        <f>IF(PROGRAMA_DETALLE!A273="","","Tintorería")</f>
        <v/>
      </c>
      <c r="D973" s="94" t="str">
        <f>IF(PROGRAMA_DETALLE!AB273="","",PROGRAMA_DETALLE!AB273)</f>
        <v/>
      </c>
      <c r="E973" s="84" t="str">
        <f>IF(PROGRAMA_DETALLE!A273="","","Teñido "&amp;PROGRAMA_DETALLE!D273&amp;" "&amp;PROGRAMA_DETALLE!B273)</f>
        <v/>
      </c>
      <c r="F973" s="95" t="str">
        <f>IF(PROGRAMA_DETALLE!Z273=0,"",PROGRAMA_DETALLE!Z273)</f>
        <v/>
      </c>
      <c r="G973" s="95">
        <f>IF(PROGRAMA_DETALLE!AC273="PAGADO",PROGRAMA_DETALLE!Z273,0)</f>
        <v>0</v>
      </c>
      <c r="H973" s="95">
        <f>IF(OR(PROGRAMA_DETALLE!AC273="PENDIENTE",PROGRAMA_DETALLE!AC273="PARCIAL"),PROGRAMA_DETALLE!Z273,0)</f>
        <v>0</v>
      </c>
      <c r="I973" s="94" t="str">
        <f>IF(PROGRAMA_DETALLE!AC273="","",PROGRAMA_DETALLE!AC273)</f>
        <v/>
      </c>
    </row>
    <row r="974" ht="15.75" customHeight="1">
      <c r="A974" s="96" t="s">
        <v>236</v>
      </c>
      <c r="B974" s="93" t="str">
        <f>IF(PROGRAMA_DETALLE!Q274="","",PROGRAMA_DETALLE!Q274)</f>
        <v/>
      </c>
      <c r="C974" s="84" t="str">
        <f>IF(PROGRAMA_DETALLE!A274="","","Tintorería")</f>
        <v/>
      </c>
      <c r="D974" s="94" t="str">
        <f>IF(PROGRAMA_DETALLE!AB274="","",PROGRAMA_DETALLE!AB274)</f>
        <v/>
      </c>
      <c r="E974" s="84" t="str">
        <f>IF(PROGRAMA_DETALLE!A274="","","Teñido "&amp;PROGRAMA_DETALLE!D274&amp;" "&amp;PROGRAMA_DETALLE!B274)</f>
        <v/>
      </c>
      <c r="F974" s="95" t="str">
        <f>IF(PROGRAMA_DETALLE!Z274=0,"",PROGRAMA_DETALLE!Z274)</f>
        <v/>
      </c>
      <c r="G974" s="95">
        <f>IF(PROGRAMA_DETALLE!AC274="PAGADO",PROGRAMA_DETALLE!Z274,0)</f>
        <v>0</v>
      </c>
      <c r="H974" s="95">
        <f>IF(OR(PROGRAMA_DETALLE!AC274="PENDIENTE",PROGRAMA_DETALLE!AC274="PARCIAL"),PROGRAMA_DETALLE!Z274,0)</f>
        <v>0</v>
      </c>
      <c r="I974" s="94" t="str">
        <f>IF(PROGRAMA_DETALLE!AC274="","",PROGRAMA_DETALLE!AC274)</f>
        <v/>
      </c>
    </row>
    <row r="975" ht="15.75" customHeight="1">
      <c r="A975" s="96" t="s">
        <v>236</v>
      </c>
      <c r="B975" s="93" t="str">
        <f>IF(PROGRAMA_DETALLE!Q275="","",PROGRAMA_DETALLE!Q275)</f>
        <v/>
      </c>
      <c r="C975" s="84" t="str">
        <f>IF(PROGRAMA_DETALLE!A275="","","Tintorería")</f>
        <v/>
      </c>
      <c r="D975" s="94" t="str">
        <f>IF(PROGRAMA_DETALLE!AB275="","",PROGRAMA_DETALLE!AB275)</f>
        <v/>
      </c>
      <c r="E975" s="84" t="str">
        <f>IF(PROGRAMA_DETALLE!A275="","","Teñido "&amp;PROGRAMA_DETALLE!D275&amp;" "&amp;PROGRAMA_DETALLE!B275)</f>
        <v/>
      </c>
      <c r="F975" s="95" t="str">
        <f>IF(PROGRAMA_DETALLE!Z275=0,"",PROGRAMA_DETALLE!Z275)</f>
        <v/>
      </c>
      <c r="G975" s="95">
        <f>IF(PROGRAMA_DETALLE!AC275="PAGADO",PROGRAMA_DETALLE!Z275,0)</f>
        <v>0</v>
      </c>
      <c r="H975" s="95">
        <f>IF(OR(PROGRAMA_DETALLE!AC275="PENDIENTE",PROGRAMA_DETALLE!AC275="PARCIAL"),PROGRAMA_DETALLE!Z275,0)</f>
        <v>0</v>
      </c>
      <c r="I975" s="94" t="str">
        <f>IF(PROGRAMA_DETALLE!AC275="","",PROGRAMA_DETALLE!AC275)</f>
        <v/>
      </c>
    </row>
    <row r="976" ht="15.75" customHeight="1">
      <c r="A976" s="96" t="s">
        <v>236</v>
      </c>
      <c r="B976" s="93" t="str">
        <f>IF(PROGRAMA_DETALLE!Q276="","",PROGRAMA_DETALLE!Q276)</f>
        <v/>
      </c>
      <c r="C976" s="84" t="str">
        <f>IF(PROGRAMA_DETALLE!A276="","","Tintorería")</f>
        <v/>
      </c>
      <c r="D976" s="94" t="str">
        <f>IF(PROGRAMA_DETALLE!AB276="","",PROGRAMA_DETALLE!AB276)</f>
        <v/>
      </c>
      <c r="E976" s="84" t="str">
        <f>IF(PROGRAMA_DETALLE!A276="","","Teñido "&amp;PROGRAMA_DETALLE!D276&amp;" "&amp;PROGRAMA_DETALLE!B276)</f>
        <v/>
      </c>
      <c r="F976" s="95" t="str">
        <f>IF(PROGRAMA_DETALLE!Z276=0,"",PROGRAMA_DETALLE!Z276)</f>
        <v/>
      </c>
      <c r="G976" s="95">
        <f>IF(PROGRAMA_DETALLE!AC276="PAGADO",PROGRAMA_DETALLE!Z276,0)</f>
        <v>0</v>
      </c>
      <c r="H976" s="95">
        <f>IF(OR(PROGRAMA_DETALLE!AC276="PENDIENTE",PROGRAMA_DETALLE!AC276="PARCIAL"),PROGRAMA_DETALLE!Z276,0)</f>
        <v>0</v>
      </c>
      <c r="I976" s="94" t="str">
        <f>IF(PROGRAMA_DETALLE!AC276="","",PROGRAMA_DETALLE!AC276)</f>
        <v/>
      </c>
    </row>
    <row r="977" ht="15.75" customHeight="1">
      <c r="A977" s="96" t="s">
        <v>236</v>
      </c>
      <c r="B977" s="93" t="str">
        <f>IF(PROGRAMA_DETALLE!Q277="","",PROGRAMA_DETALLE!Q277)</f>
        <v/>
      </c>
      <c r="C977" s="84" t="str">
        <f>IF(PROGRAMA_DETALLE!A277="","","Tintorería")</f>
        <v/>
      </c>
      <c r="D977" s="94" t="str">
        <f>IF(PROGRAMA_DETALLE!AB277="","",PROGRAMA_DETALLE!AB277)</f>
        <v/>
      </c>
      <c r="E977" s="84" t="str">
        <f>IF(PROGRAMA_DETALLE!A277="","","Teñido "&amp;PROGRAMA_DETALLE!D277&amp;" "&amp;PROGRAMA_DETALLE!B277)</f>
        <v/>
      </c>
      <c r="F977" s="95" t="str">
        <f>IF(PROGRAMA_DETALLE!Z277=0,"",PROGRAMA_DETALLE!Z277)</f>
        <v/>
      </c>
      <c r="G977" s="95">
        <f>IF(PROGRAMA_DETALLE!AC277="PAGADO",PROGRAMA_DETALLE!Z277,0)</f>
        <v>0</v>
      </c>
      <c r="H977" s="95">
        <f>IF(OR(PROGRAMA_DETALLE!AC277="PENDIENTE",PROGRAMA_DETALLE!AC277="PARCIAL"),PROGRAMA_DETALLE!Z277,0)</f>
        <v>0</v>
      </c>
      <c r="I977" s="94" t="str">
        <f>IF(PROGRAMA_DETALLE!AC277="","",PROGRAMA_DETALLE!AC277)</f>
        <v/>
      </c>
    </row>
    <row r="978" ht="15.75" customHeight="1">
      <c r="A978" s="96" t="s">
        <v>236</v>
      </c>
      <c r="B978" s="93" t="str">
        <f>IF(PROGRAMA_DETALLE!Q278="","",PROGRAMA_DETALLE!Q278)</f>
        <v/>
      </c>
      <c r="C978" s="84" t="str">
        <f>IF(PROGRAMA_DETALLE!A278="","","Tintorería")</f>
        <v/>
      </c>
      <c r="D978" s="94" t="str">
        <f>IF(PROGRAMA_DETALLE!AB278="","",PROGRAMA_DETALLE!AB278)</f>
        <v/>
      </c>
      <c r="E978" s="84" t="str">
        <f>IF(PROGRAMA_DETALLE!A278="","","Teñido "&amp;PROGRAMA_DETALLE!D278&amp;" "&amp;PROGRAMA_DETALLE!B278)</f>
        <v/>
      </c>
      <c r="F978" s="95" t="str">
        <f>IF(PROGRAMA_DETALLE!Z278=0,"",PROGRAMA_DETALLE!Z278)</f>
        <v/>
      </c>
      <c r="G978" s="95">
        <f>IF(PROGRAMA_DETALLE!AC278="PAGADO",PROGRAMA_DETALLE!Z278,0)</f>
        <v>0</v>
      </c>
      <c r="H978" s="95">
        <f>IF(OR(PROGRAMA_DETALLE!AC278="PENDIENTE",PROGRAMA_DETALLE!AC278="PARCIAL"),PROGRAMA_DETALLE!Z278,0)</f>
        <v>0</v>
      </c>
      <c r="I978" s="94" t="str">
        <f>IF(PROGRAMA_DETALLE!AC278="","",PROGRAMA_DETALLE!AC278)</f>
        <v/>
      </c>
    </row>
    <row r="979" ht="15.75" customHeight="1">
      <c r="A979" s="96" t="s">
        <v>236</v>
      </c>
      <c r="B979" s="93" t="str">
        <f>IF(PROGRAMA_DETALLE!Q279="","",PROGRAMA_DETALLE!Q279)</f>
        <v/>
      </c>
      <c r="C979" s="84" t="str">
        <f>IF(PROGRAMA_DETALLE!A279="","","Tintorería")</f>
        <v/>
      </c>
      <c r="D979" s="94" t="str">
        <f>IF(PROGRAMA_DETALLE!AB279="","",PROGRAMA_DETALLE!AB279)</f>
        <v/>
      </c>
      <c r="E979" s="84" t="str">
        <f>IF(PROGRAMA_DETALLE!A279="","","Teñido "&amp;PROGRAMA_DETALLE!D279&amp;" "&amp;PROGRAMA_DETALLE!B279)</f>
        <v/>
      </c>
      <c r="F979" s="95" t="str">
        <f>IF(PROGRAMA_DETALLE!Z279=0,"",PROGRAMA_DETALLE!Z279)</f>
        <v/>
      </c>
      <c r="G979" s="95">
        <f>IF(PROGRAMA_DETALLE!AC279="PAGADO",PROGRAMA_DETALLE!Z279,0)</f>
        <v>0</v>
      </c>
      <c r="H979" s="95">
        <f>IF(OR(PROGRAMA_DETALLE!AC279="PENDIENTE",PROGRAMA_DETALLE!AC279="PARCIAL"),PROGRAMA_DETALLE!Z279,0)</f>
        <v>0</v>
      </c>
      <c r="I979" s="94" t="str">
        <f>IF(PROGRAMA_DETALLE!AC279="","",PROGRAMA_DETALLE!AC279)</f>
        <v/>
      </c>
    </row>
    <row r="980" ht="15.75" customHeight="1">
      <c r="A980" s="96" t="s">
        <v>236</v>
      </c>
      <c r="B980" s="93" t="str">
        <f>IF(PROGRAMA_DETALLE!Q280="","",PROGRAMA_DETALLE!Q280)</f>
        <v/>
      </c>
      <c r="C980" s="84" t="str">
        <f>IF(PROGRAMA_DETALLE!A280="","","Tintorería")</f>
        <v/>
      </c>
      <c r="D980" s="94" t="str">
        <f>IF(PROGRAMA_DETALLE!AB280="","",PROGRAMA_DETALLE!AB280)</f>
        <v/>
      </c>
      <c r="E980" s="84" t="str">
        <f>IF(PROGRAMA_DETALLE!A280="","","Teñido "&amp;PROGRAMA_DETALLE!D280&amp;" "&amp;PROGRAMA_DETALLE!B280)</f>
        <v/>
      </c>
      <c r="F980" s="95" t="str">
        <f>IF(PROGRAMA_DETALLE!Z280=0,"",PROGRAMA_DETALLE!Z280)</f>
        <v/>
      </c>
      <c r="G980" s="95">
        <f>IF(PROGRAMA_DETALLE!AC280="PAGADO",PROGRAMA_DETALLE!Z280,0)</f>
        <v>0</v>
      </c>
      <c r="H980" s="95">
        <f>IF(OR(PROGRAMA_DETALLE!AC280="PENDIENTE",PROGRAMA_DETALLE!AC280="PARCIAL"),PROGRAMA_DETALLE!Z280,0)</f>
        <v>0</v>
      </c>
      <c r="I980" s="94" t="str">
        <f>IF(PROGRAMA_DETALLE!AC280="","",PROGRAMA_DETALLE!AC280)</f>
        <v/>
      </c>
    </row>
    <row r="981" ht="15.75" customHeight="1">
      <c r="A981" s="96" t="s">
        <v>236</v>
      </c>
      <c r="B981" s="93" t="str">
        <f>IF(PROGRAMA_DETALLE!Q281="","",PROGRAMA_DETALLE!Q281)</f>
        <v/>
      </c>
      <c r="C981" s="84" t="str">
        <f>IF(PROGRAMA_DETALLE!A281="","","Tintorería")</f>
        <v/>
      </c>
      <c r="D981" s="94" t="str">
        <f>IF(PROGRAMA_DETALLE!AB281="","",PROGRAMA_DETALLE!AB281)</f>
        <v/>
      </c>
      <c r="E981" s="84" t="str">
        <f>IF(PROGRAMA_DETALLE!A281="","","Teñido "&amp;PROGRAMA_DETALLE!D281&amp;" "&amp;PROGRAMA_DETALLE!B281)</f>
        <v/>
      </c>
      <c r="F981" s="95" t="str">
        <f>IF(PROGRAMA_DETALLE!Z281=0,"",PROGRAMA_DETALLE!Z281)</f>
        <v/>
      </c>
      <c r="G981" s="95">
        <f>IF(PROGRAMA_DETALLE!AC281="PAGADO",PROGRAMA_DETALLE!Z281,0)</f>
        <v>0</v>
      </c>
      <c r="H981" s="95">
        <f>IF(OR(PROGRAMA_DETALLE!AC281="PENDIENTE",PROGRAMA_DETALLE!AC281="PARCIAL"),PROGRAMA_DETALLE!Z281,0)</f>
        <v>0</v>
      </c>
      <c r="I981" s="94" t="str">
        <f>IF(PROGRAMA_DETALLE!AC281="","",PROGRAMA_DETALLE!AC281)</f>
        <v/>
      </c>
    </row>
    <row r="982" ht="15.75" customHeight="1">
      <c r="A982" s="96" t="s">
        <v>236</v>
      </c>
      <c r="B982" s="93" t="str">
        <f>IF(PROGRAMA_DETALLE!Q282="","",PROGRAMA_DETALLE!Q282)</f>
        <v/>
      </c>
      <c r="C982" s="84" t="str">
        <f>IF(PROGRAMA_DETALLE!A282="","","Tintorería")</f>
        <v/>
      </c>
      <c r="D982" s="94" t="str">
        <f>IF(PROGRAMA_DETALLE!AB282="","",PROGRAMA_DETALLE!AB282)</f>
        <v/>
      </c>
      <c r="E982" s="84" t="str">
        <f>IF(PROGRAMA_DETALLE!A282="","","Teñido "&amp;PROGRAMA_DETALLE!D282&amp;" "&amp;PROGRAMA_DETALLE!B282)</f>
        <v/>
      </c>
      <c r="F982" s="95" t="str">
        <f>IF(PROGRAMA_DETALLE!Z282=0,"",PROGRAMA_DETALLE!Z282)</f>
        <v/>
      </c>
      <c r="G982" s="95">
        <f>IF(PROGRAMA_DETALLE!AC282="PAGADO",PROGRAMA_DETALLE!Z282,0)</f>
        <v>0</v>
      </c>
      <c r="H982" s="95">
        <f>IF(OR(PROGRAMA_DETALLE!AC282="PENDIENTE",PROGRAMA_DETALLE!AC282="PARCIAL"),PROGRAMA_DETALLE!Z282,0)</f>
        <v>0</v>
      </c>
      <c r="I982" s="94" t="str">
        <f>IF(PROGRAMA_DETALLE!AC282="","",PROGRAMA_DETALLE!AC282)</f>
        <v/>
      </c>
    </row>
    <row r="983" ht="15.75" customHeight="1">
      <c r="A983" s="96" t="s">
        <v>236</v>
      </c>
      <c r="B983" s="93" t="str">
        <f>IF(PROGRAMA_DETALLE!Q283="","",PROGRAMA_DETALLE!Q283)</f>
        <v/>
      </c>
      <c r="C983" s="84" t="str">
        <f>IF(PROGRAMA_DETALLE!A283="","","Tintorería")</f>
        <v/>
      </c>
      <c r="D983" s="94" t="str">
        <f>IF(PROGRAMA_DETALLE!AB283="","",PROGRAMA_DETALLE!AB283)</f>
        <v/>
      </c>
      <c r="E983" s="84" t="str">
        <f>IF(PROGRAMA_DETALLE!A283="","","Teñido "&amp;PROGRAMA_DETALLE!D283&amp;" "&amp;PROGRAMA_DETALLE!B283)</f>
        <v/>
      </c>
      <c r="F983" s="95" t="str">
        <f>IF(PROGRAMA_DETALLE!Z283=0,"",PROGRAMA_DETALLE!Z283)</f>
        <v/>
      </c>
      <c r="G983" s="95">
        <f>IF(PROGRAMA_DETALLE!AC283="PAGADO",PROGRAMA_DETALLE!Z283,0)</f>
        <v>0</v>
      </c>
      <c r="H983" s="95">
        <f>IF(OR(PROGRAMA_DETALLE!AC283="PENDIENTE",PROGRAMA_DETALLE!AC283="PARCIAL"),PROGRAMA_DETALLE!Z283,0)</f>
        <v>0</v>
      </c>
      <c r="I983" s="94" t="str">
        <f>IF(PROGRAMA_DETALLE!AC283="","",PROGRAMA_DETALLE!AC283)</f>
        <v/>
      </c>
    </row>
    <row r="984" ht="15.75" customHeight="1">
      <c r="A984" s="96" t="s">
        <v>236</v>
      </c>
      <c r="B984" s="93" t="str">
        <f>IF(PROGRAMA_DETALLE!Q284="","",PROGRAMA_DETALLE!Q284)</f>
        <v/>
      </c>
      <c r="C984" s="84" t="str">
        <f>IF(PROGRAMA_DETALLE!A284="","","Tintorería")</f>
        <v/>
      </c>
      <c r="D984" s="94" t="str">
        <f>IF(PROGRAMA_DETALLE!AB284="","",PROGRAMA_DETALLE!AB284)</f>
        <v/>
      </c>
      <c r="E984" s="84" t="str">
        <f>IF(PROGRAMA_DETALLE!A284="","","Teñido "&amp;PROGRAMA_DETALLE!D284&amp;" "&amp;PROGRAMA_DETALLE!B284)</f>
        <v/>
      </c>
      <c r="F984" s="95" t="str">
        <f>IF(PROGRAMA_DETALLE!Z284=0,"",PROGRAMA_DETALLE!Z284)</f>
        <v/>
      </c>
      <c r="G984" s="95">
        <f>IF(PROGRAMA_DETALLE!AC284="PAGADO",PROGRAMA_DETALLE!Z284,0)</f>
        <v>0</v>
      </c>
      <c r="H984" s="95">
        <f>IF(OR(PROGRAMA_DETALLE!AC284="PENDIENTE",PROGRAMA_DETALLE!AC284="PARCIAL"),PROGRAMA_DETALLE!Z284,0)</f>
        <v>0</v>
      </c>
      <c r="I984" s="94" t="str">
        <f>IF(PROGRAMA_DETALLE!AC284="","",PROGRAMA_DETALLE!AC284)</f>
        <v/>
      </c>
    </row>
    <row r="985" ht="15.75" customHeight="1">
      <c r="A985" s="96" t="s">
        <v>236</v>
      </c>
      <c r="B985" s="93" t="str">
        <f>IF(PROGRAMA_DETALLE!Q285="","",PROGRAMA_DETALLE!Q285)</f>
        <v/>
      </c>
      <c r="C985" s="84" t="str">
        <f>IF(PROGRAMA_DETALLE!A285="","","Tintorería")</f>
        <v/>
      </c>
      <c r="D985" s="94" t="str">
        <f>IF(PROGRAMA_DETALLE!AB285="","",PROGRAMA_DETALLE!AB285)</f>
        <v/>
      </c>
      <c r="E985" s="84" t="str">
        <f>IF(PROGRAMA_DETALLE!A285="","","Teñido "&amp;PROGRAMA_DETALLE!D285&amp;" "&amp;PROGRAMA_DETALLE!B285)</f>
        <v/>
      </c>
      <c r="F985" s="95" t="str">
        <f>IF(PROGRAMA_DETALLE!Z285=0,"",PROGRAMA_DETALLE!Z285)</f>
        <v/>
      </c>
      <c r="G985" s="95">
        <f>IF(PROGRAMA_DETALLE!AC285="PAGADO",PROGRAMA_DETALLE!Z285,0)</f>
        <v>0</v>
      </c>
      <c r="H985" s="95">
        <f>IF(OR(PROGRAMA_DETALLE!AC285="PENDIENTE",PROGRAMA_DETALLE!AC285="PARCIAL"),PROGRAMA_DETALLE!Z285,0)</f>
        <v>0</v>
      </c>
      <c r="I985" s="94" t="str">
        <f>IF(PROGRAMA_DETALLE!AC285="","",PROGRAMA_DETALLE!AC285)</f>
        <v/>
      </c>
    </row>
    <row r="986" ht="15.75" customHeight="1">
      <c r="A986" s="96" t="s">
        <v>236</v>
      </c>
      <c r="B986" s="93" t="str">
        <f>IF(PROGRAMA_DETALLE!Q286="","",PROGRAMA_DETALLE!Q286)</f>
        <v/>
      </c>
      <c r="C986" s="84" t="str">
        <f>IF(PROGRAMA_DETALLE!A286="","","Tintorería")</f>
        <v/>
      </c>
      <c r="D986" s="94" t="str">
        <f>IF(PROGRAMA_DETALLE!AB286="","",PROGRAMA_DETALLE!AB286)</f>
        <v/>
      </c>
      <c r="E986" s="84" t="str">
        <f>IF(PROGRAMA_DETALLE!A286="","","Teñido "&amp;PROGRAMA_DETALLE!D286&amp;" "&amp;PROGRAMA_DETALLE!B286)</f>
        <v/>
      </c>
      <c r="F986" s="95" t="str">
        <f>IF(PROGRAMA_DETALLE!Z286=0,"",PROGRAMA_DETALLE!Z286)</f>
        <v/>
      </c>
      <c r="G986" s="95">
        <f>IF(PROGRAMA_DETALLE!AC286="PAGADO",PROGRAMA_DETALLE!Z286,0)</f>
        <v>0</v>
      </c>
      <c r="H986" s="95">
        <f>IF(OR(PROGRAMA_DETALLE!AC286="PENDIENTE",PROGRAMA_DETALLE!AC286="PARCIAL"),PROGRAMA_DETALLE!Z286,0)</f>
        <v>0</v>
      </c>
      <c r="I986" s="94" t="str">
        <f>IF(PROGRAMA_DETALLE!AC286="","",PROGRAMA_DETALLE!AC286)</f>
        <v/>
      </c>
    </row>
    <row r="987" ht="15.75" customHeight="1">
      <c r="A987" s="96" t="s">
        <v>236</v>
      </c>
      <c r="B987" s="93" t="str">
        <f>IF(PROGRAMA_DETALLE!Q287="","",PROGRAMA_DETALLE!Q287)</f>
        <v/>
      </c>
      <c r="C987" s="84" t="str">
        <f>IF(PROGRAMA_DETALLE!A287="","","Tintorería")</f>
        <v/>
      </c>
      <c r="D987" s="94" t="str">
        <f>IF(PROGRAMA_DETALLE!AB287="","",PROGRAMA_DETALLE!AB287)</f>
        <v/>
      </c>
      <c r="E987" s="84" t="str">
        <f>IF(PROGRAMA_DETALLE!A287="","","Teñido "&amp;PROGRAMA_DETALLE!D287&amp;" "&amp;PROGRAMA_DETALLE!B287)</f>
        <v/>
      </c>
      <c r="F987" s="95" t="str">
        <f>IF(PROGRAMA_DETALLE!Z287=0,"",PROGRAMA_DETALLE!Z287)</f>
        <v/>
      </c>
      <c r="G987" s="95">
        <f>IF(PROGRAMA_DETALLE!AC287="PAGADO",PROGRAMA_DETALLE!Z287,0)</f>
        <v>0</v>
      </c>
      <c r="H987" s="95">
        <f>IF(OR(PROGRAMA_DETALLE!AC287="PENDIENTE",PROGRAMA_DETALLE!AC287="PARCIAL"),PROGRAMA_DETALLE!Z287,0)</f>
        <v>0</v>
      </c>
      <c r="I987" s="94" t="str">
        <f>IF(PROGRAMA_DETALLE!AC287="","",PROGRAMA_DETALLE!AC287)</f>
        <v/>
      </c>
    </row>
    <row r="988" ht="15.75" customHeight="1">
      <c r="A988" s="96" t="s">
        <v>236</v>
      </c>
      <c r="B988" s="93" t="str">
        <f>IF(PROGRAMA_DETALLE!Q288="","",PROGRAMA_DETALLE!Q288)</f>
        <v/>
      </c>
      <c r="C988" s="84" t="str">
        <f>IF(PROGRAMA_DETALLE!A288="","","Tintorería")</f>
        <v/>
      </c>
      <c r="D988" s="94" t="str">
        <f>IF(PROGRAMA_DETALLE!AB288="","",PROGRAMA_DETALLE!AB288)</f>
        <v/>
      </c>
      <c r="E988" s="84" t="str">
        <f>IF(PROGRAMA_DETALLE!A288="","","Teñido "&amp;PROGRAMA_DETALLE!D288&amp;" "&amp;PROGRAMA_DETALLE!B288)</f>
        <v/>
      </c>
      <c r="F988" s="95" t="str">
        <f>IF(PROGRAMA_DETALLE!Z288=0,"",PROGRAMA_DETALLE!Z288)</f>
        <v/>
      </c>
      <c r="G988" s="95">
        <f>IF(PROGRAMA_DETALLE!AC288="PAGADO",PROGRAMA_DETALLE!Z288,0)</f>
        <v>0</v>
      </c>
      <c r="H988" s="95">
        <f>IF(OR(PROGRAMA_DETALLE!AC288="PENDIENTE",PROGRAMA_DETALLE!AC288="PARCIAL"),PROGRAMA_DETALLE!Z288,0)</f>
        <v>0</v>
      </c>
      <c r="I988" s="94" t="str">
        <f>IF(PROGRAMA_DETALLE!AC288="","",PROGRAMA_DETALLE!AC288)</f>
        <v/>
      </c>
    </row>
    <row r="989" ht="15.75" customHeight="1">
      <c r="A989" s="96" t="s">
        <v>236</v>
      </c>
      <c r="B989" s="93" t="str">
        <f>IF(PROGRAMA_DETALLE!Q289="","",PROGRAMA_DETALLE!Q289)</f>
        <v/>
      </c>
      <c r="C989" s="84" t="str">
        <f>IF(PROGRAMA_DETALLE!A289="","","Tintorería")</f>
        <v/>
      </c>
      <c r="D989" s="94" t="str">
        <f>IF(PROGRAMA_DETALLE!AB289="","",PROGRAMA_DETALLE!AB289)</f>
        <v/>
      </c>
      <c r="E989" s="84" t="str">
        <f>IF(PROGRAMA_DETALLE!A289="","","Teñido "&amp;PROGRAMA_DETALLE!D289&amp;" "&amp;PROGRAMA_DETALLE!B289)</f>
        <v/>
      </c>
      <c r="F989" s="95" t="str">
        <f>IF(PROGRAMA_DETALLE!Z289=0,"",PROGRAMA_DETALLE!Z289)</f>
        <v/>
      </c>
      <c r="G989" s="95">
        <f>IF(PROGRAMA_DETALLE!AC289="PAGADO",PROGRAMA_DETALLE!Z289,0)</f>
        <v>0</v>
      </c>
      <c r="H989" s="95">
        <f>IF(OR(PROGRAMA_DETALLE!AC289="PENDIENTE",PROGRAMA_DETALLE!AC289="PARCIAL"),PROGRAMA_DETALLE!Z289,0)</f>
        <v>0</v>
      </c>
      <c r="I989" s="94" t="str">
        <f>IF(PROGRAMA_DETALLE!AC289="","",PROGRAMA_DETALLE!AC289)</f>
        <v/>
      </c>
    </row>
    <row r="990" ht="15.75" customHeight="1">
      <c r="A990" s="96" t="s">
        <v>236</v>
      </c>
      <c r="B990" s="93" t="str">
        <f>IF(PROGRAMA_DETALLE!Q290="","",PROGRAMA_DETALLE!Q290)</f>
        <v/>
      </c>
      <c r="C990" s="84" t="str">
        <f>IF(PROGRAMA_DETALLE!A290="","","Tintorería")</f>
        <v/>
      </c>
      <c r="D990" s="94" t="str">
        <f>IF(PROGRAMA_DETALLE!AB290="","",PROGRAMA_DETALLE!AB290)</f>
        <v/>
      </c>
      <c r="E990" s="84" t="str">
        <f>IF(PROGRAMA_DETALLE!A290="","","Teñido "&amp;PROGRAMA_DETALLE!D290&amp;" "&amp;PROGRAMA_DETALLE!B290)</f>
        <v/>
      </c>
      <c r="F990" s="95" t="str">
        <f>IF(PROGRAMA_DETALLE!Z290=0,"",PROGRAMA_DETALLE!Z290)</f>
        <v/>
      </c>
      <c r="G990" s="95">
        <f>IF(PROGRAMA_DETALLE!AC290="PAGADO",PROGRAMA_DETALLE!Z290,0)</f>
        <v>0</v>
      </c>
      <c r="H990" s="95">
        <f>IF(OR(PROGRAMA_DETALLE!AC290="PENDIENTE",PROGRAMA_DETALLE!AC290="PARCIAL"),PROGRAMA_DETALLE!Z290,0)</f>
        <v>0</v>
      </c>
      <c r="I990" s="94" t="str">
        <f>IF(PROGRAMA_DETALLE!AC290="","",PROGRAMA_DETALLE!AC290)</f>
        <v/>
      </c>
    </row>
    <row r="991" ht="15.75" customHeight="1">
      <c r="A991" s="96" t="s">
        <v>236</v>
      </c>
      <c r="B991" s="93" t="str">
        <f>IF(PROGRAMA_DETALLE!Q291="","",PROGRAMA_DETALLE!Q291)</f>
        <v/>
      </c>
      <c r="C991" s="84" t="str">
        <f>IF(PROGRAMA_DETALLE!A291="","","Tintorería")</f>
        <v/>
      </c>
      <c r="D991" s="94" t="str">
        <f>IF(PROGRAMA_DETALLE!AB291="","",PROGRAMA_DETALLE!AB291)</f>
        <v/>
      </c>
      <c r="E991" s="84" t="str">
        <f>IF(PROGRAMA_DETALLE!A291="","","Teñido "&amp;PROGRAMA_DETALLE!D291&amp;" "&amp;PROGRAMA_DETALLE!B291)</f>
        <v/>
      </c>
      <c r="F991" s="95" t="str">
        <f>IF(PROGRAMA_DETALLE!Z291=0,"",PROGRAMA_DETALLE!Z291)</f>
        <v/>
      </c>
      <c r="G991" s="95">
        <f>IF(PROGRAMA_DETALLE!AC291="PAGADO",PROGRAMA_DETALLE!Z291,0)</f>
        <v>0</v>
      </c>
      <c r="H991" s="95">
        <f>IF(OR(PROGRAMA_DETALLE!AC291="PENDIENTE",PROGRAMA_DETALLE!AC291="PARCIAL"),PROGRAMA_DETALLE!Z291,0)</f>
        <v>0</v>
      </c>
      <c r="I991" s="94" t="str">
        <f>IF(PROGRAMA_DETALLE!AC291="","",PROGRAMA_DETALLE!AC291)</f>
        <v/>
      </c>
    </row>
    <row r="992" ht="15.75" customHeight="1">
      <c r="A992" s="96" t="s">
        <v>236</v>
      </c>
      <c r="B992" s="93" t="str">
        <f>IF(PROGRAMA_DETALLE!Q292="","",PROGRAMA_DETALLE!Q292)</f>
        <v/>
      </c>
      <c r="C992" s="84" t="str">
        <f>IF(PROGRAMA_DETALLE!A292="","","Tintorería")</f>
        <v/>
      </c>
      <c r="D992" s="94" t="str">
        <f>IF(PROGRAMA_DETALLE!AB292="","",PROGRAMA_DETALLE!AB292)</f>
        <v/>
      </c>
      <c r="E992" s="84" t="str">
        <f>IF(PROGRAMA_DETALLE!A292="","","Teñido "&amp;PROGRAMA_DETALLE!D292&amp;" "&amp;PROGRAMA_DETALLE!B292)</f>
        <v/>
      </c>
      <c r="F992" s="95" t="str">
        <f>IF(PROGRAMA_DETALLE!Z292=0,"",PROGRAMA_DETALLE!Z292)</f>
        <v/>
      </c>
      <c r="G992" s="95">
        <f>IF(PROGRAMA_DETALLE!AC292="PAGADO",PROGRAMA_DETALLE!Z292,0)</f>
        <v>0</v>
      </c>
      <c r="H992" s="95">
        <f>IF(OR(PROGRAMA_DETALLE!AC292="PENDIENTE",PROGRAMA_DETALLE!AC292="PARCIAL"),PROGRAMA_DETALLE!Z292,0)</f>
        <v>0</v>
      </c>
      <c r="I992" s="94" t="str">
        <f>IF(PROGRAMA_DETALLE!AC292="","",PROGRAMA_DETALLE!AC292)</f>
        <v/>
      </c>
    </row>
    <row r="993" ht="15.75" customHeight="1">
      <c r="A993" s="96" t="s">
        <v>236</v>
      </c>
      <c r="B993" s="93" t="str">
        <f>IF(PROGRAMA_DETALLE!Q293="","",PROGRAMA_DETALLE!Q293)</f>
        <v/>
      </c>
      <c r="C993" s="84" t="str">
        <f>IF(PROGRAMA_DETALLE!A293="","","Tintorería")</f>
        <v/>
      </c>
      <c r="D993" s="94" t="str">
        <f>IF(PROGRAMA_DETALLE!AB293="","",PROGRAMA_DETALLE!AB293)</f>
        <v/>
      </c>
      <c r="E993" s="84" t="str">
        <f>IF(PROGRAMA_DETALLE!A293="","","Teñido "&amp;PROGRAMA_DETALLE!D293&amp;" "&amp;PROGRAMA_DETALLE!B293)</f>
        <v/>
      </c>
      <c r="F993" s="95" t="str">
        <f>IF(PROGRAMA_DETALLE!Z293=0,"",PROGRAMA_DETALLE!Z293)</f>
        <v/>
      </c>
      <c r="G993" s="95">
        <f>IF(PROGRAMA_DETALLE!AC293="PAGADO",PROGRAMA_DETALLE!Z293,0)</f>
        <v>0</v>
      </c>
      <c r="H993" s="95">
        <f>IF(OR(PROGRAMA_DETALLE!AC293="PENDIENTE",PROGRAMA_DETALLE!AC293="PARCIAL"),PROGRAMA_DETALLE!Z293,0)</f>
        <v>0</v>
      </c>
      <c r="I993" s="94" t="str">
        <f>IF(PROGRAMA_DETALLE!AC293="","",PROGRAMA_DETALLE!AC293)</f>
        <v/>
      </c>
    </row>
    <row r="994" ht="15.75" customHeight="1">
      <c r="A994" s="96" t="s">
        <v>236</v>
      </c>
      <c r="B994" s="93" t="str">
        <f>IF(PROGRAMA_DETALLE!Q294="","",PROGRAMA_DETALLE!Q294)</f>
        <v/>
      </c>
      <c r="C994" s="84" t="str">
        <f>IF(PROGRAMA_DETALLE!A294="","","Tintorería")</f>
        <v/>
      </c>
      <c r="D994" s="94" t="str">
        <f>IF(PROGRAMA_DETALLE!AB294="","",PROGRAMA_DETALLE!AB294)</f>
        <v/>
      </c>
      <c r="E994" s="84" t="str">
        <f>IF(PROGRAMA_DETALLE!A294="","","Teñido "&amp;PROGRAMA_DETALLE!D294&amp;" "&amp;PROGRAMA_DETALLE!B294)</f>
        <v/>
      </c>
      <c r="F994" s="95" t="str">
        <f>IF(PROGRAMA_DETALLE!Z294=0,"",PROGRAMA_DETALLE!Z294)</f>
        <v/>
      </c>
      <c r="G994" s="95">
        <f>IF(PROGRAMA_DETALLE!AC294="PAGADO",PROGRAMA_DETALLE!Z294,0)</f>
        <v>0</v>
      </c>
      <c r="H994" s="95">
        <f>IF(OR(PROGRAMA_DETALLE!AC294="PENDIENTE",PROGRAMA_DETALLE!AC294="PARCIAL"),PROGRAMA_DETALLE!Z294,0)</f>
        <v>0</v>
      </c>
      <c r="I994" s="94" t="str">
        <f>IF(PROGRAMA_DETALLE!AC294="","",PROGRAMA_DETALLE!AC294)</f>
        <v/>
      </c>
    </row>
    <row r="995" ht="15.75" customHeight="1">
      <c r="A995" s="96" t="s">
        <v>236</v>
      </c>
      <c r="B995" s="93" t="str">
        <f>IF(PROGRAMA_DETALLE!Q295="","",PROGRAMA_DETALLE!Q295)</f>
        <v/>
      </c>
      <c r="C995" s="84" t="str">
        <f>IF(PROGRAMA_DETALLE!A295="","","Tintorería")</f>
        <v/>
      </c>
      <c r="D995" s="94" t="str">
        <f>IF(PROGRAMA_DETALLE!AB295="","",PROGRAMA_DETALLE!AB295)</f>
        <v/>
      </c>
      <c r="E995" s="84" t="str">
        <f>IF(PROGRAMA_DETALLE!A295="","","Teñido "&amp;PROGRAMA_DETALLE!D295&amp;" "&amp;PROGRAMA_DETALLE!B295)</f>
        <v/>
      </c>
      <c r="F995" s="95" t="str">
        <f>IF(PROGRAMA_DETALLE!Z295=0,"",PROGRAMA_DETALLE!Z295)</f>
        <v/>
      </c>
      <c r="G995" s="95">
        <f>IF(PROGRAMA_DETALLE!AC295="PAGADO",PROGRAMA_DETALLE!Z295,0)</f>
        <v>0</v>
      </c>
      <c r="H995" s="95">
        <f>IF(OR(PROGRAMA_DETALLE!AC295="PENDIENTE",PROGRAMA_DETALLE!AC295="PARCIAL"),PROGRAMA_DETALLE!Z295,0)</f>
        <v>0</v>
      </c>
      <c r="I995" s="94" t="str">
        <f>IF(PROGRAMA_DETALLE!AC295="","",PROGRAMA_DETALLE!AC295)</f>
        <v/>
      </c>
    </row>
    <row r="996" ht="15.75" customHeight="1">
      <c r="A996" s="96" t="s">
        <v>236</v>
      </c>
      <c r="B996" s="93" t="str">
        <f>IF(PROGRAMA_DETALLE!Q296="","",PROGRAMA_DETALLE!Q296)</f>
        <v/>
      </c>
      <c r="C996" s="84" t="str">
        <f>IF(PROGRAMA_DETALLE!A296="","","Tintorería")</f>
        <v/>
      </c>
      <c r="D996" s="94" t="str">
        <f>IF(PROGRAMA_DETALLE!AB296="","",PROGRAMA_DETALLE!AB296)</f>
        <v/>
      </c>
      <c r="E996" s="84" t="str">
        <f>IF(PROGRAMA_DETALLE!A296="","","Teñido "&amp;PROGRAMA_DETALLE!D296&amp;" "&amp;PROGRAMA_DETALLE!B296)</f>
        <v/>
      </c>
      <c r="F996" s="95" t="str">
        <f>IF(PROGRAMA_DETALLE!Z296=0,"",PROGRAMA_DETALLE!Z296)</f>
        <v/>
      </c>
      <c r="G996" s="95">
        <f>IF(PROGRAMA_DETALLE!AC296="PAGADO",PROGRAMA_DETALLE!Z296,0)</f>
        <v>0</v>
      </c>
      <c r="H996" s="95">
        <f>IF(OR(PROGRAMA_DETALLE!AC296="PENDIENTE",PROGRAMA_DETALLE!AC296="PARCIAL"),PROGRAMA_DETALLE!Z296,0)</f>
        <v>0</v>
      </c>
      <c r="I996" s="94" t="str">
        <f>IF(PROGRAMA_DETALLE!AC296="","",PROGRAMA_DETALLE!AC296)</f>
        <v/>
      </c>
    </row>
    <row r="997" ht="15.75" customHeight="1">
      <c r="A997" s="96" t="s">
        <v>236</v>
      </c>
      <c r="B997" s="93" t="str">
        <f>IF(PROGRAMA_DETALLE!Q297="","",PROGRAMA_DETALLE!Q297)</f>
        <v/>
      </c>
      <c r="C997" s="84" t="str">
        <f>IF(PROGRAMA_DETALLE!A297="","","Tintorería")</f>
        <v/>
      </c>
      <c r="D997" s="94" t="str">
        <f>IF(PROGRAMA_DETALLE!AB297="","",PROGRAMA_DETALLE!AB297)</f>
        <v/>
      </c>
      <c r="E997" s="84" t="str">
        <f>IF(PROGRAMA_DETALLE!A297="","","Teñido "&amp;PROGRAMA_DETALLE!D297&amp;" "&amp;PROGRAMA_DETALLE!B297)</f>
        <v/>
      </c>
      <c r="F997" s="95" t="str">
        <f>IF(PROGRAMA_DETALLE!Z297=0,"",PROGRAMA_DETALLE!Z297)</f>
        <v/>
      </c>
      <c r="G997" s="95">
        <f>IF(PROGRAMA_DETALLE!AC297="PAGADO",PROGRAMA_DETALLE!Z297,0)</f>
        <v>0</v>
      </c>
      <c r="H997" s="95">
        <f>IF(OR(PROGRAMA_DETALLE!AC297="PENDIENTE",PROGRAMA_DETALLE!AC297="PARCIAL"),PROGRAMA_DETALLE!Z297,0)</f>
        <v>0</v>
      </c>
      <c r="I997" s="94" t="str">
        <f>IF(PROGRAMA_DETALLE!AC297="","",PROGRAMA_DETALLE!AC297)</f>
        <v/>
      </c>
    </row>
    <row r="998" ht="15.75" customHeight="1">
      <c r="A998" s="96" t="s">
        <v>236</v>
      </c>
      <c r="B998" s="93" t="str">
        <f>IF(PROGRAMA_DETALLE!Q298="","",PROGRAMA_DETALLE!Q298)</f>
        <v/>
      </c>
      <c r="C998" s="84" t="str">
        <f>IF(PROGRAMA_DETALLE!A298="","","Tintorería")</f>
        <v/>
      </c>
      <c r="D998" s="94" t="str">
        <f>IF(PROGRAMA_DETALLE!AB298="","",PROGRAMA_DETALLE!AB298)</f>
        <v/>
      </c>
      <c r="E998" s="84" t="str">
        <f>IF(PROGRAMA_DETALLE!A298="","","Teñido "&amp;PROGRAMA_DETALLE!D298&amp;" "&amp;PROGRAMA_DETALLE!B298)</f>
        <v/>
      </c>
      <c r="F998" s="95" t="str">
        <f>IF(PROGRAMA_DETALLE!Z298=0,"",PROGRAMA_DETALLE!Z298)</f>
        <v/>
      </c>
      <c r="G998" s="95">
        <f>IF(PROGRAMA_DETALLE!AC298="PAGADO",PROGRAMA_DETALLE!Z298,0)</f>
        <v>0</v>
      </c>
      <c r="H998" s="95">
        <f>IF(OR(PROGRAMA_DETALLE!AC298="PENDIENTE",PROGRAMA_DETALLE!AC298="PARCIAL"),PROGRAMA_DETALLE!Z298,0)</f>
        <v>0</v>
      </c>
      <c r="I998" s="94" t="str">
        <f>IF(PROGRAMA_DETALLE!AC298="","",PROGRAMA_DETALLE!AC298)</f>
        <v/>
      </c>
    </row>
    <row r="999" ht="15.75" customHeight="1">
      <c r="A999" s="96" t="s">
        <v>236</v>
      </c>
      <c r="B999" s="93" t="str">
        <f>IF(PROGRAMA_DETALLE!Q299="","",PROGRAMA_DETALLE!Q299)</f>
        <v/>
      </c>
      <c r="C999" s="84" t="str">
        <f>IF(PROGRAMA_DETALLE!A299="","","Tintorería")</f>
        <v/>
      </c>
      <c r="D999" s="94" t="str">
        <f>IF(PROGRAMA_DETALLE!AB299="","",PROGRAMA_DETALLE!AB299)</f>
        <v/>
      </c>
      <c r="E999" s="84" t="str">
        <f>IF(PROGRAMA_DETALLE!A299="","","Teñido "&amp;PROGRAMA_DETALLE!D299&amp;" "&amp;PROGRAMA_DETALLE!B299)</f>
        <v/>
      </c>
      <c r="F999" s="95" t="str">
        <f>IF(PROGRAMA_DETALLE!Z299=0,"",PROGRAMA_DETALLE!Z299)</f>
        <v/>
      </c>
      <c r="G999" s="95">
        <f>IF(PROGRAMA_DETALLE!AC299="PAGADO",PROGRAMA_DETALLE!Z299,0)</f>
        <v>0</v>
      </c>
      <c r="H999" s="95">
        <f>IF(OR(PROGRAMA_DETALLE!AC299="PENDIENTE",PROGRAMA_DETALLE!AC299="PARCIAL"),PROGRAMA_DETALLE!Z299,0)</f>
        <v>0</v>
      </c>
      <c r="I999" s="94" t="str">
        <f>IF(PROGRAMA_DETALLE!AC299="","",PROGRAMA_DETALLE!AC299)</f>
        <v/>
      </c>
    </row>
    <row r="1000" ht="15.75" customHeight="1">
      <c r="A1000" s="96" t="s">
        <v>236</v>
      </c>
      <c r="B1000" s="93" t="str">
        <f>IF(PROGRAMA_DETALLE!Q300="","",PROGRAMA_DETALLE!Q300)</f>
        <v/>
      </c>
      <c r="C1000" s="84" t="str">
        <f>IF(PROGRAMA_DETALLE!A300="","","Tintorería")</f>
        <v/>
      </c>
      <c r="D1000" s="94" t="str">
        <f>IF(PROGRAMA_DETALLE!AB300="","",PROGRAMA_DETALLE!AB300)</f>
        <v/>
      </c>
      <c r="E1000" s="84" t="str">
        <f>IF(PROGRAMA_DETALLE!A300="","","Teñido "&amp;PROGRAMA_DETALLE!D300&amp;" "&amp;PROGRAMA_DETALLE!B300)</f>
        <v/>
      </c>
      <c r="F1000" s="95" t="str">
        <f>IF(PROGRAMA_DETALLE!Z300=0,"",PROGRAMA_DETALLE!Z300)</f>
        <v/>
      </c>
      <c r="G1000" s="95">
        <f>IF(PROGRAMA_DETALLE!AC300="PAGADO",PROGRAMA_DETALLE!Z300,0)</f>
        <v>0</v>
      </c>
      <c r="H1000" s="95">
        <f>IF(OR(PROGRAMA_DETALLE!AC300="PENDIENTE",PROGRAMA_DETALLE!AC300="PARCIAL"),PROGRAMA_DETALLE!Z300,0)</f>
        <v>0</v>
      </c>
      <c r="I1000" s="94" t="str">
        <f>IF(PROGRAMA_DETALLE!AC300="","",PROGRAMA_DETALLE!AC300)</f>
        <v/>
      </c>
    </row>
    <row r="1001" ht="15.75" customHeight="1">
      <c r="A1001" s="96" t="s">
        <v>236</v>
      </c>
      <c r="B1001" s="93" t="str">
        <f>IF(PROGRAMA_DETALLE!Q301="","",PROGRAMA_DETALLE!Q301)</f>
        <v/>
      </c>
      <c r="C1001" s="84" t="str">
        <f>IF(PROGRAMA_DETALLE!A301="","","Tintorería")</f>
        <v/>
      </c>
      <c r="D1001" s="94" t="str">
        <f>IF(PROGRAMA_DETALLE!AB301="","",PROGRAMA_DETALLE!AB301)</f>
        <v/>
      </c>
      <c r="E1001" s="84" t="str">
        <f>IF(PROGRAMA_DETALLE!A301="","","Teñido "&amp;PROGRAMA_DETALLE!D301&amp;" "&amp;PROGRAMA_DETALLE!B301)</f>
        <v/>
      </c>
      <c r="F1001" s="95" t="str">
        <f>IF(PROGRAMA_DETALLE!Z301=0,"",PROGRAMA_DETALLE!Z301)</f>
        <v/>
      </c>
      <c r="G1001" s="95">
        <f>IF(PROGRAMA_DETALLE!AC301="PAGADO",PROGRAMA_DETALLE!Z301,0)</f>
        <v>0</v>
      </c>
      <c r="H1001" s="95">
        <f>IF(OR(PROGRAMA_DETALLE!AC301="PENDIENTE",PROGRAMA_DETALLE!AC301="PARCIAL"),PROGRAMA_DETALLE!Z301,0)</f>
        <v>0</v>
      </c>
      <c r="I1001" s="94" t="str">
        <f>IF(PROGRAMA_DETALLE!AC301="","",PROGRAMA_DETALLE!AC301)</f>
        <v/>
      </c>
    </row>
    <row r="1002" ht="15.75" customHeight="1">
      <c r="A1002" s="96" t="s">
        <v>236</v>
      </c>
      <c r="B1002" s="93" t="str">
        <f>IF(PROGRAMA_DETALLE!Q302="","",PROGRAMA_DETALLE!Q302)</f>
        <v/>
      </c>
      <c r="C1002" s="84" t="str">
        <f>IF(PROGRAMA_DETALLE!A302="","","Tintorería")</f>
        <v/>
      </c>
      <c r="D1002" s="94" t="str">
        <f>IF(PROGRAMA_DETALLE!AB302="","",PROGRAMA_DETALLE!AB302)</f>
        <v/>
      </c>
      <c r="E1002" s="84" t="str">
        <f>IF(PROGRAMA_DETALLE!A302="","","Teñido "&amp;PROGRAMA_DETALLE!D302&amp;" "&amp;PROGRAMA_DETALLE!B302)</f>
        <v/>
      </c>
      <c r="F1002" s="95" t="str">
        <f>IF(PROGRAMA_DETALLE!Z302=0,"",PROGRAMA_DETALLE!Z302)</f>
        <v/>
      </c>
      <c r="G1002" s="95">
        <f>IF(PROGRAMA_DETALLE!AC302="PAGADO",PROGRAMA_DETALLE!Z302,0)</f>
        <v>0</v>
      </c>
      <c r="H1002" s="95">
        <f>IF(OR(PROGRAMA_DETALLE!AC302="PENDIENTE",PROGRAMA_DETALLE!AC302="PARCIAL"),PROGRAMA_DETALLE!Z302,0)</f>
        <v>0</v>
      </c>
      <c r="I1002" s="94" t="str">
        <f>IF(PROGRAMA_DETALLE!AC302="","",PROGRAMA_DETALLE!AC302)</f>
        <v/>
      </c>
    </row>
    <row r="1003" ht="15.75" customHeight="1">
      <c r="A1003" s="96" t="s">
        <v>236</v>
      </c>
      <c r="B1003" s="93" t="str">
        <f>IF(PROGRAMA_DETALLE!Q303="","",PROGRAMA_DETALLE!Q303)</f>
        <v/>
      </c>
      <c r="C1003" s="84" t="str">
        <f>IF(PROGRAMA_DETALLE!A303="","","Tintorería")</f>
        <v/>
      </c>
      <c r="D1003" s="94" t="str">
        <f>IF(PROGRAMA_DETALLE!AB303="","",PROGRAMA_DETALLE!AB303)</f>
        <v/>
      </c>
      <c r="E1003" s="84" t="str">
        <f>IF(PROGRAMA_DETALLE!A303="","","Teñido "&amp;PROGRAMA_DETALLE!D303&amp;" "&amp;PROGRAMA_DETALLE!B303)</f>
        <v/>
      </c>
      <c r="F1003" s="95" t="str">
        <f>IF(PROGRAMA_DETALLE!Z303=0,"",PROGRAMA_DETALLE!Z303)</f>
        <v/>
      </c>
      <c r="G1003" s="95">
        <f>IF(PROGRAMA_DETALLE!AC303="PAGADO",PROGRAMA_DETALLE!Z303,0)</f>
        <v>0</v>
      </c>
      <c r="H1003" s="95">
        <f>IF(OR(PROGRAMA_DETALLE!AC303="PENDIENTE",PROGRAMA_DETALLE!AC303="PARCIAL"),PROGRAMA_DETALLE!Z303,0)</f>
        <v>0</v>
      </c>
      <c r="I1003" s="94" t="str">
        <f>IF(PROGRAMA_DETALLE!AC303="","",PROGRAMA_DETALLE!AC303)</f>
        <v/>
      </c>
    </row>
    <row r="1004" ht="15.75" customHeight="1">
      <c r="A1004" s="96" t="s">
        <v>236</v>
      </c>
      <c r="B1004" s="93" t="str">
        <f>IF(PROGRAMA_DETALLE!Q304="","",PROGRAMA_DETALLE!Q304)</f>
        <v/>
      </c>
      <c r="C1004" s="84" t="str">
        <f>IF(PROGRAMA_DETALLE!A304="","","Tintorería")</f>
        <v/>
      </c>
      <c r="D1004" s="94" t="str">
        <f>IF(PROGRAMA_DETALLE!AB304="","",PROGRAMA_DETALLE!AB304)</f>
        <v/>
      </c>
      <c r="E1004" s="84" t="str">
        <f>IF(PROGRAMA_DETALLE!A304="","","Teñido "&amp;PROGRAMA_DETALLE!D304&amp;" "&amp;PROGRAMA_DETALLE!B304)</f>
        <v/>
      </c>
      <c r="F1004" s="95" t="str">
        <f>IF(PROGRAMA_DETALLE!Z304=0,"",PROGRAMA_DETALLE!Z304)</f>
        <v/>
      </c>
      <c r="G1004" s="95">
        <f>IF(PROGRAMA_DETALLE!AC304="PAGADO",PROGRAMA_DETALLE!Z304,0)</f>
        <v>0</v>
      </c>
      <c r="H1004" s="95">
        <f>IF(OR(PROGRAMA_DETALLE!AC304="PENDIENTE",PROGRAMA_DETALLE!AC304="PARCIAL"),PROGRAMA_DETALLE!Z304,0)</f>
        <v>0</v>
      </c>
      <c r="I1004" s="94" t="str">
        <f>IF(PROGRAMA_DETALLE!AC304="","",PROGRAMA_DETALLE!AC304)</f>
        <v/>
      </c>
    </row>
    <row r="1005" ht="15.75" customHeight="1">
      <c r="A1005" s="96" t="s">
        <v>236</v>
      </c>
      <c r="B1005" s="93" t="str">
        <f>IF(PROGRAMA_DETALLE!Q305="","",PROGRAMA_DETALLE!Q305)</f>
        <v/>
      </c>
      <c r="C1005" s="84" t="str">
        <f>IF(PROGRAMA_DETALLE!A305="","","Tintorería")</f>
        <v/>
      </c>
      <c r="D1005" s="94" t="str">
        <f>IF(PROGRAMA_DETALLE!AB305="","",PROGRAMA_DETALLE!AB305)</f>
        <v/>
      </c>
      <c r="E1005" s="84" t="str">
        <f>IF(PROGRAMA_DETALLE!A305="","","Teñido "&amp;PROGRAMA_DETALLE!D305&amp;" "&amp;PROGRAMA_DETALLE!B305)</f>
        <v/>
      </c>
      <c r="F1005" s="95" t="str">
        <f>IF(PROGRAMA_DETALLE!Z305=0,"",PROGRAMA_DETALLE!Z305)</f>
        <v/>
      </c>
      <c r="G1005" s="95">
        <f>IF(PROGRAMA_DETALLE!AC305="PAGADO",PROGRAMA_DETALLE!Z305,0)</f>
        <v>0</v>
      </c>
      <c r="H1005" s="95">
        <f>IF(OR(PROGRAMA_DETALLE!AC305="PENDIENTE",PROGRAMA_DETALLE!AC305="PARCIAL"),PROGRAMA_DETALLE!Z305,0)</f>
        <v>0</v>
      </c>
      <c r="I1005" s="94" t="str">
        <f>IF(PROGRAMA_DETALLE!AC305="","",PROGRAMA_DETALLE!AC305)</f>
        <v/>
      </c>
    </row>
    <row r="1006" ht="15.75" customHeight="1">
      <c r="A1006" s="96" t="s">
        <v>236</v>
      </c>
      <c r="B1006" s="93" t="str">
        <f>IF(PROGRAMA_DETALLE!Q306="","",PROGRAMA_DETALLE!Q306)</f>
        <v/>
      </c>
      <c r="C1006" s="84" t="str">
        <f>IF(PROGRAMA_DETALLE!A306="","","Tintorería")</f>
        <v/>
      </c>
      <c r="D1006" s="94" t="str">
        <f>IF(PROGRAMA_DETALLE!AB306="","",PROGRAMA_DETALLE!AB306)</f>
        <v/>
      </c>
      <c r="E1006" s="84" t="str">
        <f>IF(PROGRAMA_DETALLE!A306="","","Teñido "&amp;PROGRAMA_DETALLE!D306&amp;" "&amp;PROGRAMA_DETALLE!B306)</f>
        <v/>
      </c>
      <c r="F1006" s="95" t="str">
        <f>IF(PROGRAMA_DETALLE!Z306=0,"",PROGRAMA_DETALLE!Z306)</f>
        <v/>
      </c>
      <c r="G1006" s="95">
        <f>IF(PROGRAMA_DETALLE!AC306="PAGADO",PROGRAMA_DETALLE!Z306,0)</f>
        <v>0</v>
      </c>
      <c r="H1006" s="95">
        <f>IF(OR(PROGRAMA_DETALLE!AC306="PENDIENTE",PROGRAMA_DETALLE!AC306="PARCIAL"),PROGRAMA_DETALLE!Z306,0)</f>
        <v>0</v>
      </c>
      <c r="I1006" s="94" t="str">
        <f>IF(PROGRAMA_DETALLE!AC306="","",PROGRAMA_DETALLE!AC306)</f>
        <v/>
      </c>
    </row>
    <row r="1007" ht="15.75" customHeight="1">
      <c r="A1007" s="96" t="s">
        <v>236</v>
      </c>
      <c r="B1007" s="93" t="str">
        <f>IF(PROGRAMA_DETALLE!Q307="","",PROGRAMA_DETALLE!Q307)</f>
        <v/>
      </c>
      <c r="C1007" s="84" t="str">
        <f>IF(PROGRAMA_DETALLE!A307="","","Tintorería")</f>
        <v/>
      </c>
      <c r="D1007" s="94" t="str">
        <f>IF(PROGRAMA_DETALLE!AB307="","",PROGRAMA_DETALLE!AB307)</f>
        <v/>
      </c>
      <c r="E1007" s="84" t="str">
        <f>IF(PROGRAMA_DETALLE!A307="","","Teñido "&amp;PROGRAMA_DETALLE!D307&amp;" "&amp;PROGRAMA_DETALLE!B307)</f>
        <v/>
      </c>
      <c r="F1007" s="95" t="str">
        <f>IF(PROGRAMA_DETALLE!Z307=0,"",PROGRAMA_DETALLE!Z307)</f>
        <v/>
      </c>
      <c r="G1007" s="95">
        <f>IF(PROGRAMA_DETALLE!AC307="PAGADO",PROGRAMA_DETALLE!Z307,0)</f>
        <v>0</v>
      </c>
      <c r="H1007" s="95">
        <f>IF(OR(PROGRAMA_DETALLE!AC307="PENDIENTE",PROGRAMA_DETALLE!AC307="PARCIAL"),PROGRAMA_DETALLE!Z307,0)</f>
        <v>0</v>
      </c>
      <c r="I1007" s="94" t="str">
        <f>IF(PROGRAMA_DETALLE!AC307="","",PROGRAMA_DETALLE!AC307)</f>
        <v/>
      </c>
    </row>
    <row r="1008" ht="15.75" customHeight="1">
      <c r="A1008" s="96" t="s">
        <v>236</v>
      </c>
      <c r="B1008" s="93" t="str">
        <f>IF(PROGRAMA_DETALLE!Q308="","",PROGRAMA_DETALLE!Q308)</f>
        <v/>
      </c>
      <c r="C1008" s="84" t="str">
        <f>IF(PROGRAMA_DETALLE!A308="","","Tintorería")</f>
        <v/>
      </c>
      <c r="D1008" s="94" t="str">
        <f>IF(PROGRAMA_DETALLE!AB308="","",PROGRAMA_DETALLE!AB308)</f>
        <v/>
      </c>
      <c r="E1008" s="84" t="str">
        <f>IF(PROGRAMA_DETALLE!A308="","","Teñido "&amp;PROGRAMA_DETALLE!D308&amp;" "&amp;PROGRAMA_DETALLE!B308)</f>
        <v/>
      </c>
      <c r="F1008" s="95" t="str">
        <f>IF(PROGRAMA_DETALLE!Z308=0,"",PROGRAMA_DETALLE!Z308)</f>
        <v/>
      </c>
      <c r="G1008" s="95">
        <f>IF(PROGRAMA_DETALLE!AC308="PAGADO",PROGRAMA_DETALLE!Z308,0)</f>
        <v>0</v>
      </c>
      <c r="H1008" s="95">
        <f>IF(OR(PROGRAMA_DETALLE!AC308="PENDIENTE",PROGRAMA_DETALLE!AC308="PARCIAL"),PROGRAMA_DETALLE!Z308,0)</f>
        <v>0</v>
      </c>
      <c r="I1008" s="94" t="str">
        <f>IF(PROGRAMA_DETALLE!AC308="","",PROGRAMA_DETALLE!AC308)</f>
        <v/>
      </c>
    </row>
    <row r="1009" ht="15.75" customHeight="1">
      <c r="A1009" s="96" t="s">
        <v>236</v>
      </c>
      <c r="B1009" s="93" t="str">
        <f>IF(PROGRAMA_DETALLE!Q309="","",PROGRAMA_DETALLE!Q309)</f>
        <v/>
      </c>
      <c r="C1009" s="84" t="str">
        <f>IF(PROGRAMA_DETALLE!A309="","","Tintorería")</f>
        <v/>
      </c>
      <c r="D1009" s="94" t="str">
        <f>IF(PROGRAMA_DETALLE!AB309="","",PROGRAMA_DETALLE!AB309)</f>
        <v/>
      </c>
      <c r="E1009" s="84" t="str">
        <f>IF(PROGRAMA_DETALLE!A309="","","Teñido "&amp;PROGRAMA_DETALLE!D309&amp;" "&amp;PROGRAMA_DETALLE!B309)</f>
        <v/>
      </c>
      <c r="F1009" s="95" t="str">
        <f>IF(PROGRAMA_DETALLE!Z309=0,"",PROGRAMA_DETALLE!Z309)</f>
        <v/>
      </c>
      <c r="G1009" s="95">
        <f>IF(PROGRAMA_DETALLE!AC309="PAGADO",PROGRAMA_DETALLE!Z309,0)</f>
        <v>0</v>
      </c>
      <c r="H1009" s="95">
        <f>IF(OR(PROGRAMA_DETALLE!AC309="PENDIENTE",PROGRAMA_DETALLE!AC309="PARCIAL"),PROGRAMA_DETALLE!Z309,0)</f>
        <v>0</v>
      </c>
      <c r="I1009" s="94" t="str">
        <f>IF(PROGRAMA_DETALLE!AC309="","",PROGRAMA_DETALLE!AC309)</f>
        <v/>
      </c>
    </row>
    <row r="1010" ht="15.75" customHeight="1">
      <c r="A1010" s="96" t="s">
        <v>236</v>
      </c>
      <c r="B1010" s="93" t="str">
        <f>IF(PROGRAMA_DETALLE!Q310="","",PROGRAMA_DETALLE!Q310)</f>
        <v/>
      </c>
      <c r="C1010" s="84" t="str">
        <f>IF(PROGRAMA_DETALLE!A310="","","Tintorería")</f>
        <v/>
      </c>
      <c r="D1010" s="94" t="str">
        <f>IF(PROGRAMA_DETALLE!AB310="","",PROGRAMA_DETALLE!AB310)</f>
        <v/>
      </c>
      <c r="E1010" s="84" t="str">
        <f>IF(PROGRAMA_DETALLE!A310="","","Teñido "&amp;PROGRAMA_DETALLE!D310&amp;" "&amp;PROGRAMA_DETALLE!B310)</f>
        <v/>
      </c>
      <c r="F1010" s="95" t="str">
        <f>IF(PROGRAMA_DETALLE!Z310=0,"",PROGRAMA_DETALLE!Z310)</f>
        <v/>
      </c>
      <c r="G1010" s="95">
        <f>IF(PROGRAMA_DETALLE!AC310="PAGADO",PROGRAMA_DETALLE!Z310,0)</f>
        <v>0</v>
      </c>
      <c r="H1010" s="95">
        <f>IF(OR(PROGRAMA_DETALLE!AC310="PENDIENTE",PROGRAMA_DETALLE!AC310="PARCIAL"),PROGRAMA_DETALLE!Z310,0)</f>
        <v>0</v>
      </c>
      <c r="I1010" s="94" t="str">
        <f>IF(PROGRAMA_DETALLE!AC310="","",PROGRAMA_DETALLE!AC310)</f>
        <v/>
      </c>
    </row>
    <row r="1011" ht="15.75" customHeight="1">
      <c r="A1011" s="96" t="s">
        <v>236</v>
      </c>
      <c r="B1011" s="93" t="str">
        <f>IF(PROGRAMA_DETALLE!Q311="","",PROGRAMA_DETALLE!Q311)</f>
        <v/>
      </c>
      <c r="C1011" s="84" t="str">
        <f>IF(PROGRAMA_DETALLE!A311="","","Tintorería")</f>
        <v/>
      </c>
      <c r="D1011" s="94" t="str">
        <f>IF(PROGRAMA_DETALLE!AB311="","",PROGRAMA_DETALLE!AB311)</f>
        <v/>
      </c>
      <c r="E1011" s="84" t="str">
        <f>IF(PROGRAMA_DETALLE!A311="","","Teñido "&amp;PROGRAMA_DETALLE!D311&amp;" "&amp;PROGRAMA_DETALLE!B311)</f>
        <v/>
      </c>
      <c r="F1011" s="95" t="str">
        <f>IF(PROGRAMA_DETALLE!Z311=0,"",PROGRAMA_DETALLE!Z311)</f>
        <v/>
      </c>
      <c r="G1011" s="95">
        <f>IF(PROGRAMA_DETALLE!AC311="PAGADO",PROGRAMA_DETALLE!Z311,0)</f>
        <v>0</v>
      </c>
      <c r="H1011" s="95">
        <f>IF(OR(PROGRAMA_DETALLE!AC311="PENDIENTE",PROGRAMA_DETALLE!AC311="PARCIAL"),PROGRAMA_DETALLE!Z311,0)</f>
        <v>0</v>
      </c>
      <c r="I1011" s="94" t="str">
        <f>IF(PROGRAMA_DETALLE!AC311="","",PROGRAMA_DETALLE!AC311)</f>
        <v/>
      </c>
    </row>
    <row r="1012" ht="15.75" customHeight="1">
      <c r="A1012" s="96" t="s">
        <v>236</v>
      </c>
      <c r="B1012" s="93" t="str">
        <f>IF(PROGRAMA_DETALLE!Q312="","",PROGRAMA_DETALLE!Q312)</f>
        <v/>
      </c>
      <c r="C1012" s="84" t="str">
        <f>IF(PROGRAMA_DETALLE!A312="","","Tintorería")</f>
        <v/>
      </c>
      <c r="D1012" s="94" t="str">
        <f>IF(PROGRAMA_DETALLE!AB312="","",PROGRAMA_DETALLE!AB312)</f>
        <v/>
      </c>
      <c r="E1012" s="84" t="str">
        <f>IF(PROGRAMA_DETALLE!A312="","","Teñido "&amp;PROGRAMA_DETALLE!D312&amp;" "&amp;PROGRAMA_DETALLE!B312)</f>
        <v/>
      </c>
      <c r="F1012" s="95" t="str">
        <f>IF(PROGRAMA_DETALLE!Z312=0,"",PROGRAMA_DETALLE!Z312)</f>
        <v/>
      </c>
      <c r="G1012" s="95">
        <f>IF(PROGRAMA_DETALLE!AC312="PAGADO",PROGRAMA_DETALLE!Z312,0)</f>
        <v>0</v>
      </c>
      <c r="H1012" s="95">
        <f>IF(OR(PROGRAMA_DETALLE!AC312="PENDIENTE",PROGRAMA_DETALLE!AC312="PARCIAL"),PROGRAMA_DETALLE!Z312,0)</f>
        <v>0</v>
      </c>
      <c r="I1012" s="94" t="str">
        <f>IF(PROGRAMA_DETALLE!AC312="","",PROGRAMA_DETALLE!AC312)</f>
        <v/>
      </c>
    </row>
    <row r="1013" ht="15.75" customHeight="1">
      <c r="A1013" s="96" t="s">
        <v>236</v>
      </c>
      <c r="B1013" s="93" t="str">
        <f>IF(PROGRAMA_DETALLE!Q313="","",PROGRAMA_DETALLE!Q313)</f>
        <v/>
      </c>
      <c r="C1013" s="84" t="str">
        <f>IF(PROGRAMA_DETALLE!A313="","","Tintorería")</f>
        <v/>
      </c>
      <c r="D1013" s="94" t="str">
        <f>IF(PROGRAMA_DETALLE!AB313="","",PROGRAMA_DETALLE!AB313)</f>
        <v/>
      </c>
      <c r="E1013" s="84" t="str">
        <f>IF(PROGRAMA_DETALLE!A313="","","Teñido "&amp;PROGRAMA_DETALLE!D313&amp;" "&amp;PROGRAMA_DETALLE!B313)</f>
        <v/>
      </c>
      <c r="F1013" s="95" t="str">
        <f>IF(PROGRAMA_DETALLE!Z313=0,"",PROGRAMA_DETALLE!Z313)</f>
        <v/>
      </c>
      <c r="G1013" s="95">
        <f>IF(PROGRAMA_DETALLE!AC313="PAGADO",PROGRAMA_DETALLE!Z313,0)</f>
        <v>0</v>
      </c>
      <c r="H1013" s="95">
        <f>IF(OR(PROGRAMA_DETALLE!AC313="PENDIENTE",PROGRAMA_DETALLE!AC313="PARCIAL"),PROGRAMA_DETALLE!Z313,0)</f>
        <v>0</v>
      </c>
      <c r="I1013" s="94" t="str">
        <f>IF(PROGRAMA_DETALLE!AC313="","",PROGRAMA_DETALLE!AC313)</f>
        <v/>
      </c>
    </row>
    <row r="1014" ht="15.75" customHeight="1">
      <c r="A1014" s="96" t="s">
        <v>236</v>
      </c>
      <c r="B1014" s="93" t="str">
        <f>IF(PROGRAMA_DETALLE!Q314="","",PROGRAMA_DETALLE!Q314)</f>
        <v/>
      </c>
      <c r="C1014" s="84" t="str">
        <f>IF(PROGRAMA_DETALLE!A314="","","Tintorería")</f>
        <v/>
      </c>
      <c r="D1014" s="94" t="str">
        <f>IF(PROGRAMA_DETALLE!AB314="","",PROGRAMA_DETALLE!AB314)</f>
        <v/>
      </c>
      <c r="E1014" s="84" t="str">
        <f>IF(PROGRAMA_DETALLE!A314="","","Teñido "&amp;PROGRAMA_DETALLE!D314&amp;" "&amp;PROGRAMA_DETALLE!B314)</f>
        <v/>
      </c>
      <c r="F1014" s="95" t="str">
        <f>IF(PROGRAMA_DETALLE!Z314=0,"",PROGRAMA_DETALLE!Z314)</f>
        <v/>
      </c>
      <c r="G1014" s="95">
        <f>IF(PROGRAMA_DETALLE!AC314="PAGADO",PROGRAMA_DETALLE!Z314,0)</f>
        <v>0</v>
      </c>
      <c r="H1014" s="95">
        <f>IF(OR(PROGRAMA_DETALLE!AC314="PENDIENTE",PROGRAMA_DETALLE!AC314="PARCIAL"),PROGRAMA_DETALLE!Z314,0)</f>
        <v>0</v>
      </c>
      <c r="I1014" s="94" t="str">
        <f>IF(PROGRAMA_DETALLE!AC314="","",PROGRAMA_DETALLE!AC314)</f>
        <v/>
      </c>
    </row>
    <row r="1015" ht="15.75" customHeight="1">
      <c r="A1015" s="96" t="s">
        <v>236</v>
      </c>
      <c r="B1015" s="93" t="str">
        <f>IF(PROGRAMA_DETALLE!Q315="","",PROGRAMA_DETALLE!Q315)</f>
        <v/>
      </c>
      <c r="C1015" s="84" t="str">
        <f>IF(PROGRAMA_DETALLE!A315="","","Tintorería")</f>
        <v/>
      </c>
      <c r="D1015" s="94" t="str">
        <f>IF(PROGRAMA_DETALLE!AB315="","",PROGRAMA_DETALLE!AB315)</f>
        <v/>
      </c>
      <c r="E1015" s="84" t="str">
        <f>IF(PROGRAMA_DETALLE!A315="","","Teñido "&amp;PROGRAMA_DETALLE!D315&amp;" "&amp;PROGRAMA_DETALLE!B315)</f>
        <v/>
      </c>
      <c r="F1015" s="95" t="str">
        <f>IF(PROGRAMA_DETALLE!Z315=0,"",PROGRAMA_DETALLE!Z315)</f>
        <v/>
      </c>
      <c r="G1015" s="95">
        <f>IF(PROGRAMA_DETALLE!AC315="PAGADO",PROGRAMA_DETALLE!Z315,0)</f>
        <v>0</v>
      </c>
      <c r="H1015" s="95">
        <f>IF(OR(PROGRAMA_DETALLE!AC315="PENDIENTE",PROGRAMA_DETALLE!AC315="PARCIAL"),PROGRAMA_DETALLE!Z315,0)</f>
        <v>0</v>
      </c>
      <c r="I1015" s="94" t="str">
        <f>IF(PROGRAMA_DETALLE!AC315="","",PROGRAMA_DETALLE!AC315)</f>
        <v/>
      </c>
    </row>
    <row r="1016" ht="15.75" customHeight="1">
      <c r="A1016" s="96" t="s">
        <v>236</v>
      </c>
      <c r="B1016" s="93" t="str">
        <f>IF(PROGRAMA_DETALLE!Q316="","",PROGRAMA_DETALLE!Q316)</f>
        <v/>
      </c>
      <c r="C1016" s="84" t="str">
        <f>IF(PROGRAMA_DETALLE!A316="","","Tintorería")</f>
        <v/>
      </c>
      <c r="D1016" s="94" t="str">
        <f>IF(PROGRAMA_DETALLE!AB316="","",PROGRAMA_DETALLE!AB316)</f>
        <v/>
      </c>
      <c r="E1016" s="84" t="str">
        <f>IF(PROGRAMA_DETALLE!A316="","","Teñido "&amp;PROGRAMA_DETALLE!D316&amp;" "&amp;PROGRAMA_DETALLE!B316)</f>
        <v/>
      </c>
      <c r="F1016" s="95" t="str">
        <f>IF(PROGRAMA_DETALLE!Z316=0,"",PROGRAMA_DETALLE!Z316)</f>
        <v/>
      </c>
      <c r="G1016" s="95">
        <f>IF(PROGRAMA_DETALLE!AC316="PAGADO",PROGRAMA_DETALLE!Z316,0)</f>
        <v>0</v>
      </c>
      <c r="H1016" s="95">
        <f>IF(OR(PROGRAMA_DETALLE!AC316="PENDIENTE",PROGRAMA_DETALLE!AC316="PARCIAL"),PROGRAMA_DETALLE!Z316,0)</f>
        <v>0</v>
      </c>
      <c r="I1016" s="94" t="str">
        <f>IF(PROGRAMA_DETALLE!AC316="","",PROGRAMA_DETALLE!AC316)</f>
        <v/>
      </c>
    </row>
    <row r="1017" ht="15.75" customHeight="1">
      <c r="A1017" s="96" t="s">
        <v>236</v>
      </c>
      <c r="B1017" s="93" t="str">
        <f>IF(PROGRAMA_DETALLE!Q317="","",PROGRAMA_DETALLE!Q317)</f>
        <v/>
      </c>
      <c r="C1017" s="84" t="str">
        <f>IF(PROGRAMA_DETALLE!A317="","","Tintorería")</f>
        <v/>
      </c>
      <c r="D1017" s="94" t="str">
        <f>IF(PROGRAMA_DETALLE!AB317="","",PROGRAMA_DETALLE!AB317)</f>
        <v/>
      </c>
      <c r="E1017" s="84" t="str">
        <f>IF(PROGRAMA_DETALLE!A317="","","Teñido "&amp;PROGRAMA_DETALLE!D317&amp;" "&amp;PROGRAMA_DETALLE!B317)</f>
        <v/>
      </c>
      <c r="F1017" s="95" t="str">
        <f>IF(PROGRAMA_DETALLE!Z317=0,"",PROGRAMA_DETALLE!Z317)</f>
        <v/>
      </c>
      <c r="G1017" s="95">
        <f>IF(PROGRAMA_DETALLE!AC317="PAGADO",PROGRAMA_DETALLE!Z317,0)</f>
        <v>0</v>
      </c>
      <c r="H1017" s="95">
        <f>IF(OR(PROGRAMA_DETALLE!AC317="PENDIENTE",PROGRAMA_DETALLE!AC317="PARCIAL"),PROGRAMA_DETALLE!Z317,0)</f>
        <v>0</v>
      </c>
      <c r="I1017" s="94" t="str">
        <f>IF(PROGRAMA_DETALLE!AC317="","",PROGRAMA_DETALLE!AC317)</f>
        <v/>
      </c>
    </row>
    <row r="1018" ht="15.75" customHeight="1">
      <c r="A1018" s="96" t="s">
        <v>236</v>
      </c>
      <c r="B1018" s="93" t="str">
        <f>IF(PROGRAMA_DETALLE!Q318="","",PROGRAMA_DETALLE!Q318)</f>
        <v/>
      </c>
      <c r="C1018" s="84" t="str">
        <f>IF(PROGRAMA_DETALLE!A318="","","Tintorería")</f>
        <v/>
      </c>
      <c r="D1018" s="94" t="str">
        <f>IF(PROGRAMA_DETALLE!AB318="","",PROGRAMA_DETALLE!AB318)</f>
        <v/>
      </c>
      <c r="E1018" s="84" t="str">
        <f>IF(PROGRAMA_DETALLE!A318="","","Teñido "&amp;PROGRAMA_DETALLE!D318&amp;" "&amp;PROGRAMA_DETALLE!B318)</f>
        <v/>
      </c>
      <c r="F1018" s="95" t="str">
        <f>IF(PROGRAMA_DETALLE!Z318=0,"",PROGRAMA_DETALLE!Z318)</f>
        <v/>
      </c>
      <c r="G1018" s="95">
        <f>IF(PROGRAMA_DETALLE!AC318="PAGADO",PROGRAMA_DETALLE!Z318,0)</f>
        <v>0</v>
      </c>
      <c r="H1018" s="95">
        <f>IF(OR(PROGRAMA_DETALLE!AC318="PENDIENTE",PROGRAMA_DETALLE!AC318="PARCIAL"),PROGRAMA_DETALLE!Z318,0)</f>
        <v>0</v>
      </c>
      <c r="I1018" s="94" t="str">
        <f>IF(PROGRAMA_DETALLE!AC318="","",PROGRAMA_DETALLE!AC318)</f>
        <v/>
      </c>
    </row>
    <row r="1019" ht="15.75" customHeight="1">
      <c r="A1019" s="96" t="s">
        <v>236</v>
      </c>
      <c r="B1019" s="93" t="str">
        <f>IF(PROGRAMA_DETALLE!Q319="","",PROGRAMA_DETALLE!Q319)</f>
        <v/>
      </c>
      <c r="C1019" s="84" t="str">
        <f>IF(PROGRAMA_DETALLE!A319="","","Tintorería")</f>
        <v/>
      </c>
      <c r="D1019" s="94" t="str">
        <f>IF(PROGRAMA_DETALLE!AB319="","",PROGRAMA_DETALLE!AB319)</f>
        <v/>
      </c>
      <c r="E1019" s="84" t="str">
        <f>IF(PROGRAMA_DETALLE!A319="","","Teñido "&amp;PROGRAMA_DETALLE!D319&amp;" "&amp;PROGRAMA_DETALLE!B319)</f>
        <v/>
      </c>
      <c r="F1019" s="95" t="str">
        <f>IF(PROGRAMA_DETALLE!Z319=0,"",PROGRAMA_DETALLE!Z319)</f>
        <v/>
      </c>
      <c r="G1019" s="95">
        <f>IF(PROGRAMA_DETALLE!AC319="PAGADO",PROGRAMA_DETALLE!Z319,0)</f>
        <v>0</v>
      </c>
      <c r="H1019" s="95">
        <f>IF(OR(PROGRAMA_DETALLE!AC319="PENDIENTE",PROGRAMA_DETALLE!AC319="PARCIAL"),PROGRAMA_DETALLE!Z319,0)</f>
        <v>0</v>
      </c>
      <c r="I1019" s="94" t="str">
        <f>IF(PROGRAMA_DETALLE!AC319="","",PROGRAMA_DETALLE!AC319)</f>
        <v/>
      </c>
    </row>
    <row r="1020" ht="15.75" customHeight="1">
      <c r="A1020" s="96" t="s">
        <v>236</v>
      </c>
      <c r="B1020" s="93" t="str">
        <f>IF(PROGRAMA_DETALLE!Q320="","",PROGRAMA_DETALLE!Q320)</f>
        <v/>
      </c>
      <c r="C1020" s="84" t="str">
        <f>IF(PROGRAMA_DETALLE!A320="","","Tintorería")</f>
        <v/>
      </c>
      <c r="D1020" s="94" t="str">
        <f>IF(PROGRAMA_DETALLE!AB320="","",PROGRAMA_DETALLE!AB320)</f>
        <v/>
      </c>
      <c r="E1020" s="84" t="str">
        <f>IF(PROGRAMA_DETALLE!A320="","","Teñido "&amp;PROGRAMA_DETALLE!D320&amp;" "&amp;PROGRAMA_DETALLE!B320)</f>
        <v/>
      </c>
      <c r="F1020" s="95" t="str">
        <f>IF(PROGRAMA_DETALLE!Z320=0,"",PROGRAMA_DETALLE!Z320)</f>
        <v/>
      </c>
      <c r="G1020" s="95">
        <f>IF(PROGRAMA_DETALLE!AC320="PAGADO",PROGRAMA_DETALLE!Z320,0)</f>
        <v>0</v>
      </c>
      <c r="H1020" s="95">
        <f>IF(OR(PROGRAMA_DETALLE!AC320="PENDIENTE",PROGRAMA_DETALLE!AC320="PARCIAL"),PROGRAMA_DETALLE!Z320,0)</f>
        <v>0</v>
      </c>
      <c r="I1020" s="94" t="str">
        <f>IF(PROGRAMA_DETALLE!AC320="","",PROGRAMA_DETALLE!AC320)</f>
        <v/>
      </c>
    </row>
    <row r="1021" ht="15.75" customHeight="1">
      <c r="A1021" s="96" t="s">
        <v>236</v>
      </c>
      <c r="B1021" s="93" t="str">
        <f>IF(PROGRAMA_DETALLE!Q321="","",PROGRAMA_DETALLE!Q321)</f>
        <v/>
      </c>
      <c r="C1021" s="84" t="str">
        <f>IF(PROGRAMA_DETALLE!A321="","","Tintorería")</f>
        <v/>
      </c>
      <c r="D1021" s="94" t="str">
        <f>IF(PROGRAMA_DETALLE!AB321="","",PROGRAMA_DETALLE!AB321)</f>
        <v/>
      </c>
      <c r="E1021" s="84" t="str">
        <f>IF(PROGRAMA_DETALLE!A321="","","Teñido "&amp;PROGRAMA_DETALLE!D321&amp;" "&amp;PROGRAMA_DETALLE!B321)</f>
        <v/>
      </c>
      <c r="F1021" s="95" t="str">
        <f>IF(PROGRAMA_DETALLE!Z321=0,"",PROGRAMA_DETALLE!Z321)</f>
        <v/>
      </c>
      <c r="G1021" s="95">
        <f>IF(PROGRAMA_DETALLE!AC321="PAGADO",PROGRAMA_DETALLE!Z321,0)</f>
        <v>0</v>
      </c>
      <c r="H1021" s="95">
        <f>IF(OR(PROGRAMA_DETALLE!AC321="PENDIENTE",PROGRAMA_DETALLE!AC321="PARCIAL"),PROGRAMA_DETALLE!Z321,0)</f>
        <v>0</v>
      </c>
      <c r="I1021" s="94" t="str">
        <f>IF(PROGRAMA_DETALLE!AC321="","",PROGRAMA_DETALLE!AC321)</f>
        <v/>
      </c>
    </row>
    <row r="1022" ht="15.75" customHeight="1">
      <c r="A1022" s="96" t="s">
        <v>236</v>
      </c>
      <c r="B1022" s="93" t="str">
        <f>IF(PROGRAMA_DETALLE!Q322="","",PROGRAMA_DETALLE!Q322)</f>
        <v/>
      </c>
      <c r="C1022" s="84" t="str">
        <f>IF(PROGRAMA_DETALLE!A322="","","Tintorería")</f>
        <v/>
      </c>
      <c r="D1022" s="94" t="str">
        <f>IF(PROGRAMA_DETALLE!AB322="","",PROGRAMA_DETALLE!AB322)</f>
        <v/>
      </c>
      <c r="E1022" s="84" t="str">
        <f>IF(PROGRAMA_DETALLE!A322="","","Teñido "&amp;PROGRAMA_DETALLE!D322&amp;" "&amp;PROGRAMA_DETALLE!B322)</f>
        <v/>
      </c>
      <c r="F1022" s="95" t="str">
        <f>IF(PROGRAMA_DETALLE!Z322=0,"",PROGRAMA_DETALLE!Z322)</f>
        <v/>
      </c>
      <c r="G1022" s="95">
        <f>IF(PROGRAMA_DETALLE!AC322="PAGADO",PROGRAMA_DETALLE!Z322,0)</f>
        <v>0</v>
      </c>
      <c r="H1022" s="95">
        <f>IF(OR(PROGRAMA_DETALLE!AC322="PENDIENTE",PROGRAMA_DETALLE!AC322="PARCIAL"),PROGRAMA_DETALLE!Z322,0)</f>
        <v>0</v>
      </c>
      <c r="I1022" s="94" t="str">
        <f>IF(PROGRAMA_DETALLE!AC322="","",PROGRAMA_DETALLE!AC322)</f>
        <v/>
      </c>
    </row>
    <row r="1023" ht="15.75" customHeight="1">
      <c r="A1023" s="96" t="s">
        <v>236</v>
      </c>
      <c r="B1023" s="93" t="str">
        <f>IF(PROGRAMA_DETALLE!Q323="","",PROGRAMA_DETALLE!Q323)</f>
        <v/>
      </c>
      <c r="C1023" s="84" t="str">
        <f>IF(PROGRAMA_DETALLE!A323="","","Tintorería")</f>
        <v/>
      </c>
      <c r="D1023" s="94" t="str">
        <f>IF(PROGRAMA_DETALLE!AB323="","",PROGRAMA_DETALLE!AB323)</f>
        <v/>
      </c>
      <c r="E1023" s="84" t="str">
        <f>IF(PROGRAMA_DETALLE!A323="","","Teñido "&amp;PROGRAMA_DETALLE!D323&amp;" "&amp;PROGRAMA_DETALLE!B323)</f>
        <v/>
      </c>
      <c r="F1023" s="95" t="str">
        <f>IF(PROGRAMA_DETALLE!Z323=0,"",PROGRAMA_DETALLE!Z323)</f>
        <v/>
      </c>
      <c r="G1023" s="95">
        <f>IF(PROGRAMA_DETALLE!AC323="PAGADO",PROGRAMA_DETALLE!Z323,0)</f>
        <v>0</v>
      </c>
      <c r="H1023" s="95">
        <f>IF(OR(PROGRAMA_DETALLE!AC323="PENDIENTE",PROGRAMA_DETALLE!AC323="PARCIAL"),PROGRAMA_DETALLE!Z323,0)</f>
        <v>0</v>
      </c>
      <c r="I1023" s="94" t="str">
        <f>IF(PROGRAMA_DETALLE!AC323="","",PROGRAMA_DETALLE!AC323)</f>
        <v/>
      </c>
    </row>
    <row r="1024" ht="15.75" customHeight="1">
      <c r="A1024" s="96" t="s">
        <v>236</v>
      </c>
      <c r="B1024" s="93" t="str">
        <f>IF(PROGRAMA_DETALLE!Q324="","",PROGRAMA_DETALLE!Q324)</f>
        <v/>
      </c>
      <c r="C1024" s="84" t="str">
        <f>IF(PROGRAMA_DETALLE!A324="","","Tintorería")</f>
        <v/>
      </c>
      <c r="D1024" s="94" t="str">
        <f>IF(PROGRAMA_DETALLE!AB324="","",PROGRAMA_DETALLE!AB324)</f>
        <v/>
      </c>
      <c r="E1024" s="84" t="str">
        <f>IF(PROGRAMA_DETALLE!A324="","","Teñido "&amp;PROGRAMA_DETALLE!D324&amp;" "&amp;PROGRAMA_DETALLE!B324)</f>
        <v/>
      </c>
      <c r="F1024" s="95" t="str">
        <f>IF(PROGRAMA_DETALLE!Z324=0,"",PROGRAMA_DETALLE!Z324)</f>
        <v/>
      </c>
      <c r="G1024" s="95">
        <f>IF(PROGRAMA_DETALLE!AC324="PAGADO",PROGRAMA_DETALLE!Z324,0)</f>
        <v>0</v>
      </c>
      <c r="H1024" s="95">
        <f>IF(OR(PROGRAMA_DETALLE!AC324="PENDIENTE",PROGRAMA_DETALLE!AC324="PARCIAL"),PROGRAMA_DETALLE!Z324,0)</f>
        <v>0</v>
      </c>
      <c r="I1024" s="94" t="str">
        <f>IF(PROGRAMA_DETALLE!AC324="","",PROGRAMA_DETALLE!AC324)</f>
        <v/>
      </c>
    </row>
    <row r="1025" ht="15.75" customHeight="1">
      <c r="A1025" s="96" t="s">
        <v>236</v>
      </c>
      <c r="B1025" s="93" t="str">
        <f>IF(PROGRAMA_DETALLE!Q325="","",PROGRAMA_DETALLE!Q325)</f>
        <v/>
      </c>
      <c r="C1025" s="84" t="str">
        <f>IF(PROGRAMA_DETALLE!A325="","","Tintorería")</f>
        <v/>
      </c>
      <c r="D1025" s="94" t="str">
        <f>IF(PROGRAMA_DETALLE!AB325="","",PROGRAMA_DETALLE!AB325)</f>
        <v/>
      </c>
      <c r="E1025" s="84" t="str">
        <f>IF(PROGRAMA_DETALLE!A325="","","Teñido "&amp;PROGRAMA_DETALLE!D325&amp;" "&amp;PROGRAMA_DETALLE!B325)</f>
        <v/>
      </c>
      <c r="F1025" s="95" t="str">
        <f>IF(PROGRAMA_DETALLE!Z325=0,"",PROGRAMA_DETALLE!Z325)</f>
        <v/>
      </c>
      <c r="G1025" s="95">
        <f>IF(PROGRAMA_DETALLE!AC325="PAGADO",PROGRAMA_DETALLE!Z325,0)</f>
        <v>0</v>
      </c>
      <c r="H1025" s="95">
        <f>IF(OR(PROGRAMA_DETALLE!AC325="PENDIENTE",PROGRAMA_DETALLE!AC325="PARCIAL"),PROGRAMA_DETALLE!Z325,0)</f>
        <v>0</v>
      </c>
      <c r="I1025" s="94" t="str">
        <f>IF(PROGRAMA_DETALLE!AC325="","",PROGRAMA_DETALLE!AC325)</f>
        <v/>
      </c>
    </row>
    <row r="1026" ht="15.75" customHeight="1">
      <c r="A1026" s="96" t="s">
        <v>236</v>
      </c>
      <c r="B1026" s="93" t="str">
        <f>IF(PROGRAMA_DETALLE!Q326="","",PROGRAMA_DETALLE!Q326)</f>
        <v/>
      </c>
      <c r="C1026" s="84" t="str">
        <f>IF(PROGRAMA_DETALLE!A326="","","Tintorería")</f>
        <v/>
      </c>
      <c r="D1026" s="94" t="str">
        <f>IF(PROGRAMA_DETALLE!AB326="","",PROGRAMA_DETALLE!AB326)</f>
        <v/>
      </c>
      <c r="E1026" s="84" t="str">
        <f>IF(PROGRAMA_DETALLE!A326="","","Teñido "&amp;PROGRAMA_DETALLE!D326&amp;" "&amp;PROGRAMA_DETALLE!B326)</f>
        <v/>
      </c>
      <c r="F1026" s="95" t="str">
        <f>IF(PROGRAMA_DETALLE!Z326=0,"",PROGRAMA_DETALLE!Z326)</f>
        <v/>
      </c>
      <c r="G1026" s="95">
        <f>IF(PROGRAMA_DETALLE!AC326="PAGADO",PROGRAMA_DETALLE!Z326,0)</f>
        <v>0</v>
      </c>
      <c r="H1026" s="95">
        <f>IF(OR(PROGRAMA_DETALLE!AC326="PENDIENTE",PROGRAMA_DETALLE!AC326="PARCIAL"),PROGRAMA_DETALLE!Z326,0)</f>
        <v>0</v>
      </c>
      <c r="I1026" s="94" t="str">
        <f>IF(PROGRAMA_DETALLE!AC326="","",PROGRAMA_DETALLE!AC326)</f>
        <v/>
      </c>
    </row>
    <row r="1027" ht="15.75" customHeight="1">
      <c r="A1027" s="96" t="s">
        <v>236</v>
      </c>
      <c r="B1027" s="93" t="str">
        <f>IF(PROGRAMA_DETALLE!Q327="","",PROGRAMA_DETALLE!Q327)</f>
        <v/>
      </c>
      <c r="C1027" s="84" t="str">
        <f>IF(PROGRAMA_DETALLE!A327="","","Tintorería")</f>
        <v/>
      </c>
      <c r="D1027" s="94" t="str">
        <f>IF(PROGRAMA_DETALLE!AB327="","",PROGRAMA_DETALLE!AB327)</f>
        <v/>
      </c>
      <c r="E1027" s="84" t="str">
        <f>IF(PROGRAMA_DETALLE!A327="","","Teñido "&amp;PROGRAMA_DETALLE!D327&amp;" "&amp;PROGRAMA_DETALLE!B327)</f>
        <v/>
      </c>
      <c r="F1027" s="95" t="str">
        <f>IF(PROGRAMA_DETALLE!Z327=0,"",PROGRAMA_DETALLE!Z327)</f>
        <v/>
      </c>
      <c r="G1027" s="95">
        <f>IF(PROGRAMA_DETALLE!AC327="PAGADO",PROGRAMA_DETALLE!Z327,0)</f>
        <v>0</v>
      </c>
      <c r="H1027" s="95">
        <f>IF(OR(PROGRAMA_DETALLE!AC327="PENDIENTE",PROGRAMA_DETALLE!AC327="PARCIAL"),PROGRAMA_DETALLE!Z327,0)</f>
        <v>0</v>
      </c>
      <c r="I1027" s="94" t="str">
        <f>IF(PROGRAMA_DETALLE!AC327="","",PROGRAMA_DETALLE!AC327)</f>
        <v/>
      </c>
    </row>
    <row r="1028" ht="15.75" customHeight="1">
      <c r="A1028" s="96" t="s">
        <v>236</v>
      </c>
      <c r="B1028" s="93" t="str">
        <f>IF(PROGRAMA_DETALLE!Q328="","",PROGRAMA_DETALLE!Q328)</f>
        <v/>
      </c>
      <c r="C1028" s="84" t="str">
        <f>IF(PROGRAMA_DETALLE!A328="","","Tintorería")</f>
        <v/>
      </c>
      <c r="D1028" s="94" t="str">
        <f>IF(PROGRAMA_DETALLE!AB328="","",PROGRAMA_DETALLE!AB328)</f>
        <v/>
      </c>
      <c r="E1028" s="84" t="str">
        <f>IF(PROGRAMA_DETALLE!A328="","","Teñido "&amp;PROGRAMA_DETALLE!D328&amp;" "&amp;PROGRAMA_DETALLE!B328)</f>
        <v/>
      </c>
      <c r="F1028" s="95" t="str">
        <f>IF(PROGRAMA_DETALLE!Z328=0,"",PROGRAMA_DETALLE!Z328)</f>
        <v/>
      </c>
      <c r="G1028" s="95">
        <f>IF(PROGRAMA_DETALLE!AC328="PAGADO",PROGRAMA_DETALLE!Z328,0)</f>
        <v>0</v>
      </c>
      <c r="H1028" s="95">
        <f>IF(OR(PROGRAMA_DETALLE!AC328="PENDIENTE",PROGRAMA_DETALLE!AC328="PARCIAL"),PROGRAMA_DETALLE!Z328,0)</f>
        <v>0</v>
      </c>
      <c r="I1028" s="94" t="str">
        <f>IF(PROGRAMA_DETALLE!AC328="","",PROGRAMA_DETALLE!AC328)</f>
        <v/>
      </c>
    </row>
    <row r="1029" ht="15.75" customHeight="1">
      <c r="A1029" s="96" t="s">
        <v>236</v>
      </c>
      <c r="B1029" s="93" t="str">
        <f>IF(PROGRAMA_DETALLE!Q329="","",PROGRAMA_DETALLE!Q329)</f>
        <v/>
      </c>
      <c r="C1029" s="84" t="str">
        <f>IF(PROGRAMA_DETALLE!A329="","","Tintorería")</f>
        <v/>
      </c>
      <c r="D1029" s="94" t="str">
        <f>IF(PROGRAMA_DETALLE!AB329="","",PROGRAMA_DETALLE!AB329)</f>
        <v/>
      </c>
      <c r="E1029" s="84" t="str">
        <f>IF(PROGRAMA_DETALLE!A329="","","Teñido "&amp;PROGRAMA_DETALLE!D329&amp;" "&amp;PROGRAMA_DETALLE!B329)</f>
        <v/>
      </c>
      <c r="F1029" s="95" t="str">
        <f>IF(PROGRAMA_DETALLE!Z329=0,"",PROGRAMA_DETALLE!Z329)</f>
        <v/>
      </c>
      <c r="G1029" s="95">
        <f>IF(PROGRAMA_DETALLE!AC329="PAGADO",PROGRAMA_DETALLE!Z329,0)</f>
        <v>0</v>
      </c>
      <c r="H1029" s="95">
        <f>IF(OR(PROGRAMA_DETALLE!AC329="PENDIENTE",PROGRAMA_DETALLE!AC329="PARCIAL"),PROGRAMA_DETALLE!Z329,0)</f>
        <v>0</v>
      </c>
      <c r="I1029" s="94" t="str">
        <f>IF(PROGRAMA_DETALLE!AC329="","",PROGRAMA_DETALLE!AC329)</f>
        <v/>
      </c>
    </row>
    <row r="1030" ht="15.75" customHeight="1">
      <c r="A1030" s="96" t="s">
        <v>236</v>
      </c>
      <c r="B1030" s="93" t="str">
        <f>IF(PROGRAMA_DETALLE!Q330="","",PROGRAMA_DETALLE!Q330)</f>
        <v/>
      </c>
      <c r="C1030" s="84" t="str">
        <f>IF(PROGRAMA_DETALLE!A330="","","Tintorería")</f>
        <v/>
      </c>
      <c r="D1030" s="94" t="str">
        <f>IF(PROGRAMA_DETALLE!AB330="","",PROGRAMA_DETALLE!AB330)</f>
        <v/>
      </c>
      <c r="E1030" s="84" t="str">
        <f>IF(PROGRAMA_DETALLE!A330="","","Teñido "&amp;PROGRAMA_DETALLE!D330&amp;" "&amp;PROGRAMA_DETALLE!B330)</f>
        <v/>
      </c>
      <c r="F1030" s="95" t="str">
        <f>IF(PROGRAMA_DETALLE!Z330=0,"",PROGRAMA_DETALLE!Z330)</f>
        <v/>
      </c>
      <c r="G1030" s="95">
        <f>IF(PROGRAMA_DETALLE!AC330="PAGADO",PROGRAMA_DETALLE!Z330,0)</f>
        <v>0</v>
      </c>
      <c r="H1030" s="95">
        <f>IF(OR(PROGRAMA_DETALLE!AC330="PENDIENTE",PROGRAMA_DETALLE!AC330="PARCIAL"),PROGRAMA_DETALLE!Z330,0)</f>
        <v>0</v>
      </c>
      <c r="I1030" s="94" t="str">
        <f>IF(PROGRAMA_DETALLE!AC330="","",PROGRAMA_DETALLE!AC330)</f>
        <v/>
      </c>
    </row>
    <row r="1031" ht="15.75" customHeight="1">
      <c r="A1031" s="96" t="s">
        <v>236</v>
      </c>
      <c r="B1031" s="93" t="str">
        <f>IF(PROGRAMA_DETALLE!Q331="","",PROGRAMA_DETALLE!Q331)</f>
        <v/>
      </c>
      <c r="C1031" s="84" t="str">
        <f>IF(PROGRAMA_DETALLE!A331="","","Tintorería")</f>
        <v/>
      </c>
      <c r="D1031" s="94" t="str">
        <f>IF(PROGRAMA_DETALLE!AB331="","",PROGRAMA_DETALLE!AB331)</f>
        <v/>
      </c>
      <c r="E1031" s="84" t="str">
        <f>IF(PROGRAMA_DETALLE!A331="","","Teñido "&amp;PROGRAMA_DETALLE!D331&amp;" "&amp;PROGRAMA_DETALLE!B331)</f>
        <v/>
      </c>
      <c r="F1031" s="95" t="str">
        <f>IF(PROGRAMA_DETALLE!Z331=0,"",PROGRAMA_DETALLE!Z331)</f>
        <v/>
      </c>
      <c r="G1031" s="95">
        <f>IF(PROGRAMA_DETALLE!AC331="PAGADO",PROGRAMA_DETALLE!Z331,0)</f>
        <v>0</v>
      </c>
      <c r="H1031" s="95">
        <f>IF(OR(PROGRAMA_DETALLE!AC331="PENDIENTE",PROGRAMA_DETALLE!AC331="PARCIAL"),PROGRAMA_DETALLE!Z331,0)</f>
        <v>0</v>
      </c>
      <c r="I1031" s="94" t="str">
        <f>IF(PROGRAMA_DETALLE!AC331="","",PROGRAMA_DETALLE!AC331)</f>
        <v/>
      </c>
    </row>
    <row r="1032" ht="15.75" customHeight="1">
      <c r="A1032" s="96" t="s">
        <v>236</v>
      </c>
      <c r="B1032" s="93" t="str">
        <f>IF(PROGRAMA_DETALLE!Q332="","",PROGRAMA_DETALLE!Q332)</f>
        <v/>
      </c>
      <c r="C1032" s="84" t="str">
        <f>IF(PROGRAMA_DETALLE!A332="","","Tintorería")</f>
        <v/>
      </c>
      <c r="D1032" s="94" t="str">
        <f>IF(PROGRAMA_DETALLE!AB332="","",PROGRAMA_DETALLE!AB332)</f>
        <v/>
      </c>
      <c r="E1032" s="84" t="str">
        <f>IF(PROGRAMA_DETALLE!A332="","","Teñido "&amp;PROGRAMA_DETALLE!D332&amp;" "&amp;PROGRAMA_DETALLE!B332)</f>
        <v/>
      </c>
      <c r="F1032" s="95" t="str">
        <f>IF(PROGRAMA_DETALLE!Z332=0,"",PROGRAMA_DETALLE!Z332)</f>
        <v/>
      </c>
      <c r="G1032" s="95">
        <f>IF(PROGRAMA_DETALLE!AC332="PAGADO",PROGRAMA_DETALLE!Z332,0)</f>
        <v>0</v>
      </c>
      <c r="H1032" s="95">
        <f>IF(OR(PROGRAMA_DETALLE!AC332="PENDIENTE",PROGRAMA_DETALLE!AC332="PARCIAL"),PROGRAMA_DETALLE!Z332,0)</f>
        <v>0</v>
      </c>
      <c r="I1032" s="94" t="str">
        <f>IF(PROGRAMA_DETALLE!AC332="","",PROGRAMA_DETALLE!AC332)</f>
        <v/>
      </c>
    </row>
    <row r="1033" ht="15.75" customHeight="1">
      <c r="A1033" s="96" t="s">
        <v>236</v>
      </c>
      <c r="B1033" s="93" t="str">
        <f>IF(PROGRAMA_DETALLE!Q333="","",PROGRAMA_DETALLE!Q333)</f>
        <v/>
      </c>
      <c r="C1033" s="84" t="str">
        <f>IF(PROGRAMA_DETALLE!A333="","","Tintorería")</f>
        <v/>
      </c>
      <c r="D1033" s="94" t="str">
        <f>IF(PROGRAMA_DETALLE!AB333="","",PROGRAMA_DETALLE!AB333)</f>
        <v/>
      </c>
      <c r="E1033" s="84" t="str">
        <f>IF(PROGRAMA_DETALLE!A333="","","Teñido "&amp;PROGRAMA_DETALLE!D333&amp;" "&amp;PROGRAMA_DETALLE!B333)</f>
        <v/>
      </c>
      <c r="F1033" s="95" t="str">
        <f>IF(PROGRAMA_DETALLE!Z333=0,"",PROGRAMA_DETALLE!Z333)</f>
        <v/>
      </c>
      <c r="G1033" s="95">
        <f>IF(PROGRAMA_DETALLE!AC333="PAGADO",PROGRAMA_DETALLE!Z333,0)</f>
        <v>0</v>
      </c>
      <c r="H1033" s="95">
        <f>IF(OR(PROGRAMA_DETALLE!AC333="PENDIENTE",PROGRAMA_DETALLE!AC333="PARCIAL"),PROGRAMA_DETALLE!Z333,0)</f>
        <v>0</v>
      </c>
      <c r="I1033" s="94" t="str">
        <f>IF(PROGRAMA_DETALLE!AC333="","",PROGRAMA_DETALLE!AC333)</f>
        <v/>
      </c>
    </row>
    <row r="1034" ht="15.75" customHeight="1">
      <c r="A1034" s="96" t="s">
        <v>236</v>
      </c>
      <c r="B1034" s="93" t="str">
        <f>IF(PROGRAMA_DETALLE!Q334="","",PROGRAMA_DETALLE!Q334)</f>
        <v/>
      </c>
      <c r="C1034" s="84" t="str">
        <f>IF(PROGRAMA_DETALLE!A334="","","Tintorería")</f>
        <v/>
      </c>
      <c r="D1034" s="94" t="str">
        <f>IF(PROGRAMA_DETALLE!AB334="","",PROGRAMA_DETALLE!AB334)</f>
        <v/>
      </c>
      <c r="E1034" s="84" t="str">
        <f>IF(PROGRAMA_DETALLE!A334="","","Teñido "&amp;PROGRAMA_DETALLE!D334&amp;" "&amp;PROGRAMA_DETALLE!B334)</f>
        <v/>
      </c>
      <c r="F1034" s="95" t="str">
        <f>IF(PROGRAMA_DETALLE!Z334=0,"",PROGRAMA_DETALLE!Z334)</f>
        <v/>
      </c>
      <c r="G1034" s="95">
        <f>IF(PROGRAMA_DETALLE!AC334="PAGADO",PROGRAMA_DETALLE!Z334,0)</f>
        <v>0</v>
      </c>
      <c r="H1034" s="95">
        <f>IF(OR(PROGRAMA_DETALLE!AC334="PENDIENTE",PROGRAMA_DETALLE!AC334="PARCIAL"),PROGRAMA_DETALLE!Z334,0)</f>
        <v>0</v>
      </c>
      <c r="I1034" s="94" t="str">
        <f>IF(PROGRAMA_DETALLE!AC334="","",PROGRAMA_DETALLE!AC334)</f>
        <v/>
      </c>
    </row>
    <row r="1035" ht="15.75" customHeight="1">
      <c r="A1035" s="96" t="s">
        <v>236</v>
      </c>
      <c r="B1035" s="93" t="str">
        <f>IF(PROGRAMA_DETALLE!Q335="","",PROGRAMA_DETALLE!Q335)</f>
        <v/>
      </c>
      <c r="C1035" s="84" t="str">
        <f>IF(PROGRAMA_DETALLE!A335="","","Tintorería")</f>
        <v/>
      </c>
      <c r="D1035" s="94" t="str">
        <f>IF(PROGRAMA_DETALLE!AB335="","",PROGRAMA_DETALLE!AB335)</f>
        <v/>
      </c>
      <c r="E1035" s="84" t="str">
        <f>IF(PROGRAMA_DETALLE!A335="","","Teñido "&amp;PROGRAMA_DETALLE!D335&amp;" "&amp;PROGRAMA_DETALLE!B335)</f>
        <v/>
      </c>
      <c r="F1035" s="95" t="str">
        <f>IF(PROGRAMA_DETALLE!Z335=0,"",PROGRAMA_DETALLE!Z335)</f>
        <v/>
      </c>
      <c r="G1035" s="95">
        <f>IF(PROGRAMA_DETALLE!AC335="PAGADO",PROGRAMA_DETALLE!Z335,0)</f>
        <v>0</v>
      </c>
      <c r="H1035" s="95">
        <f>IF(OR(PROGRAMA_DETALLE!AC335="PENDIENTE",PROGRAMA_DETALLE!AC335="PARCIAL"),PROGRAMA_DETALLE!Z335,0)</f>
        <v>0</v>
      </c>
      <c r="I1035" s="94" t="str">
        <f>IF(PROGRAMA_DETALLE!AC335="","",PROGRAMA_DETALLE!AC335)</f>
        <v/>
      </c>
    </row>
    <row r="1036" ht="15.75" customHeight="1">
      <c r="A1036" s="96" t="s">
        <v>236</v>
      </c>
      <c r="B1036" s="93" t="str">
        <f>IF(PROGRAMA_DETALLE!Q336="","",PROGRAMA_DETALLE!Q336)</f>
        <v/>
      </c>
      <c r="C1036" s="84" t="str">
        <f>IF(PROGRAMA_DETALLE!A336="","","Tintorería")</f>
        <v/>
      </c>
      <c r="D1036" s="94" t="str">
        <f>IF(PROGRAMA_DETALLE!AB336="","",PROGRAMA_DETALLE!AB336)</f>
        <v/>
      </c>
      <c r="E1036" s="84" t="str">
        <f>IF(PROGRAMA_DETALLE!A336="","","Teñido "&amp;PROGRAMA_DETALLE!D336&amp;" "&amp;PROGRAMA_DETALLE!B336)</f>
        <v/>
      </c>
      <c r="F1036" s="95" t="str">
        <f>IF(PROGRAMA_DETALLE!Z336=0,"",PROGRAMA_DETALLE!Z336)</f>
        <v/>
      </c>
      <c r="G1036" s="95">
        <f>IF(PROGRAMA_DETALLE!AC336="PAGADO",PROGRAMA_DETALLE!Z336,0)</f>
        <v>0</v>
      </c>
      <c r="H1036" s="95">
        <f>IF(OR(PROGRAMA_DETALLE!AC336="PENDIENTE",PROGRAMA_DETALLE!AC336="PARCIAL"),PROGRAMA_DETALLE!Z336,0)</f>
        <v>0</v>
      </c>
      <c r="I1036" s="94" t="str">
        <f>IF(PROGRAMA_DETALLE!AC336="","",PROGRAMA_DETALLE!AC336)</f>
        <v/>
      </c>
    </row>
    <row r="1037" ht="15.75" customHeight="1">
      <c r="A1037" s="96" t="s">
        <v>236</v>
      </c>
      <c r="B1037" s="93" t="str">
        <f>IF(PROGRAMA_DETALLE!Q337="","",PROGRAMA_DETALLE!Q337)</f>
        <v/>
      </c>
      <c r="C1037" s="84" t="str">
        <f>IF(PROGRAMA_DETALLE!A337="","","Tintorería")</f>
        <v/>
      </c>
      <c r="D1037" s="94" t="str">
        <f>IF(PROGRAMA_DETALLE!AB337="","",PROGRAMA_DETALLE!AB337)</f>
        <v/>
      </c>
      <c r="E1037" s="84" t="str">
        <f>IF(PROGRAMA_DETALLE!A337="","","Teñido "&amp;PROGRAMA_DETALLE!D337&amp;" "&amp;PROGRAMA_DETALLE!B337)</f>
        <v/>
      </c>
      <c r="F1037" s="95" t="str">
        <f>IF(PROGRAMA_DETALLE!Z337=0,"",PROGRAMA_DETALLE!Z337)</f>
        <v/>
      </c>
      <c r="G1037" s="95">
        <f>IF(PROGRAMA_DETALLE!AC337="PAGADO",PROGRAMA_DETALLE!Z337,0)</f>
        <v>0</v>
      </c>
      <c r="H1037" s="95">
        <f>IF(OR(PROGRAMA_DETALLE!AC337="PENDIENTE",PROGRAMA_DETALLE!AC337="PARCIAL"),PROGRAMA_DETALLE!Z337,0)</f>
        <v>0</v>
      </c>
      <c r="I1037" s="94" t="str">
        <f>IF(PROGRAMA_DETALLE!AC337="","",PROGRAMA_DETALLE!AC337)</f>
        <v/>
      </c>
    </row>
    <row r="1038" ht="15.75" customHeight="1">
      <c r="A1038" s="96" t="s">
        <v>236</v>
      </c>
      <c r="B1038" s="93" t="str">
        <f>IF(PROGRAMA_DETALLE!Q338="","",PROGRAMA_DETALLE!Q338)</f>
        <v/>
      </c>
      <c r="C1038" s="84" t="str">
        <f>IF(PROGRAMA_DETALLE!A338="","","Tintorería")</f>
        <v/>
      </c>
      <c r="D1038" s="94" t="str">
        <f>IF(PROGRAMA_DETALLE!AB338="","",PROGRAMA_DETALLE!AB338)</f>
        <v/>
      </c>
      <c r="E1038" s="84" t="str">
        <f>IF(PROGRAMA_DETALLE!A338="","","Teñido "&amp;PROGRAMA_DETALLE!D338&amp;" "&amp;PROGRAMA_DETALLE!B338)</f>
        <v/>
      </c>
      <c r="F1038" s="95" t="str">
        <f>IF(PROGRAMA_DETALLE!Z338=0,"",PROGRAMA_DETALLE!Z338)</f>
        <v/>
      </c>
      <c r="G1038" s="95">
        <f>IF(PROGRAMA_DETALLE!AC338="PAGADO",PROGRAMA_DETALLE!Z338,0)</f>
        <v>0</v>
      </c>
      <c r="H1038" s="95">
        <f>IF(OR(PROGRAMA_DETALLE!AC338="PENDIENTE",PROGRAMA_DETALLE!AC338="PARCIAL"),PROGRAMA_DETALLE!Z338,0)</f>
        <v>0</v>
      </c>
      <c r="I1038" s="94" t="str">
        <f>IF(PROGRAMA_DETALLE!AC338="","",PROGRAMA_DETALLE!AC338)</f>
        <v/>
      </c>
    </row>
    <row r="1039" ht="15.75" customHeight="1">
      <c r="A1039" s="96" t="s">
        <v>236</v>
      </c>
      <c r="B1039" s="93" t="str">
        <f>IF(PROGRAMA_DETALLE!Q339="","",PROGRAMA_DETALLE!Q339)</f>
        <v/>
      </c>
      <c r="C1039" s="84" t="str">
        <f>IF(PROGRAMA_DETALLE!A339="","","Tintorería")</f>
        <v/>
      </c>
      <c r="D1039" s="94" t="str">
        <f>IF(PROGRAMA_DETALLE!AB339="","",PROGRAMA_DETALLE!AB339)</f>
        <v/>
      </c>
      <c r="E1039" s="84" t="str">
        <f>IF(PROGRAMA_DETALLE!A339="","","Teñido "&amp;PROGRAMA_DETALLE!D339&amp;" "&amp;PROGRAMA_DETALLE!B339)</f>
        <v/>
      </c>
      <c r="F1039" s="95" t="str">
        <f>IF(PROGRAMA_DETALLE!Z339=0,"",PROGRAMA_DETALLE!Z339)</f>
        <v/>
      </c>
      <c r="G1039" s="95">
        <f>IF(PROGRAMA_DETALLE!AC339="PAGADO",PROGRAMA_DETALLE!Z339,0)</f>
        <v>0</v>
      </c>
      <c r="H1039" s="95">
        <f>IF(OR(PROGRAMA_DETALLE!AC339="PENDIENTE",PROGRAMA_DETALLE!AC339="PARCIAL"),PROGRAMA_DETALLE!Z339,0)</f>
        <v>0</v>
      </c>
      <c r="I1039" s="94" t="str">
        <f>IF(PROGRAMA_DETALLE!AC339="","",PROGRAMA_DETALLE!AC339)</f>
        <v/>
      </c>
    </row>
    <row r="1040" ht="15.75" customHeight="1">
      <c r="A1040" s="96" t="s">
        <v>236</v>
      </c>
      <c r="B1040" s="93" t="str">
        <f>IF(PROGRAMA_DETALLE!Q340="","",PROGRAMA_DETALLE!Q340)</f>
        <v/>
      </c>
      <c r="C1040" s="84" t="str">
        <f>IF(PROGRAMA_DETALLE!A340="","","Tintorería")</f>
        <v/>
      </c>
      <c r="D1040" s="94" t="str">
        <f>IF(PROGRAMA_DETALLE!AB340="","",PROGRAMA_DETALLE!AB340)</f>
        <v/>
      </c>
      <c r="E1040" s="84" t="str">
        <f>IF(PROGRAMA_DETALLE!A340="","","Teñido "&amp;PROGRAMA_DETALLE!D340&amp;" "&amp;PROGRAMA_DETALLE!B340)</f>
        <v/>
      </c>
      <c r="F1040" s="95" t="str">
        <f>IF(PROGRAMA_DETALLE!Z340=0,"",PROGRAMA_DETALLE!Z340)</f>
        <v/>
      </c>
      <c r="G1040" s="95">
        <f>IF(PROGRAMA_DETALLE!AC340="PAGADO",PROGRAMA_DETALLE!Z340,0)</f>
        <v>0</v>
      </c>
      <c r="H1040" s="95">
        <f>IF(OR(PROGRAMA_DETALLE!AC340="PENDIENTE",PROGRAMA_DETALLE!AC340="PARCIAL"),PROGRAMA_DETALLE!Z340,0)</f>
        <v>0</v>
      </c>
      <c r="I1040" s="94" t="str">
        <f>IF(PROGRAMA_DETALLE!AC340="","",PROGRAMA_DETALLE!AC340)</f>
        <v/>
      </c>
    </row>
    <row r="1041" ht="15.75" customHeight="1">
      <c r="A1041" s="96" t="s">
        <v>236</v>
      </c>
      <c r="B1041" s="93" t="str">
        <f>IF(PROGRAMA_DETALLE!Q341="","",PROGRAMA_DETALLE!Q341)</f>
        <v/>
      </c>
      <c r="C1041" s="84" t="str">
        <f>IF(PROGRAMA_DETALLE!A341="","","Tintorería")</f>
        <v/>
      </c>
      <c r="D1041" s="94" t="str">
        <f>IF(PROGRAMA_DETALLE!AB341="","",PROGRAMA_DETALLE!AB341)</f>
        <v/>
      </c>
      <c r="E1041" s="84" t="str">
        <f>IF(PROGRAMA_DETALLE!A341="","","Teñido "&amp;PROGRAMA_DETALLE!D341&amp;" "&amp;PROGRAMA_DETALLE!B341)</f>
        <v/>
      </c>
      <c r="F1041" s="95" t="str">
        <f>IF(PROGRAMA_DETALLE!Z341=0,"",PROGRAMA_DETALLE!Z341)</f>
        <v/>
      </c>
      <c r="G1041" s="95">
        <f>IF(PROGRAMA_DETALLE!AC341="PAGADO",PROGRAMA_DETALLE!Z341,0)</f>
        <v>0</v>
      </c>
      <c r="H1041" s="95">
        <f>IF(OR(PROGRAMA_DETALLE!AC341="PENDIENTE",PROGRAMA_DETALLE!AC341="PARCIAL"),PROGRAMA_DETALLE!Z341,0)</f>
        <v>0</v>
      </c>
      <c r="I1041" s="94" t="str">
        <f>IF(PROGRAMA_DETALLE!AC341="","",PROGRAMA_DETALLE!AC341)</f>
        <v/>
      </c>
    </row>
    <row r="1042" ht="15.75" customHeight="1">
      <c r="A1042" s="96" t="s">
        <v>236</v>
      </c>
      <c r="B1042" s="93" t="str">
        <f>IF(PROGRAMA_DETALLE!Q342="","",PROGRAMA_DETALLE!Q342)</f>
        <v/>
      </c>
      <c r="C1042" s="84" t="str">
        <f>IF(PROGRAMA_DETALLE!A342="","","Tintorería")</f>
        <v/>
      </c>
      <c r="D1042" s="94" t="str">
        <f>IF(PROGRAMA_DETALLE!AB342="","",PROGRAMA_DETALLE!AB342)</f>
        <v/>
      </c>
      <c r="E1042" s="84" t="str">
        <f>IF(PROGRAMA_DETALLE!A342="","","Teñido "&amp;PROGRAMA_DETALLE!D342&amp;" "&amp;PROGRAMA_DETALLE!B342)</f>
        <v/>
      </c>
      <c r="F1042" s="95" t="str">
        <f>IF(PROGRAMA_DETALLE!Z342=0,"",PROGRAMA_DETALLE!Z342)</f>
        <v/>
      </c>
      <c r="G1042" s="95">
        <f>IF(PROGRAMA_DETALLE!AC342="PAGADO",PROGRAMA_DETALLE!Z342,0)</f>
        <v>0</v>
      </c>
      <c r="H1042" s="95">
        <f>IF(OR(PROGRAMA_DETALLE!AC342="PENDIENTE",PROGRAMA_DETALLE!AC342="PARCIAL"),PROGRAMA_DETALLE!Z342,0)</f>
        <v>0</v>
      </c>
      <c r="I1042" s="94" t="str">
        <f>IF(PROGRAMA_DETALLE!AC342="","",PROGRAMA_DETALLE!AC342)</f>
        <v/>
      </c>
    </row>
    <row r="1043" ht="15.75" customHeight="1">
      <c r="A1043" s="96" t="s">
        <v>236</v>
      </c>
      <c r="B1043" s="93" t="str">
        <f>IF(PROGRAMA_DETALLE!Q343="","",PROGRAMA_DETALLE!Q343)</f>
        <v/>
      </c>
      <c r="C1043" s="84" t="str">
        <f>IF(PROGRAMA_DETALLE!A343="","","Tintorería")</f>
        <v/>
      </c>
      <c r="D1043" s="94" t="str">
        <f>IF(PROGRAMA_DETALLE!AB343="","",PROGRAMA_DETALLE!AB343)</f>
        <v/>
      </c>
      <c r="E1043" s="84" t="str">
        <f>IF(PROGRAMA_DETALLE!A343="","","Teñido "&amp;PROGRAMA_DETALLE!D343&amp;" "&amp;PROGRAMA_DETALLE!B343)</f>
        <v/>
      </c>
      <c r="F1043" s="95" t="str">
        <f>IF(PROGRAMA_DETALLE!Z343=0,"",PROGRAMA_DETALLE!Z343)</f>
        <v/>
      </c>
      <c r="G1043" s="95">
        <f>IF(PROGRAMA_DETALLE!AC343="PAGADO",PROGRAMA_DETALLE!Z343,0)</f>
        <v>0</v>
      </c>
      <c r="H1043" s="95">
        <f>IF(OR(PROGRAMA_DETALLE!AC343="PENDIENTE",PROGRAMA_DETALLE!AC343="PARCIAL"),PROGRAMA_DETALLE!Z343,0)</f>
        <v>0</v>
      </c>
      <c r="I1043" s="94" t="str">
        <f>IF(PROGRAMA_DETALLE!AC343="","",PROGRAMA_DETALLE!AC343)</f>
        <v/>
      </c>
    </row>
    <row r="1044" ht="15.75" customHeight="1">
      <c r="A1044" s="96" t="s">
        <v>236</v>
      </c>
      <c r="B1044" s="93" t="str">
        <f>IF(PROGRAMA_DETALLE!Q344="","",PROGRAMA_DETALLE!Q344)</f>
        <v/>
      </c>
      <c r="C1044" s="84" t="str">
        <f>IF(PROGRAMA_DETALLE!A344="","","Tintorería")</f>
        <v/>
      </c>
      <c r="D1044" s="94" t="str">
        <f>IF(PROGRAMA_DETALLE!AB344="","",PROGRAMA_DETALLE!AB344)</f>
        <v/>
      </c>
      <c r="E1044" s="84" t="str">
        <f>IF(PROGRAMA_DETALLE!A344="","","Teñido "&amp;PROGRAMA_DETALLE!D344&amp;" "&amp;PROGRAMA_DETALLE!B344)</f>
        <v/>
      </c>
      <c r="F1044" s="95" t="str">
        <f>IF(PROGRAMA_DETALLE!Z344=0,"",PROGRAMA_DETALLE!Z344)</f>
        <v/>
      </c>
      <c r="G1044" s="95">
        <f>IF(PROGRAMA_DETALLE!AC344="PAGADO",PROGRAMA_DETALLE!Z344,0)</f>
        <v>0</v>
      </c>
      <c r="H1044" s="95">
        <f>IF(OR(PROGRAMA_DETALLE!AC344="PENDIENTE",PROGRAMA_DETALLE!AC344="PARCIAL"),PROGRAMA_DETALLE!Z344,0)</f>
        <v>0</v>
      </c>
      <c r="I1044" s="94" t="str">
        <f>IF(PROGRAMA_DETALLE!AC344="","",PROGRAMA_DETALLE!AC344)</f>
        <v/>
      </c>
    </row>
    <row r="1045" ht="15.75" customHeight="1">
      <c r="A1045" s="96" t="s">
        <v>236</v>
      </c>
      <c r="B1045" s="93" t="str">
        <f>IF(PROGRAMA_DETALLE!Q345="","",PROGRAMA_DETALLE!Q345)</f>
        <v/>
      </c>
      <c r="C1045" s="84" t="str">
        <f>IF(PROGRAMA_DETALLE!A345="","","Tintorería")</f>
        <v/>
      </c>
      <c r="D1045" s="94" t="str">
        <f>IF(PROGRAMA_DETALLE!AB345="","",PROGRAMA_DETALLE!AB345)</f>
        <v/>
      </c>
      <c r="E1045" s="84" t="str">
        <f>IF(PROGRAMA_DETALLE!A345="","","Teñido "&amp;PROGRAMA_DETALLE!D345&amp;" "&amp;PROGRAMA_DETALLE!B345)</f>
        <v/>
      </c>
      <c r="F1045" s="95" t="str">
        <f>IF(PROGRAMA_DETALLE!Z345=0,"",PROGRAMA_DETALLE!Z345)</f>
        <v/>
      </c>
      <c r="G1045" s="95">
        <f>IF(PROGRAMA_DETALLE!AC345="PAGADO",PROGRAMA_DETALLE!Z345,0)</f>
        <v>0</v>
      </c>
      <c r="H1045" s="95">
        <f>IF(OR(PROGRAMA_DETALLE!AC345="PENDIENTE",PROGRAMA_DETALLE!AC345="PARCIAL"),PROGRAMA_DETALLE!Z345,0)</f>
        <v>0</v>
      </c>
      <c r="I1045" s="94" t="str">
        <f>IF(PROGRAMA_DETALLE!AC345="","",PROGRAMA_DETALLE!AC345)</f>
        <v/>
      </c>
    </row>
    <row r="1046" ht="15.75" customHeight="1">
      <c r="A1046" s="96" t="s">
        <v>236</v>
      </c>
      <c r="B1046" s="93" t="str">
        <f>IF(PROGRAMA_DETALLE!Q346="","",PROGRAMA_DETALLE!Q346)</f>
        <v/>
      </c>
      <c r="C1046" s="84" t="str">
        <f>IF(PROGRAMA_DETALLE!A346="","","Tintorería")</f>
        <v/>
      </c>
      <c r="D1046" s="94" t="str">
        <f>IF(PROGRAMA_DETALLE!AB346="","",PROGRAMA_DETALLE!AB346)</f>
        <v/>
      </c>
      <c r="E1046" s="84" t="str">
        <f>IF(PROGRAMA_DETALLE!A346="","","Teñido "&amp;PROGRAMA_DETALLE!D346&amp;" "&amp;PROGRAMA_DETALLE!B346)</f>
        <v/>
      </c>
      <c r="F1046" s="95" t="str">
        <f>IF(PROGRAMA_DETALLE!Z346=0,"",PROGRAMA_DETALLE!Z346)</f>
        <v/>
      </c>
      <c r="G1046" s="95">
        <f>IF(PROGRAMA_DETALLE!AC346="PAGADO",PROGRAMA_DETALLE!Z346,0)</f>
        <v>0</v>
      </c>
      <c r="H1046" s="95">
        <f>IF(OR(PROGRAMA_DETALLE!AC346="PENDIENTE",PROGRAMA_DETALLE!AC346="PARCIAL"),PROGRAMA_DETALLE!Z346,0)</f>
        <v>0</v>
      </c>
      <c r="I1046" s="94" t="str">
        <f>IF(PROGRAMA_DETALLE!AC346="","",PROGRAMA_DETALLE!AC346)</f>
        <v/>
      </c>
    </row>
    <row r="1047" ht="15.75" customHeight="1">
      <c r="A1047" s="96" t="s">
        <v>236</v>
      </c>
      <c r="B1047" s="93" t="str">
        <f>IF(PROGRAMA_DETALLE!Q347="","",PROGRAMA_DETALLE!Q347)</f>
        <v/>
      </c>
      <c r="C1047" s="84" t="str">
        <f>IF(PROGRAMA_DETALLE!A347="","","Tintorería")</f>
        <v/>
      </c>
      <c r="D1047" s="94" t="str">
        <f>IF(PROGRAMA_DETALLE!AB347="","",PROGRAMA_DETALLE!AB347)</f>
        <v/>
      </c>
      <c r="E1047" s="84" t="str">
        <f>IF(PROGRAMA_DETALLE!A347="","","Teñido "&amp;PROGRAMA_DETALLE!D347&amp;" "&amp;PROGRAMA_DETALLE!B347)</f>
        <v/>
      </c>
      <c r="F1047" s="95" t="str">
        <f>IF(PROGRAMA_DETALLE!Z347=0,"",PROGRAMA_DETALLE!Z347)</f>
        <v/>
      </c>
      <c r="G1047" s="95">
        <f>IF(PROGRAMA_DETALLE!AC347="PAGADO",PROGRAMA_DETALLE!Z347,0)</f>
        <v>0</v>
      </c>
      <c r="H1047" s="95">
        <f>IF(OR(PROGRAMA_DETALLE!AC347="PENDIENTE",PROGRAMA_DETALLE!AC347="PARCIAL"),PROGRAMA_DETALLE!Z347,0)</f>
        <v>0</v>
      </c>
      <c r="I1047" s="94" t="str">
        <f>IF(PROGRAMA_DETALLE!AC347="","",PROGRAMA_DETALLE!AC347)</f>
        <v/>
      </c>
    </row>
    <row r="1048" ht="15.75" customHeight="1">
      <c r="A1048" s="96" t="s">
        <v>236</v>
      </c>
      <c r="B1048" s="93" t="str">
        <f>IF(PROGRAMA_DETALLE!Q348="","",PROGRAMA_DETALLE!Q348)</f>
        <v/>
      </c>
      <c r="C1048" s="84" t="str">
        <f>IF(PROGRAMA_DETALLE!A348="","","Tintorería")</f>
        <v/>
      </c>
      <c r="D1048" s="94" t="str">
        <f>IF(PROGRAMA_DETALLE!AB348="","",PROGRAMA_DETALLE!AB348)</f>
        <v/>
      </c>
      <c r="E1048" s="84" t="str">
        <f>IF(PROGRAMA_DETALLE!A348="","","Teñido "&amp;PROGRAMA_DETALLE!D348&amp;" "&amp;PROGRAMA_DETALLE!B348)</f>
        <v/>
      </c>
      <c r="F1048" s="95" t="str">
        <f>IF(PROGRAMA_DETALLE!Z348=0,"",PROGRAMA_DETALLE!Z348)</f>
        <v/>
      </c>
      <c r="G1048" s="95">
        <f>IF(PROGRAMA_DETALLE!AC348="PAGADO",PROGRAMA_DETALLE!Z348,0)</f>
        <v>0</v>
      </c>
      <c r="H1048" s="95">
        <f>IF(OR(PROGRAMA_DETALLE!AC348="PENDIENTE",PROGRAMA_DETALLE!AC348="PARCIAL"),PROGRAMA_DETALLE!Z348,0)</f>
        <v>0</v>
      </c>
      <c r="I1048" s="94" t="str">
        <f>IF(PROGRAMA_DETALLE!AC348="","",PROGRAMA_DETALLE!AC348)</f>
        <v/>
      </c>
    </row>
    <row r="1049" ht="15.75" customHeight="1">
      <c r="A1049" s="96" t="s">
        <v>236</v>
      </c>
      <c r="B1049" s="93" t="str">
        <f>IF(PROGRAMA_DETALLE!Q349="","",PROGRAMA_DETALLE!Q349)</f>
        <v/>
      </c>
      <c r="C1049" s="84" t="str">
        <f>IF(PROGRAMA_DETALLE!A349="","","Tintorería")</f>
        <v/>
      </c>
      <c r="D1049" s="94" t="str">
        <f>IF(PROGRAMA_DETALLE!AB349="","",PROGRAMA_DETALLE!AB349)</f>
        <v/>
      </c>
      <c r="E1049" s="84" t="str">
        <f>IF(PROGRAMA_DETALLE!A349="","","Teñido "&amp;PROGRAMA_DETALLE!D349&amp;" "&amp;PROGRAMA_DETALLE!B349)</f>
        <v/>
      </c>
      <c r="F1049" s="95" t="str">
        <f>IF(PROGRAMA_DETALLE!Z349=0,"",PROGRAMA_DETALLE!Z349)</f>
        <v/>
      </c>
      <c r="G1049" s="95">
        <f>IF(PROGRAMA_DETALLE!AC349="PAGADO",PROGRAMA_DETALLE!Z349,0)</f>
        <v>0</v>
      </c>
      <c r="H1049" s="95">
        <f>IF(OR(PROGRAMA_DETALLE!AC349="PENDIENTE",PROGRAMA_DETALLE!AC349="PARCIAL"),PROGRAMA_DETALLE!Z349,0)</f>
        <v>0</v>
      </c>
      <c r="I1049" s="94" t="str">
        <f>IF(PROGRAMA_DETALLE!AC349="","",PROGRAMA_DETALLE!AC349)</f>
        <v/>
      </c>
    </row>
    <row r="1050" ht="15.75" customHeight="1">
      <c r="A1050" s="96" t="s">
        <v>236</v>
      </c>
      <c r="B1050" s="93" t="str">
        <f>IF(PROGRAMA_DETALLE!Q350="","",PROGRAMA_DETALLE!Q350)</f>
        <v/>
      </c>
      <c r="C1050" s="84" t="str">
        <f>IF(PROGRAMA_DETALLE!A350="","","Tintorería")</f>
        <v/>
      </c>
      <c r="D1050" s="94" t="str">
        <f>IF(PROGRAMA_DETALLE!AB350="","",PROGRAMA_DETALLE!AB350)</f>
        <v/>
      </c>
      <c r="E1050" s="84" t="str">
        <f>IF(PROGRAMA_DETALLE!A350="","","Teñido "&amp;PROGRAMA_DETALLE!D350&amp;" "&amp;PROGRAMA_DETALLE!B350)</f>
        <v/>
      </c>
      <c r="F1050" s="95" t="str">
        <f>IF(PROGRAMA_DETALLE!Z350=0,"",PROGRAMA_DETALLE!Z350)</f>
        <v/>
      </c>
      <c r="G1050" s="95">
        <f>IF(PROGRAMA_DETALLE!AC350="PAGADO",PROGRAMA_DETALLE!Z350,0)</f>
        <v>0</v>
      </c>
      <c r="H1050" s="95">
        <f>IF(OR(PROGRAMA_DETALLE!AC350="PENDIENTE",PROGRAMA_DETALLE!AC350="PARCIAL"),PROGRAMA_DETALLE!Z350,0)</f>
        <v>0</v>
      </c>
      <c r="I1050" s="94" t="str">
        <f>IF(PROGRAMA_DETALLE!AC350="","",PROGRAMA_DETALLE!AC350)</f>
        <v/>
      </c>
    </row>
    <row r="1051" ht="15.75" customHeight="1">
      <c r="A1051" s="96" t="s">
        <v>236</v>
      </c>
      <c r="B1051" s="93" t="str">
        <f>IF(PROGRAMA_DETALLE!Q351="","",PROGRAMA_DETALLE!Q351)</f>
        <v/>
      </c>
      <c r="C1051" s="84" t="str">
        <f>IF(PROGRAMA_DETALLE!A351="","","Tintorería")</f>
        <v/>
      </c>
      <c r="D1051" s="94" t="str">
        <f>IF(PROGRAMA_DETALLE!AB351="","",PROGRAMA_DETALLE!AB351)</f>
        <v/>
      </c>
      <c r="E1051" s="84" t="str">
        <f>IF(PROGRAMA_DETALLE!A351="","","Teñido "&amp;PROGRAMA_DETALLE!D351&amp;" "&amp;PROGRAMA_DETALLE!B351)</f>
        <v/>
      </c>
      <c r="F1051" s="95" t="str">
        <f>IF(PROGRAMA_DETALLE!Z351=0,"",PROGRAMA_DETALLE!Z351)</f>
        <v/>
      </c>
      <c r="G1051" s="95">
        <f>IF(PROGRAMA_DETALLE!AC351="PAGADO",PROGRAMA_DETALLE!Z351,0)</f>
        <v>0</v>
      </c>
      <c r="H1051" s="95">
        <f>IF(OR(PROGRAMA_DETALLE!AC351="PENDIENTE",PROGRAMA_DETALLE!AC351="PARCIAL"),PROGRAMA_DETALLE!Z351,0)</f>
        <v>0</v>
      </c>
      <c r="I1051" s="94" t="str">
        <f>IF(PROGRAMA_DETALLE!AC351="","",PROGRAMA_DETALLE!AC351)</f>
        <v/>
      </c>
    </row>
    <row r="1052" ht="15.75" customHeight="1">
      <c r="A1052" s="96" t="s">
        <v>236</v>
      </c>
      <c r="B1052" s="93" t="str">
        <f>IF(PROGRAMA_DETALLE!Q352="","",PROGRAMA_DETALLE!Q352)</f>
        <v/>
      </c>
      <c r="C1052" s="84" t="str">
        <f>IF(PROGRAMA_DETALLE!A352="","","Tintorería")</f>
        <v/>
      </c>
      <c r="D1052" s="94" t="str">
        <f>IF(PROGRAMA_DETALLE!AB352="","",PROGRAMA_DETALLE!AB352)</f>
        <v/>
      </c>
      <c r="E1052" s="84" t="str">
        <f>IF(PROGRAMA_DETALLE!A352="","","Teñido "&amp;PROGRAMA_DETALLE!D352&amp;" "&amp;PROGRAMA_DETALLE!B352)</f>
        <v/>
      </c>
      <c r="F1052" s="95" t="str">
        <f>IF(PROGRAMA_DETALLE!Z352=0,"",PROGRAMA_DETALLE!Z352)</f>
        <v/>
      </c>
      <c r="G1052" s="95">
        <f>IF(PROGRAMA_DETALLE!AC352="PAGADO",PROGRAMA_DETALLE!Z352,0)</f>
        <v>0</v>
      </c>
      <c r="H1052" s="95">
        <f>IF(OR(PROGRAMA_DETALLE!AC352="PENDIENTE",PROGRAMA_DETALLE!AC352="PARCIAL"),PROGRAMA_DETALLE!Z352,0)</f>
        <v>0</v>
      </c>
      <c r="I1052" s="94" t="str">
        <f>IF(PROGRAMA_DETALLE!AC352="","",PROGRAMA_DETALLE!AC352)</f>
        <v/>
      </c>
    </row>
    <row r="1053" ht="15.75" customHeight="1">
      <c r="A1053" s="96" t="s">
        <v>236</v>
      </c>
      <c r="B1053" s="93" t="str">
        <f>IF(PROGRAMA_DETALLE!Q353="","",PROGRAMA_DETALLE!Q353)</f>
        <v/>
      </c>
      <c r="C1053" s="84" t="str">
        <f>IF(PROGRAMA_DETALLE!A353="","","Tintorería")</f>
        <v/>
      </c>
      <c r="D1053" s="94" t="str">
        <f>IF(PROGRAMA_DETALLE!AB353="","",PROGRAMA_DETALLE!AB353)</f>
        <v/>
      </c>
      <c r="E1053" s="84" t="str">
        <f>IF(PROGRAMA_DETALLE!A353="","","Teñido "&amp;PROGRAMA_DETALLE!D353&amp;" "&amp;PROGRAMA_DETALLE!B353)</f>
        <v/>
      </c>
      <c r="F1053" s="95" t="str">
        <f>IF(PROGRAMA_DETALLE!Z353=0,"",PROGRAMA_DETALLE!Z353)</f>
        <v/>
      </c>
      <c r="G1053" s="95">
        <f>IF(PROGRAMA_DETALLE!AC353="PAGADO",PROGRAMA_DETALLE!Z353,0)</f>
        <v>0</v>
      </c>
      <c r="H1053" s="95">
        <f>IF(OR(PROGRAMA_DETALLE!AC353="PENDIENTE",PROGRAMA_DETALLE!AC353="PARCIAL"),PROGRAMA_DETALLE!Z353,0)</f>
        <v>0</v>
      </c>
      <c r="I1053" s="94" t="str">
        <f>IF(PROGRAMA_DETALLE!AC353="","",PROGRAMA_DETALLE!AC353)</f>
        <v/>
      </c>
    </row>
    <row r="1054" ht="15.75" customHeight="1">
      <c r="A1054" s="96" t="s">
        <v>236</v>
      </c>
      <c r="B1054" s="93" t="str">
        <f>IF(PROGRAMA_DETALLE!Q354="","",PROGRAMA_DETALLE!Q354)</f>
        <v/>
      </c>
      <c r="C1054" s="84" t="str">
        <f>IF(PROGRAMA_DETALLE!A354="","","Tintorería")</f>
        <v/>
      </c>
      <c r="D1054" s="94" t="str">
        <f>IF(PROGRAMA_DETALLE!AB354="","",PROGRAMA_DETALLE!AB354)</f>
        <v/>
      </c>
      <c r="E1054" s="84" t="str">
        <f>IF(PROGRAMA_DETALLE!A354="","","Teñido "&amp;PROGRAMA_DETALLE!D354&amp;" "&amp;PROGRAMA_DETALLE!B354)</f>
        <v/>
      </c>
      <c r="F1054" s="95" t="str">
        <f>IF(PROGRAMA_DETALLE!Z354=0,"",PROGRAMA_DETALLE!Z354)</f>
        <v/>
      </c>
      <c r="G1054" s="95">
        <f>IF(PROGRAMA_DETALLE!AC354="PAGADO",PROGRAMA_DETALLE!Z354,0)</f>
        <v>0</v>
      </c>
      <c r="H1054" s="95">
        <f>IF(OR(PROGRAMA_DETALLE!AC354="PENDIENTE",PROGRAMA_DETALLE!AC354="PARCIAL"),PROGRAMA_DETALLE!Z354,0)</f>
        <v>0</v>
      </c>
      <c r="I1054" s="94" t="str">
        <f>IF(PROGRAMA_DETALLE!AC354="","",PROGRAMA_DETALLE!AC354)</f>
        <v/>
      </c>
    </row>
    <row r="1055" ht="15.75" customHeight="1">
      <c r="A1055" s="96" t="s">
        <v>236</v>
      </c>
      <c r="B1055" s="93" t="str">
        <f>IF(PROGRAMA_DETALLE!Q355="","",PROGRAMA_DETALLE!Q355)</f>
        <v/>
      </c>
      <c r="C1055" s="84" t="str">
        <f>IF(PROGRAMA_DETALLE!A355="","","Tintorería")</f>
        <v/>
      </c>
      <c r="D1055" s="94" t="str">
        <f>IF(PROGRAMA_DETALLE!AB355="","",PROGRAMA_DETALLE!AB355)</f>
        <v/>
      </c>
      <c r="E1055" s="84" t="str">
        <f>IF(PROGRAMA_DETALLE!A355="","","Teñido "&amp;PROGRAMA_DETALLE!D355&amp;" "&amp;PROGRAMA_DETALLE!B355)</f>
        <v/>
      </c>
      <c r="F1055" s="95" t="str">
        <f>IF(PROGRAMA_DETALLE!Z355=0,"",PROGRAMA_DETALLE!Z355)</f>
        <v/>
      </c>
      <c r="G1055" s="95">
        <f>IF(PROGRAMA_DETALLE!AC355="PAGADO",PROGRAMA_DETALLE!Z355,0)</f>
        <v>0</v>
      </c>
      <c r="H1055" s="95">
        <f>IF(OR(PROGRAMA_DETALLE!AC355="PENDIENTE",PROGRAMA_DETALLE!AC355="PARCIAL"),PROGRAMA_DETALLE!Z355,0)</f>
        <v>0</v>
      </c>
      <c r="I1055" s="94" t="str">
        <f>IF(PROGRAMA_DETALLE!AC355="","",PROGRAMA_DETALLE!AC355)</f>
        <v/>
      </c>
    </row>
    <row r="1056" ht="15.75" customHeight="1">
      <c r="A1056" s="96" t="s">
        <v>236</v>
      </c>
      <c r="B1056" s="93" t="str">
        <f>IF(PROGRAMA_DETALLE!Q356="","",PROGRAMA_DETALLE!Q356)</f>
        <v/>
      </c>
      <c r="C1056" s="84" t="str">
        <f>IF(PROGRAMA_DETALLE!A356="","","Tintorería")</f>
        <v/>
      </c>
      <c r="D1056" s="94" t="str">
        <f>IF(PROGRAMA_DETALLE!AB356="","",PROGRAMA_DETALLE!AB356)</f>
        <v/>
      </c>
      <c r="E1056" s="84" t="str">
        <f>IF(PROGRAMA_DETALLE!A356="","","Teñido "&amp;PROGRAMA_DETALLE!D356&amp;" "&amp;PROGRAMA_DETALLE!B356)</f>
        <v/>
      </c>
      <c r="F1056" s="95" t="str">
        <f>IF(PROGRAMA_DETALLE!Z356=0,"",PROGRAMA_DETALLE!Z356)</f>
        <v/>
      </c>
      <c r="G1056" s="95">
        <f>IF(PROGRAMA_DETALLE!AC356="PAGADO",PROGRAMA_DETALLE!Z356,0)</f>
        <v>0</v>
      </c>
      <c r="H1056" s="95">
        <f>IF(OR(PROGRAMA_DETALLE!AC356="PENDIENTE",PROGRAMA_DETALLE!AC356="PARCIAL"),PROGRAMA_DETALLE!Z356,0)</f>
        <v>0</v>
      </c>
      <c r="I1056" s="94" t="str">
        <f>IF(PROGRAMA_DETALLE!AC356="","",PROGRAMA_DETALLE!AC356)</f>
        <v/>
      </c>
    </row>
    <row r="1057" ht="15.75" customHeight="1">
      <c r="A1057" s="96" t="s">
        <v>236</v>
      </c>
      <c r="B1057" s="93" t="str">
        <f>IF(PROGRAMA_DETALLE!Q357="","",PROGRAMA_DETALLE!Q357)</f>
        <v/>
      </c>
      <c r="C1057" s="84" t="str">
        <f>IF(PROGRAMA_DETALLE!A357="","","Tintorería")</f>
        <v/>
      </c>
      <c r="D1057" s="94" t="str">
        <f>IF(PROGRAMA_DETALLE!AB357="","",PROGRAMA_DETALLE!AB357)</f>
        <v/>
      </c>
      <c r="E1057" s="84" t="str">
        <f>IF(PROGRAMA_DETALLE!A357="","","Teñido "&amp;PROGRAMA_DETALLE!D357&amp;" "&amp;PROGRAMA_DETALLE!B357)</f>
        <v/>
      </c>
      <c r="F1057" s="95" t="str">
        <f>IF(PROGRAMA_DETALLE!Z357=0,"",PROGRAMA_DETALLE!Z357)</f>
        <v/>
      </c>
      <c r="G1057" s="95">
        <f>IF(PROGRAMA_DETALLE!AC357="PAGADO",PROGRAMA_DETALLE!Z357,0)</f>
        <v>0</v>
      </c>
      <c r="H1057" s="95">
        <f>IF(OR(PROGRAMA_DETALLE!AC357="PENDIENTE",PROGRAMA_DETALLE!AC357="PARCIAL"),PROGRAMA_DETALLE!Z357,0)</f>
        <v>0</v>
      </c>
      <c r="I1057" s="94" t="str">
        <f>IF(PROGRAMA_DETALLE!AC357="","",PROGRAMA_DETALLE!AC357)</f>
        <v/>
      </c>
    </row>
    <row r="1058" ht="15.75" customHeight="1">
      <c r="A1058" s="96" t="s">
        <v>236</v>
      </c>
      <c r="B1058" s="93" t="str">
        <f>IF(PROGRAMA_DETALLE!Q358="","",PROGRAMA_DETALLE!Q358)</f>
        <v/>
      </c>
      <c r="C1058" s="84" t="str">
        <f>IF(PROGRAMA_DETALLE!A358="","","Tintorería")</f>
        <v/>
      </c>
      <c r="D1058" s="94" t="str">
        <f>IF(PROGRAMA_DETALLE!AB358="","",PROGRAMA_DETALLE!AB358)</f>
        <v/>
      </c>
      <c r="E1058" s="84" t="str">
        <f>IF(PROGRAMA_DETALLE!A358="","","Teñido "&amp;PROGRAMA_DETALLE!D358&amp;" "&amp;PROGRAMA_DETALLE!B358)</f>
        <v/>
      </c>
      <c r="F1058" s="95" t="str">
        <f>IF(PROGRAMA_DETALLE!Z358=0,"",PROGRAMA_DETALLE!Z358)</f>
        <v/>
      </c>
      <c r="G1058" s="95">
        <f>IF(PROGRAMA_DETALLE!AC358="PAGADO",PROGRAMA_DETALLE!Z358,0)</f>
        <v>0</v>
      </c>
      <c r="H1058" s="95">
        <f>IF(OR(PROGRAMA_DETALLE!AC358="PENDIENTE",PROGRAMA_DETALLE!AC358="PARCIAL"),PROGRAMA_DETALLE!Z358,0)</f>
        <v>0</v>
      </c>
      <c r="I1058" s="94" t="str">
        <f>IF(PROGRAMA_DETALLE!AC358="","",PROGRAMA_DETALLE!AC358)</f>
        <v/>
      </c>
    </row>
    <row r="1059" ht="15.75" customHeight="1">
      <c r="A1059" s="96" t="s">
        <v>236</v>
      </c>
      <c r="B1059" s="93" t="str">
        <f>IF(PROGRAMA_DETALLE!Q359="","",PROGRAMA_DETALLE!Q359)</f>
        <v/>
      </c>
      <c r="C1059" s="84" t="str">
        <f>IF(PROGRAMA_DETALLE!A359="","","Tintorería")</f>
        <v/>
      </c>
      <c r="D1059" s="94" t="str">
        <f>IF(PROGRAMA_DETALLE!AB359="","",PROGRAMA_DETALLE!AB359)</f>
        <v/>
      </c>
      <c r="E1059" s="84" t="str">
        <f>IF(PROGRAMA_DETALLE!A359="","","Teñido "&amp;PROGRAMA_DETALLE!D359&amp;" "&amp;PROGRAMA_DETALLE!B359)</f>
        <v/>
      </c>
      <c r="F1059" s="95" t="str">
        <f>IF(PROGRAMA_DETALLE!Z359=0,"",PROGRAMA_DETALLE!Z359)</f>
        <v/>
      </c>
      <c r="G1059" s="95">
        <f>IF(PROGRAMA_DETALLE!AC359="PAGADO",PROGRAMA_DETALLE!Z359,0)</f>
        <v>0</v>
      </c>
      <c r="H1059" s="95">
        <f>IF(OR(PROGRAMA_DETALLE!AC359="PENDIENTE",PROGRAMA_DETALLE!AC359="PARCIAL"),PROGRAMA_DETALLE!Z359,0)</f>
        <v>0</v>
      </c>
      <c r="I1059" s="94" t="str">
        <f>IF(PROGRAMA_DETALLE!AC359="","",PROGRAMA_DETALLE!AC359)</f>
        <v/>
      </c>
    </row>
    <row r="1060" ht="15.75" customHeight="1">
      <c r="A1060" s="96" t="s">
        <v>236</v>
      </c>
      <c r="B1060" s="93" t="str">
        <f>IF(PROGRAMA_DETALLE!Q360="","",PROGRAMA_DETALLE!Q360)</f>
        <v/>
      </c>
      <c r="C1060" s="84" t="str">
        <f>IF(PROGRAMA_DETALLE!A360="","","Tintorería")</f>
        <v/>
      </c>
      <c r="D1060" s="94" t="str">
        <f>IF(PROGRAMA_DETALLE!AB360="","",PROGRAMA_DETALLE!AB360)</f>
        <v/>
      </c>
      <c r="E1060" s="84" t="str">
        <f>IF(PROGRAMA_DETALLE!A360="","","Teñido "&amp;PROGRAMA_DETALLE!D360&amp;" "&amp;PROGRAMA_DETALLE!B360)</f>
        <v/>
      </c>
      <c r="F1060" s="95" t="str">
        <f>IF(PROGRAMA_DETALLE!Z360=0,"",PROGRAMA_DETALLE!Z360)</f>
        <v/>
      </c>
      <c r="G1060" s="95">
        <f>IF(PROGRAMA_DETALLE!AC360="PAGADO",PROGRAMA_DETALLE!Z360,0)</f>
        <v>0</v>
      </c>
      <c r="H1060" s="95">
        <f>IF(OR(PROGRAMA_DETALLE!AC360="PENDIENTE",PROGRAMA_DETALLE!AC360="PARCIAL"),PROGRAMA_DETALLE!Z360,0)</f>
        <v>0</v>
      </c>
      <c r="I1060" s="94" t="str">
        <f>IF(PROGRAMA_DETALLE!AC360="","",PROGRAMA_DETALLE!AC360)</f>
        <v/>
      </c>
    </row>
    <row r="1061" ht="15.75" customHeight="1">
      <c r="A1061" s="96" t="s">
        <v>236</v>
      </c>
      <c r="B1061" s="93" t="str">
        <f>IF(PROGRAMA_DETALLE!Q361="","",PROGRAMA_DETALLE!Q361)</f>
        <v/>
      </c>
      <c r="C1061" s="84" t="str">
        <f>IF(PROGRAMA_DETALLE!A361="","","Tintorería")</f>
        <v/>
      </c>
      <c r="D1061" s="94" t="str">
        <f>IF(PROGRAMA_DETALLE!AB361="","",PROGRAMA_DETALLE!AB361)</f>
        <v/>
      </c>
      <c r="E1061" s="84" t="str">
        <f>IF(PROGRAMA_DETALLE!A361="","","Teñido "&amp;PROGRAMA_DETALLE!D361&amp;" "&amp;PROGRAMA_DETALLE!B361)</f>
        <v/>
      </c>
      <c r="F1061" s="95" t="str">
        <f>IF(PROGRAMA_DETALLE!Z361=0,"",PROGRAMA_DETALLE!Z361)</f>
        <v/>
      </c>
      <c r="G1061" s="95">
        <f>IF(PROGRAMA_DETALLE!AC361="PAGADO",PROGRAMA_DETALLE!Z361,0)</f>
        <v>0</v>
      </c>
      <c r="H1061" s="95">
        <f>IF(OR(PROGRAMA_DETALLE!AC361="PENDIENTE",PROGRAMA_DETALLE!AC361="PARCIAL"),PROGRAMA_DETALLE!Z361,0)</f>
        <v>0</v>
      </c>
      <c r="I1061" s="94" t="str">
        <f>IF(PROGRAMA_DETALLE!AC361="","",PROGRAMA_DETALLE!AC361)</f>
        <v/>
      </c>
    </row>
    <row r="1062" ht="15.75" customHeight="1">
      <c r="A1062" s="96" t="s">
        <v>236</v>
      </c>
      <c r="B1062" s="93" t="str">
        <f>IF(PROGRAMA_DETALLE!Q362="","",PROGRAMA_DETALLE!Q362)</f>
        <v/>
      </c>
      <c r="C1062" s="84" t="str">
        <f>IF(PROGRAMA_DETALLE!A362="","","Tintorería")</f>
        <v/>
      </c>
      <c r="D1062" s="94" t="str">
        <f>IF(PROGRAMA_DETALLE!AB362="","",PROGRAMA_DETALLE!AB362)</f>
        <v/>
      </c>
      <c r="E1062" s="84" t="str">
        <f>IF(PROGRAMA_DETALLE!A362="","","Teñido "&amp;PROGRAMA_DETALLE!D362&amp;" "&amp;PROGRAMA_DETALLE!B362)</f>
        <v/>
      </c>
      <c r="F1062" s="95" t="str">
        <f>IF(PROGRAMA_DETALLE!Z362=0,"",PROGRAMA_DETALLE!Z362)</f>
        <v/>
      </c>
      <c r="G1062" s="95">
        <f>IF(PROGRAMA_DETALLE!AC362="PAGADO",PROGRAMA_DETALLE!Z362,0)</f>
        <v>0</v>
      </c>
      <c r="H1062" s="95">
        <f>IF(OR(PROGRAMA_DETALLE!AC362="PENDIENTE",PROGRAMA_DETALLE!AC362="PARCIAL"),PROGRAMA_DETALLE!Z362,0)</f>
        <v>0</v>
      </c>
      <c r="I1062" s="94" t="str">
        <f>IF(PROGRAMA_DETALLE!AC362="","",PROGRAMA_DETALLE!AC362)</f>
        <v/>
      </c>
    </row>
    <row r="1063" ht="15.75" customHeight="1">
      <c r="A1063" s="96" t="s">
        <v>236</v>
      </c>
      <c r="B1063" s="93" t="str">
        <f>IF(PROGRAMA_DETALLE!Q363="","",PROGRAMA_DETALLE!Q363)</f>
        <v/>
      </c>
      <c r="C1063" s="84" t="str">
        <f>IF(PROGRAMA_DETALLE!A363="","","Tintorería")</f>
        <v/>
      </c>
      <c r="D1063" s="94" t="str">
        <f>IF(PROGRAMA_DETALLE!AB363="","",PROGRAMA_DETALLE!AB363)</f>
        <v/>
      </c>
      <c r="E1063" s="84" t="str">
        <f>IF(PROGRAMA_DETALLE!A363="","","Teñido "&amp;PROGRAMA_DETALLE!D363&amp;" "&amp;PROGRAMA_DETALLE!B363)</f>
        <v/>
      </c>
      <c r="F1063" s="95" t="str">
        <f>IF(PROGRAMA_DETALLE!Z363=0,"",PROGRAMA_DETALLE!Z363)</f>
        <v/>
      </c>
      <c r="G1063" s="95">
        <f>IF(PROGRAMA_DETALLE!AC363="PAGADO",PROGRAMA_DETALLE!Z363,0)</f>
        <v>0</v>
      </c>
      <c r="H1063" s="95">
        <f>IF(OR(PROGRAMA_DETALLE!AC363="PENDIENTE",PROGRAMA_DETALLE!AC363="PARCIAL"),PROGRAMA_DETALLE!Z363,0)</f>
        <v>0</v>
      </c>
      <c r="I1063" s="94" t="str">
        <f>IF(PROGRAMA_DETALLE!AC363="","",PROGRAMA_DETALLE!AC363)</f>
        <v/>
      </c>
    </row>
    <row r="1064" ht="15.75" customHeight="1">
      <c r="A1064" s="96" t="s">
        <v>236</v>
      </c>
      <c r="B1064" s="93" t="str">
        <f>IF(PROGRAMA_DETALLE!Q364="","",PROGRAMA_DETALLE!Q364)</f>
        <v/>
      </c>
      <c r="C1064" s="84" t="str">
        <f>IF(PROGRAMA_DETALLE!A364="","","Tintorería")</f>
        <v/>
      </c>
      <c r="D1064" s="94" t="str">
        <f>IF(PROGRAMA_DETALLE!AB364="","",PROGRAMA_DETALLE!AB364)</f>
        <v/>
      </c>
      <c r="E1064" s="84" t="str">
        <f>IF(PROGRAMA_DETALLE!A364="","","Teñido "&amp;PROGRAMA_DETALLE!D364&amp;" "&amp;PROGRAMA_DETALLE!B364)</f>
        <v/>
      </c>
      <c r="F1064" s="95" t="str">
        <f>IF(PROGRAMA_DETALLE!Z364=0,"",PROGRAMA_DETALLE!Z364)</f>
        <v/>
      </c>
      <c r="G1064" s="95">
        <f>IF(PROGRAMA_DETALLE!AC364="PAGADO",PROGRAMA_DETALLE!Z364,0)</f>
        <v>0</v>
      </c>
      <c r="H1064" s="95">
        <f>IF(OR(PROGRAMA_DETALLE!AC364="PENDIENTE",PROGRAMA_DETALLE!AC364="PARCIAL"),PROGRAMA_DETALLE!Z364,0)</f>
        <v>0</v>
      </c>
      <c r="I1064" s="94" t="str">
        <f>IF(PROGRAMA_DETALLE!AC364="","",PROGRAMA_DETALLE!AC364)</f>
        <v/>
      </c>
    </row>
    <row r="1065" ht="15.75" customHeight="1">
      <c r="A1065" s="96" t="s">
        <v>236</v>
      </c>
      <c r="B1065" s="93" t="str">
        <f>IF(PROGRAMA_DETALLE!Q365="","",PROGRAMA_DETALLE!Q365)</f>
        <v/>
      </c>
      <c r="C1065" s="84" t="str">
        <f>IF(PROGRAMA_DETALLE!A365="","","Tintorería")</f>
        <v/>
      </c>
      <c r="D1065" s="94" t="str">
        <f>IF(PROGRAMA_DETALLE!AB365="","",PROGRAMA_DETALLE!AB365)</f>
        <v/>
      </c>
      <c r="E1065" s="84" t="str">
        <f>IF(PROGRAMA_DETALLE!A365="","","Teñido "&amp;PROGRAMA_DETALLE!D365&amp;" "&amp;PROGRAMA_DETALLE!B365)</f>
        <v/>
      </c>
      <c r="F1065" s="95" t="str">
        <f>IF(PROGRAMA_DETALLE!Z365=0,"",PROGRAMA_DETALLE!Z365)</f>
        <v/>
      </c>
      <c r="G1065" s="95">
        <f>IF(PROGRAMA_DETALLE!AC365="PAGADO",PROGRAMA_DETALLE!Z365,0)</f>
        <v>0</v>
      </c>
      <c r="H1065" s="95">
        <f>IF(OR(PROGRAMA_DETALLE!AC365="PENDIENTE",PROGRAMA_DETALLE!AC365="PARCIAL"),PROGRAMA_DETALLE!Z365,0)</f>
        <v>0</v>
      </c>
      <c r="I1065" s="94" t="str">
        <f>IF(PROGRAMA_DETALLE!AC365="","",PROGRAMA_DETALLE!AC365)</f>
        <v/>
      </c>
    </row>
    <row r="1066" ht="15.75" customHeight="1">
      <c r="A1066" s="96" t="s">
        <v>236</v>
      </c>
      <c r="B1066" s="93" t="str">
        <f>IF(PROGRAMA_DETALLE!Q366="","",PROGRAMA_DETALLE!Q366)</f>
        <v/>
      </c>
      <c r="C1066" s="84" t="str">
        <f>IF(PROGRAMA_DETALLE!A366="","","Tintorería")</f>
        <v/>
      </c>
      <c r="D1066" s="94" t="str">
        <f>IF(PROGRAMA_DETALLE!AB366="","",PROGRAMA_DETALLE!AB366)</f>
        <v/>
      </c>
      <c r="E1066" s="84" t="str">
        <f>IF(PROGRAMA_DETALLE!A366="","","Teñido "&amp;PROGRAMA_DETALLE!D366&amp;" "&amp;PROGRAMA_DETALLE!B366)</f>
        <v/>
      </c>
      <c r="F1066" s="95" t="str">
        <f>IF(PROGRAMA_DETALLE!Z366=0,"",PROGRAMA_DETALLE!Z366)</f>
        <v/>
      </c>
      <c r="G1066" s="95">
        <f>IF(PROGRAMA_DETALLE!AC366="PAGADO",PROGRAMA_DETALLE!Z366,0)</f>
        <v>0</v>
      </c>
      <c r="H1066" s="95">
        <f>IF(OR(PROGRAMA_DETALLE!AC366="PENDIENTE",PROGRAMA_DETALLE!AC366="PARCIAL"),PROGRAMA_DETALLE!Z366,0)</f>
        <v>0</v>
      </c>
      <c r="I1066" s="94" t="str">
        <f>IF(PROGRAMA_DETALLE!AC366="","",PROGRAMA_DETALLE!AC366)</f>
        <v/>
      </c>
    </row>
    <row r="1067" ht="15.75" customHeight="1">
      <c r="A1067" s="96" t="s">
        <v>236</v>
      </c>
      <c r="B1067" s="93" t="str">
        <f>IF(PROGRAMA_DETALLE!Q367="","",PROGRAMA_DETALLE!Q367)</f>
        <v/>
      </c>
      <c r="C1067" s="84" t="str">
        <f>IF(PROGRAMA_DETALLE!A367="","","Tintorería")</f>
        <v/>
      </c>
      <c r="D1067" s="94" t="str">
        <f>IF(PROGRAMA_DETALLE!AB367="","",PROGRAMA_DETALLE!AB367)</f>
        <v/>
      </c>
      <c r="E1067" s="84" t="str">
        <f>IF(PROGRAMA_DETALLE!A367="","","Teñido "&amp;PROGRAMA_DETALLE!D367&amp;" "&amp;PROGRAMA_DETALLE!B367)</f>
        <v/>
      </c>
      <c r="F1067" s="95" t="str">
        <f>IF(PROGRAMA_DETALLE!Z367=0,"",PROGRAMA_DETALLE!Z367)</f>
        <v/>
      </c>
      <c r="G1067" s="95">
        <f>IF(PROGRAMA_DETALLE!AC367="PAGADO",PROGRAMA_DETALLE!Z367,0)</f>
        <v>0</v>
      </c>
      <c r="H1067" s="95">
        <f>IF(OR(PROGRAMA_DETALLE!AC367="PENDIENTE",PROGRAMA_DETALLE!AC367="PARCIAL"),PROGRAMA_DETALLE!Z367,0)</f>
        <v>0</v>
      </c>
      <c r="I1067" s="94" t="str">
        <f>IF(PROGRAMA_DETALLE!AC367="","",PROGRAMA_DETALLE!AC367)</f>
        <v/>
      </c>
    </row>
    <row r="1068" ht="15.75" customHeight="1">
      <c r="A1068" s="96" t="s">
        <v>236</v>
      </c>
      <c r="B1068" s="93" t="str">
        <f>IF(PROGRAMA_DETALLE!Q368="","",PROGRAMA_DETALLE!Q368)</f>
        <v/>
      </c>
      <c r="C1068" s="84" t="str">
        <f>IF(PROGRAMA_DETALLE!A368="","","Tintorería")</f>
        <v/>
      </c>
      <c r="D1068" s="94" t="str">
        <f>IF(PROGRAMA_DETALLE!AB368="","",PROGRAMA_DETALLE!AB368)</f>
        <v/>
      </c>
      <c r="E1068" s="84" t="str">
        <f>IF(PROGRAMA_DETALLE!A368="","","Teñido "&amp;PROGRAMA_DETALLE!D368&amp;" "&amp;PROGRAMA_DETALLE!B368)</f>
        <v/>
      </c>
      <c r="F1068" s="95" t="str">
        <f>IF(PROGRAMA_DETALLE!Z368=0,"",PROGRAMA_DETALLE!Z368)</f>
        <v/>
      </c>
      <c r="G1068" s="95">
        <f>IF(PROGRAMA_DETALLE!AC368="PAGADO",PROGRAMA_DETALLE!Z368,0)</f>
        <v>0</v>
      </c>
      <c r="H1068" s="95">
        <f>IF(OR(PROGRAMA_DETALLE!AC368="PENDIENTE",PROGRAMA_DETALLE!AC368="PARCIAL"),PROGRAMA_DETALLE!Z368,0)</f>
        <v>0</v>
      </c>
      <c r="I1068" s="94" t="str">
        <f>IF(PROGRAMA_DETALLE!AC368="","",PROGRAMA_DETALLE!AC368)</f>
        <v/>
      </c>
    </row>
    <row r="1069" ht="15.75" customHeight="1">
      <c r="A1069" s="96" t="s">
        <v>236</v>
      </c>
      <c r="B1069" s="93" t="str">
        <f>IF(PROGRAMA_DETALLE!Q369="","",PROGRAMA_DETALLE!Q369)</f>
        <v/>
      </c>
      <c r="C1069" s="84" t="str">
        <f>IF(PROGRAMA_DETALLE!A369="","","Tintorería")</f>
        <v/>
      </c>
      <c r="D1069" s="94" t="str">
        <f>IF(PROGRAMA_DETALLE!AB369="","",PROGRAMA_DETALLE!AB369)</f>
        <v/>
      </c>
      <c r="E1069" s="84" t="str">
        <f>IF(PROGRAMA_DETALLE!A369="","","Teñido "&amp;PROGRAMA_DETALLE!D369&amp;" "&amp;PROGRAMA_DETALLE!B369)</f>
        <v/>
      </c>
      <c r="F1069" s="95" t="str">
        <f>IF(PROGRAMA_DETALLE!Z369=0,"",PROGRAMA_DETALLE!Z369)</f>
        <v/>
      </c>
      <c r="G1069" s="95">
        <f>IF(PROGRAMA_DETALLE!AC369="PAGADO",PROGRAMA_DETALLE!Z369,0)</f>
        <v>0</v>
      </c>
      <c r="H1069" s="95">
        <f>IF(OR(PROGRAMA_DETALLE!AC369="PENDIENTE",PROGRAMA_DETALLE!AC369="PARCIAL"),PROGRAMA_DETALLE!Z369,0)</f>
        <v>0</v>
      </c>
      <c r="I1069" s="94" t="str">
        <f>IF(PROGRAMA_DETALLE!AC369="","",PROGRAMA_DETALLE!AC369)</f>
        <v/>
      </c>
    </row>
    <row r="1070" ht="15.75" customHeight="1">
      <c r="A1070" s="96" t="s">
        <v>236</v>
      </c>
      <c r="B1070" s="93" t="str">
        <f>IF(PROGRAMA_DETALLE!Q370="","",PROGRAMA_DETALLE!Q370)</f>
        <v/>
      </c>
      <c r="C1070" s="84" t="str">
        <f>IF(PROGRAMA_DETALLE!A370="","","Tintorería")</f>
        <v/>
      </c>
      <c r="D1070" s="94" t="str">
        <f>IF(PROGRAMA_DETALLE!AB370="","",PROGRAMA_DETALLE!AB370)</f>
        <v/>
      </c>
      <c r="E1070" s="84" t="str">
        <f>IF(PROGRAMA_DETALLE!A370="","","Teñido "&amp;PROGRAMA_DETALLE!D370&amp;" "&amp;PROGRAMA_DETALLE!B370)</f>
        <v/>
      </c>
      <c r="F1070" s="95" t="str">
        <f>IF(PROGRAMA_DETALLE!Z370=0,"",PROGRAMA_DETALLE!Z370)</f>
        <v/>
      </c>
      <c r="G1070" s="95">
        <f>IF(PROGRAMA_DETALLE!AC370="PAGADO",PROGRAMA_DETALLE!Z370,0)</f>
        <v>0</v>
      </c>
      <c r="H1070" s="95">
        <f>IF(OR(PROGRAMA_DETALLE!AC370="PENDIENTE",PROGRAMA_DETALLE!AC370="PARCIAL"),PROGRAMA_DETALLE!Z370,0)</f>
        <v>0</v>
      </c>
      <c r="I1070" s="94" t="str">
        <f>IF(PROGRAMA_DETALLE!AC370="","",PROGRAMA_DETALLE!AC370)</f>
        <v/>
      </c>
    </row>
    <row r="1071" ht="15.75" customHeight="1">
      <c r="A1071" s="96" t="s">
        <v>236</v>
      </c>
      <c r="B1071" s="93" t="str">
        <f>IF(PROGRAMA_DETALLE!Q371="","",PROGRAMA_DETALLE!Q371)</f>
        <v/>
      </c>
      <c r="C1071" s="84" t="str">
        <f>IF(PROGRAMA_DETALLE!A371="","","Tintorería")</f>
        <v/>
      </c>
      <c r="D1071" s="94" t="str">
        <f>IF(PROGRAMA_DETALLE!AB371="","",PROGRAMA_DETALLE!AB371)</f>
        <v/>
      </c>
      <c r="E1071" s="84" t="str">
        <f>IF(PROGRAMA_DETALLE!A371="","","Teñido "&amp;PROGRAMA_DETALLE!D371&amp;" "&amp;PROGRAMA_DETALLE!B371)</f>
        <v/>
      </c>
      <c r="F1071" s="95" t="str">
        <f>IF(PROGRAMA_DETALLE!Z371=0,"",PROGRAMA_DETALLE!Z371)</f>
        <v/>
      </c>
      <c r="G1071" s="95">
        <f>IF(PROGRAMA_DETALLE!AC371="PAGADO",PROGRAMA_DETALLE!Z371,0)</f>
        <v>0</v>
      </c>
      <c r="H1071" s="95">
        <f>IF(OR(PROGRAMA_DETALLE!AC371="PENDIENTE",PROGRAMA_DETALLE!AC371="PARCIAL"),PROGRAMA_DETALLE!Z371,0)</f>
        <v>0</v>
      </c>
      <c r="I1071" s="94" t="str">
        <f>IF(PROGRAMA_DETALLE!AC371="","",PROGRAMA_DETALLE!AC371)</f>
        <v/>
      </c>
    </row>
    <row r="1072" ht="15.75" customHeight="1">
      <c r="A1072" s="96" t="s">
        <v>236</v>
      </c>
      <c r="B1072" s="93" t="str">
        <f>IF(PROGRAMA_DETALLE!Q372="","",PROGRAMA_DETALLE!Q372)</f>
        <v/>
      </c>
      <c r="C1072" s="84" t="str">
        <f>IF(PROGRAMA_DETALLE!A372="","","Tintorería")</f>
        <v/>
      </c>
      <c r="D1072" s="94" t="str">
        <f>IF(PROGRAMA_DETALLE!AB372="","",PROGRAMA_DETALLE!AB372)</f>
        <v/>
      </c>
      <c r="E1072" s="84" t="str">
        <f>IF(PROGRAMA_DETALLE!A372="","","Teñido "&amp;PROGRAMA_DETALLE!D372&amp;" "&amp;PROGRAMA_DETALLE!B372)</f>
        <v/>
      </c>
      <c r="F1072" s="95" t="str">
        <f>IF(PROGRAMA_DETALLE!Z372=0,"",PROGRAMA_DETALLE!Z372)</f>
        <v/>
      </c>
      <c r="G1072" s="95">
        <f>IF(PROGRAMA_DETALLE!AC372="PAGADO",PROGRAMA_DETALLE!Z372,0)</f>
        <v>0</v>
      </c>
      <c r="H1072" s="95">
        <f>IF(OR(PROGRAMA_DETALLE!AC372="PENDIENTE",PROGRAMA_DETALLE!AC372="PARCIAL"),PROGRAMA_DETALLE!Z372,0)</f>
        <v>0</v>
      </c>
      <c r="I1072" s="94" t="str">
        <f>IF(PROGRAMA_DETALLE!AC372="","",PROGRAMA_DETALLE!AC372)</f>
        <v/>
      </c>
    </row>
    <row r="1073" ht="15.75" customHeight="1">
      <c r="A1073" s="96" t="s">
        <v>236</v>
      </c>
      <c r="B1073" s="93" t="str">
        <f>IF(PROGRAMA_DETALLE!Q373="","",PROGRAMA_DETALLE!Q373)</f>
        <v/>
      </c>
      <c r="C1073" s="84" t="str">
        <f>IF(PROGRAMA_DETALLE!A373="","","Tintorería")</f>
        <v/>
      </c>
      <c r="D1073" s="94" t="str">
        <f>IF(PROGRAMA_DETALLE!AB373="","",PROGRAMA_DETALLE!AB373)</f>
        <v/>
      </c>
      <c r="E1073" s="84" t="str">
        <f>IF(PROGRAMA_DETALLE!A373="","","Teñido "&amp;PROGRAMA_DETALLE!D373&amp;" "&amp;PROGRAMA_DETALLE!B373)</f>
        <v/>
      </c>
      <c r="F1073" s="95" t="str">
        <f>IF(PROGRAMA_DETALLE!Z373=0,"",PROGRAMA_DETALLE!Z373)</f>
        <v/>
      </c>
      <c r="G1073" s="95">
        <f>IF(PROGRAMA_DETALLE!AC373="PAGADO",PROGRAMA_DETALLE!Z373,0)</f>
        <v>0</v>
      </c>
      <c r="H1073" s="95">
        <f>IF(OR(PROGRAMA_DETALLE!AC373="PENDIENTE",PROGRAMA_DETALLE!AC373="PARCIAL"),PROGRAMA_DETALLE!Z373,0)</f>
        <v>0</v>
      </c>
      <c r="I1073" s="94" t="str">
        <f>IF(PROGRAMA_DETALLE!AC373="","",PROGRAMA_DETALLE!AC373)</f>
        <v/>
      </c>
    </row>
    <row r="1074" ht="15.75" customHeight="1">
      <c r="A1074" s="96" t="s">
        <v>236</v>
      </c>
      <c r="B1074" s="93" t="str">
        <f>IF(PROGRAMA_DETALLE!Q374="","",PROGRAMA_DETALLE!Q374)</f>
        <v/>
      </c>
      <c r="C1074" s="84" t="str">
        <f>IF(PROGRAMA_DETALLE!A374="","","Tintorería")</f>
        <v/>
      </c>
      <c r="D1074" s="94" t="str">
        <f>IF(PROGRAMA_DETALLE!AB374="","",PROGRAMA_DETALLE!AB374)</f>
        <v/>
      </c>
      <c r="E1074" s="84" t="str">
        <f>IF(PROGRAMA_DETALLE!A374="","","Teñido "&amp;PROGRAMA_DETALLE!D374&amp;" "&amp;PROGRAMA_DETALLE!B374)</f>
        <v/>
      </c>
      <c r="F1074" s="95" t="str">
        <f>IF(PROGRAMA_DETALLE!Z374=0,"",PROGRAMA_DETALLE!Z374)</f>
        <v/>
      </c>
      <c r="G1074" s="95">
        <f>IF(PROGRAMA_DETALLE!AC374="PAGADO",PROGRAMA_DETALLE!Z374,0)</f>
        <v>0</v>
      </c>
      <c r="H1074" s="95">
        <f>IF(OR(PROGRAMA_DETALLE!AC374="PENDIENTE",PROGRAMA_DETALLE!AC374="PARCIAL"),PROGRAMA_DETALLE!Z374,0)</f>
        <v>0</v>
      </c>
      <c r="I1074" s="94" t="str">
        <f>IF(PROGRAMA_DETALLE!AC374="","",PROGRAMA_DETALLE!AC374)</f>
        <v/>
      </c>
    </row>
    <row r="1075" ht="15.75" customHeight="1">
      <c r="A1075" s="96" t="s">
        <v>236</v>
      </c>
      <c r="B1075" s="93" t="str">
        <f>IF(PROGRAMA_DETALLE!Q375="","",PROGRAMA_DETALLE!Q375)</f>
        <v/>
      </c>
      <c r="C1075" s="84" t="str">
        <f>IF(PROGRAMA_DETALLE!A375="","","Tintorería")</f>
        <v/>
      </c>
      <c r="D1075" s="94" t="str">
        <f>IF(PROGRAMA_DETALLE!AB375="","",PROGRAMA_DETALLE!AB375)</f>
        <v/>
      </c>
      <c r="E1075" s="84" t="str">
        <f>IF(PROGRAMA_DETALLE!A375="","","Teñido "&amp;PROGRAMA_DETALLE!D375&amp;" "&amp;PROGRAMA_DETALLE!B375)</f>
        <v/>
      </c>
      <c r="F1075" s="95" t="str">
        <f>IF(PROGRAMA_DETALLE!Z375=0,"",PROGRAMA_DETALLE!Z375)</f>
        <v/>
      </c>
      <c r="G1075" s="95">
        <f>IF(PROGRAMA_DETALLE!AC375="PAGADO",PROGRAMA_DETALLE!Z375,0)</f>
        <v>0</v>
      </c>
      <c r="H1075" s="95">
        <f>IF(OR(PROGRAMA_DETALLE!AC375="PENDIENTE",PROGRAMA_DETALLE!AC375="PARCIAL"),PROGRAMA_DETALLE!Z375,0)</f>
        <v>0</v>
      </c>
      <c r="I1075" s="94" t="str">
        <f>IF(PROGRAMA_DETALLE!AC375="","",PROGRAMA_DETALLE!AC375)</f>
        <v/>
      </c>
    </row>
    <row r="1076" ht="15.75" customHeight="1">
      <c r="A1076" s="96" t="s">
        <v>236</v>
      </c>
      <c r="B1076" s="93" t="str">
        <f>IF(PROGRAMA_DETALLE!Q376="","",PROGRAMA_DETALLE!Q376)</f>
        <v/>
      </c>
      <c r="C1076" s="84" t="str">
        <f>IF(PROGRAMA_DETALLE!A376="","","Tintorería")</f>
        <v/>
      </c>
      <c r="D1076" s="94" t="str">
        <f>IF(PROGRAMA_DETALLE!AB376="","",PROGRAMA_DETALLE!AB376)</f>
        <v/>
      </c>
      <c r="E1076" s="84" t="str">
        <f>IF(PROGRAMA_DETALLE!A376="","","Teñido "&amp;PROGRAMA_DETALLE!D376&amp;" "&amp;PROGRAMA_DETALLE!B376)</f>
        <v/>
      </c>
      <c r="F1076" s="95" t="str">
        <f>IF(PROGRAMA_DETALLE!Z376=0,"",PROGRAMA_DETALLE!Z376)</f>
        <v/>
      </c>
      <c r="G1076" s="95">
        <f>IF(PROGRAMA_DETALLE!AC376="PAGADO",PROGRAMA_DETALLE!Z376,0)</f>
        <v>0</v>
      </c>
      <c r="H1076" s="95">
        <f>IF(OR(PROGRAMA_DETALLE!AC376="PENDIENTE",PROGRAMA_DETALLE!AC376="PARCIAL"),PROGRAMA_DETALLE!Z376,0)</f>
        <v>0</v>
      </c>
      <c r="I1076" s="94" t="str">
        <f>IF(PROGRAMA_DETALLE!AC376="","",PROGRAMA_DETALLE!AC376)</f>
        <v/>
      </c>
    </row>
    <row r="1077" ht="15.75" customHeight="1">
      <c r="A1077" s="96" t="s">
        <v>236</v>
      </c>
      <c r="B1077" s="93" t="str">
        <f>IF(PROGRAMA_DETALLE!Q377="","",PROGRAMA_DETALLE!Q377)</f>
        <v/>
      </c>
      <c r="C1077" s="84" t="str">
        <f>IF(PROGRAMA_DETALLE!A377="","","Tintorería")</f>
        <v/>
      </c>
      <c r="D1077" s="94" t="str">
        <f>IF(PROGRAMA_DETALLE!AB377="","",PROGRAMA_DETALLE!AB377)</f>
        <v/>
      </c>
      <c r="E1077" s="84" t="str">
        <f>IF(PROGRAMA_DETALLE!A377="","","Teñido "&amp;PROGRAMA_DETALLE!D377&amp;" "&amp;PROGRAMA_DETALLE!B377)</f>
        <v/>
      </c>
      <c r="F1077" s="95" t="str">
        <f>IF(PROGRAMA_DETALLE!Z377=0,"",PROGRAMA_DETALLE!Z377)</f>
        <v/>
      </c>
      <c r="G1077" s="95">
        <f>IF(PROGRAMA_DETALLE!AC377="PAGADO",PROGRAMA_DETALLE!Z377,0)</f>
        <v>0</v>
      </c>
      <c r="H1077" s="95">
        <f>IF(OR(PROGRAMA_DETALLE!AC377="PENDIENTE",PROGRAMA_DETALLE!AC377="PARCIAL"),PROGRAMA_DETALLE!Z377,0)</f>
        <v>0</v>
      </c>
      <c r="I1077" s="94" t="str">
        <f>IF(PROGRAMA_DETALLE!AC377="","",PROGRAMA_DETALLE!AC377)</f>
        <v/>
      </c>
    </row>
    <row r="1078" ht="15.75" customHeight="1">
      <c r="A1078" s="96" t="s">
        <v>236</v>
      </c>
      <c r="B1078" s="93" t="str">
        <f>IF(PROGRAMA_DETALLE!Q378="","",PROGRAMA_DETALLE!Q378)</f>
        <v/>
      </c>
      <c r="C1078" s="84" t="str">
        <f>IF(PROGRAMA_DETALLE!A378="","","Tintorería")</f>
        <v/>
      </c>
      <c r="D1078" s="94" t="str">
        <f>IF(PROGRAMA_DETALLE!AB378="","",PROGRAMA_DETALLE!AB378)</f>
        <v/>
      </c>
      <c r="E1078" s="84" t="str">
        <f>IF(PROGRAMA_DETALLE!A378="","","Teñido "&amp;PROGRAMA_DETALLE!D378&amp;" "&amp;PROGRAMA_DETALLE!B378)</f>
        <v/>
      </c>
      <c r="F1078" s="95" t="str">
        <f>IF(PROGRAMA_DETALLE!Z378=0,"",PROGRAMA_DETALLE!Z378)</f>
        <v/>
      </c>
      <c r="G1078" s="95">
        <f>IF(PROGRAMA_DETALLE!AC378="PAGADO",PROGRAMA_DETALLE!Z378,0)</f>
        <v>0</v>
      </c>
      <c r="H1078" s="95">
        <f>IF(OR(PROGRAMA_DETALLE!AC378="PENDIENTE",PROGRAMA_DETALLE!AC378="PARCIAL"),PROGRAMA_DETALLE!Z378,0)</f>
        <v>0</v>
      </c>
      <c r="I1078" s="94" t="str">
        <f>IF(PROGRAMA_DETALLE!AC378="","",PROGRAMA_DETALLE!AC378)</f>
        <v/>
      </c>
    </row>
    <row r="1079" ht="15.75" customHeight="1">
      <c r="A1079" s="96" t="s">
        <v>236</v>
      </c>
      <c r="B1079" s="93" t="str">
        <f>IF(PROGRAMA_DETALLE!Q379="","",PROGRAMA_DETALLE!Q379)</f>
        <v/>
      </c>
      <c r="C1079" s="84" t="str">
        <f>IF(PROGRAMA_DETALLE!A379="","","Tintorería")</f>
        <v/>
      </c>
      <c r="D1079" s="94" t="str">
        <f>IF(PROGRAMA_DETALLE!AB379="","",PROGRAMA_DETALLE!AB379)</f>
        <v/>
      </c>
      <c r="E1079" s="84" t="str">
        <f>IF(PROGRAMA_DETALLE!A379="","","Teñido "&amp;PROGRAMA_DETALLE!D379&amp;" "&amp;PROGRAMA_DETALLE!B379)</f>
        <v/>
      </c>
      <c r="F1079" s="95" t="str">
        <f>IF(PROGRAMA_DETALLE!Z379=0,"",PROGRAMA_DETALLE!Z379)</f>
        <v/>
      </c>
      <c r="G1079" s="95">
        <f>IF(PROGRAMA_DETALLE!AC379="PAGADO",PROGRAMA_DETALLE!Z379,0)</f>
        <v>0</v>
      </c>
      <c r="H1079" s="95">
        <f>IF(OR(PROGRAMA_DETALLE!AC379="PENDIENTE",PROGRAMA_DETALLE!AC379="PARCIAL"),PROGRAMA_DETALLE!Z379,0)</f>
        <v>0</v>
      </c>
      <c r="I1079" s="94" t="str">
        <f>IF(PROGRAMA_DETALLE!AC379="","",PROGRAMA_DETALLE!AC379)</f>
        <v/>
      </c>
    </row>
    <row r="1080" ht="15.75" customHeight="1">
      <c r="A1080" s="96" t="s">
        <v>236</v>
      </c>
      <c r="B1080" s="93" t="str">
        <f>IF(PROGRAMA_DETALLE!Q380="","",PROGRAMA_DETALLE!Q380)</f>
        <v/>
      </c>
      <c r="C1080" s="84" t="str">
        <f>IF(PROGRAMA_DETALLE!A380="","","Tintorería")</f>
        <v/>
      </c>
      <c r="D1080" s="94" t="str">
        <f>IF(PROGRAMA_DETALLE!AB380="","",PROGRAMA_DETALLE!AB380)</f>
        <v/>
      </c>
      <c r="E1080" s="84" t="str">
        <f>IF(PROGRAMA_DETALLE!A380="","","Teñido "&amp;PROGRAMA_DETALLE!D380&amp;" "&amp;PROGRAMA_DETALLE!B380)</f>
        <v/>
      </c>
      <c r="F1080" s="95" t="str">
        <f>IF(PROGRAMA_DETALLE!Z380=0,"",PROGRAMA_DETALLE!Z380)</f>
        <v/>
      </c>
      <c r="G1080" s="95">
        <f>IF(PROGRAMA_DETALLE!AC380="PAGADO",PROGRAMA_DETALLE!Z380,0)</f>
        <v>0</v>
      </c>
      <c r="H1080" s="95">
        <f>IF(OR(PROGRAMA_DETALLE!AC380="PENDIENTE",PROGRAMA_DETALLE!AC380="PARCIAL"),PROGRAMA_DETALLE!Z380,0)</f>
        <v>0</v>
      </c>
      <c r="I1080" s="94" t="str">
        <f>IF(PROGRAMA_DETALLE!AC380="","",PROGRAMA_DETALLE!AC380)</f>
        <v/>
      </c>
    </row>
    <row r="1081" ht="15.75" customHeight="1">
      <c r="A1081" s="96" t="s">
        <v>236</v>
      </c>
      <c r="B1081" s="93" t="str">
        <f>IF(PROGRAMA_DETALLE!Q381="","",PROGRAMA_DETALLE!Q381)</f>
        <v/>
      </c>
      <c r="C1081" s="84" t="str">
        <f>IF(PROGRAMA_DETALLE!A381="","","Tintorería")</f>
        <v/>
      </c>
      <c r="D1081" s="94" t="str">
        <f>IF(PROGRAMA_DETALLE!AB381="","",PROGRAMA_DETALLE!AB381)</f>
        <v/>
      </c>
      <c r="E1081" s="84" t="str">
        <f>IF(PROGRAMA_DETALLE!A381="","","Teñido "&amp;PROGRAMA_DETALLE!D381&amp;" "&amp;PROGRAMA_DETALLE!B381)</f>
        <v/>
      </c>
      <c r="F1081" s="95" t="str">
        <f>IF(PROGRAMA_DETALLE!Z381=0,"",PROGRAMA_DETALLE!Z381)</f>
        <v/>
      </c>
      <c r="G1081" s="95">
        <f>IF(PROGRAMA_DETALLE!AC381="PAGADO",PROGRAMA_DETALLE!Z381,0)</f>
        <v>0</v>
      </c>
      <c r="H1081" s="95">
        <f>IF(OR(PROGRAMA_DETALLE!AC381="PENDIENTE",PROGRAMA_DETALLE!AC381="PARCIAL"),PROGRAMA_DETALLE!Z381,0)</f>
        <v>0</v>
      </c>
      <c r="I1081" s="94" t="str">
        <f>IF(PROGRAMA_DETALLE!AC381="","",PROGRAMA_DETALLE!AC381)</f>
        <v/>
      </c>
    </row>
    <row r="1082" ht="15.75" customHeight="1">
      <c r="A1082" s="96" t="s">
        <v>236</v>
      </c>
      <c r="B1082" s="93" t="str">
        <f>IF(PROGRAMA_DETALLE!Q382="","",PROGRAMA_DETALLE!Q382)</f>
        <v/>
      </c>
      <c r="C1082" s="84" t="str">
        <f>IF(PROGRAMA_DETALLE!A382="","","Tintorería")</f>
        <v/>
      </c>
      <c r="D1082" s="94" t="str">
        <f>IF(PROGRAMA_DETALLE!AB382="","",PROGRAMA_DETALLE!AB382)</f>
        <v/>
      </c>
      <c r="E1082" s="84" t="str">
        <f>IF(PROGRAMA_DETALLE!A382="","","Teñido "&amp;PROGRAMA_DETALLE!D382&amp;" "&amp;PROGRAMA_DETALLE!B382)</f>
        <v/>
      </c>
      <c r="F1082" s="95" t="str">
        <f>IF(PROGRAMA_DETALLE!Z382=0,"",PROGRAMA_DETALLE!Z382)</f>
        <v/>
      </c>
      <c r="G1082" s="95">
        <f>IF(PROGRAMA_DETALLE!AC382="PAGADO",PROGRAMA_DETALLE!Z382,0)</f>
        <v>0</v>
      </c>
      <c r="H1082" s="95">
        <f>IF(OR(PROGRAMA_DETALLE!AC382="PENDIENTE",PROGRAMA_DETALLE!AC382="PARCIAL"),PROGRAMA_DETALLE!Z382,0)</f>
        <v>0</v>
      </c>
      <c r="I1082" s="94" t="str">
        <f>IF(PROGRAMA_DETALLE!AC382="","",PROGRAMA_DETALLE!AC382)</f>
        <v/>
      </c>
    </row>
    <row r="1083" ht="15.75" customHeight="1">
      <c r="A1083" s="96" t="s">
        <v>236</v>
      </c>
      <c r="B1083" s="93" t="str">
        <f>IF(PROGRAMA_DETALLE!Q383="","",PROGRAMA_DETALLE!Q383)</f>
        <v/>
      </c>
      <c r="C1083" s="84" t="str">
        <f>IF(PROGRAMA_DETALLE!A383="","","Tintorería")</f>
        <v/>
      </c>
      <c r="D1083" s="94" t="str">
        <f>IF(PROGRAMA_DETALLE!AB383="","",PROGRAMA_DETALLE!AB383)</f>
        <v/>
      </c>
      <c r="E1083" s="84" t="str">
        <f>IF(PROGRAMA_DETALLE!A383="","","Teñido "&amp;PROGRAMA_DETALLE!D383&amp;" "&amp;PROGRAMA_DETALLE!B383)</f>
        <v/>
      </c>
      <c r="F1083" s="95" t="str">
        <f>IF(PROGRAMA_DETALLE!Z383=0,"",PROGRAMA_DETALLE!Z383)</f>
        <v/>
      </c>
      <c r="G1083" s="95">
        <f>IF(PROGRAMA_DETALLE!AC383="PAGADO",PROGRAMA_DETALLE!Z383,0)</f>
        <v>0</v>
      </c>
      <c r="H1083" s="95">
        <f>IF(OR(PROGRAMA_DETALLE!AC383="PENDIENTE",PROGRAMA_DETALLE!AC383="PARCIAL"),PROGRAMA_DETALLE!Z383,0)</f>
        <v>0</v>
      </c>
      <c r="I1083" s="94" t="str">
        <f>IF(PROGRAMA_DETALLE!AC383="","",PROGRAMA_DETALLE!AC383)</f>
        <v/>
      </c>
    </row>
    <row r="1084" ht="15.75" customHeight="1">
      <c r="A1084" s="96" t="s">
        <v>236</v>
      </c>
      <c r="B1084" s="93" t="str">
        <f>IF(PROGRAMA_DETALLE!Q384="","",PROGRAMA_DETALLE!Q384)</f>
        <v/>
      </c>
      <c r="C1084" s="84" t="str">
        <f>IF(PROGRAMA_DETALLE!A384="","","Tintorería")</f>
        <v/>
      </c>
      <c r="D1084" s="94" t="str">
        <f>IF(PROGRAMA_DETALLE!AB384="","",PROGRAMA_DETALLE!AB384)</f>
        <v/>
      </c>
      <c r="E1084" s="84" t="str">
        <f>IF(PROGRAMA_DETALLE!A384="","","Teñido "&amp;PROGRAMA_DETALLE!D384&amp;" "&amp;PROGRAMA_DETALLE!B384)</f>
        <v/>
      </c>
      <c r="F1084" s="95" t="str">
        <f>IF(PROGRAMA_DETALLE!Z384=0,"",PROGRAMA_DETALLE!Z384)</f>
        <v/>
      </c>
      <c r="G1084" s="95">
        <f>IF(PROGRAMA_DETALLE!AC384="PAGADO",PROGRAMA_DETALLE!Z384,0)</f>
        <v>0</v>
      </c>
      <c r="H1084" s="95">
        <f>IF(OR(PROGRAMA_DETALLE!AC384="PENDIENTE",PROGRAMA_DETALLE!AC384="PARCIAL"),PROGRAMA_DETALLE!Z384,0)</f>
        <v>0</v>
      </c>
      <c r="I1084" s="94" t="str">
        <f>IF(PROGRAMA_DETALLE!AC384="","",PROGRAMA_DETALLE!AC384)</f>
        <v/>
      </c>
    </row>
    <row r="1085" ht="15.75" customHeight="1">
      <c r="A1085" s="96" t="s">
        <v>236</v>
      </c>
      <c r="B1085" s="93" t="str">
        <f>IF(PROGRAMA_DETALLE!Q385="","",PROGRAMA_DETALLE!Q385)</f>
        <v/>
      </c>
      <c r="C1085" s="84" t="str">
        <f>IF(PROGRAMA_DETALLE!A385="","","Tintorería")</f>
        <v/>
      </c>
      <c r="D1085" s="94" t="str">
        <f>IF(PROGRAMA_DETALLE!AB385="","",PROGRAMA_DETALLE!AB385)</f>
        <v/>
      </c>
      <c r="E1085" s="84" t="str">
        <f>IF(PROGRAMA_DETALLE!A385="","","Teñido "&amp;PROGRAMA_DETALLE!D385&amp;" "&amp;PROGRAMA_DETALLE!B385)</f>
        <v/>
      </c>
      <c r="F1085" s="95" t="str">
        <f>IF(PROGRAMA_DETALLE!Z385=0,"",PROGRAMA_DETALLE!Z385)</f>
        <v/>
      </c>
      <c r="G1085" s="95">
        <f>IF(PROGRAMA_DETALLE!AC385="PAGADO",PROGRAMA_DETALLE!Z385,0)</f>
        <v>0</v>
      </c>
      <c r="H1085" s="95">
        <f>IF(OR(PROGRAMA_DETALLE!AC385="PENDIENTE",PROGRAMA_DETALLE!AC385="PARCIAL"),PROGRAMA_DETALLE!Z385,0)</f>
        <v>0</v>
      </c>
      <c r="I1085" s="94" t="str">
        <f>IF(PROGRAMA_DETALLE!AC385="","",PROGRAMA_DETALLE!AC385)</f>
        <v/>
      </c>
    </row>
    <row r="1086" ht="15.75" customHeight="1">
      <c r="A1086" s="96" t="s">
        <v>236</v>
      </c>
      <c r="B1086" s="93" t="str">
        <f>IF(PROGRAMA_DETALLE!Q386="","",PROGRAMA_DETALLE!Q386)</f>
        <v/>
      </c>
      <c r="C1086" s="84" t="str">
        <f>IF(PROGRAMA_DETALLE!A386="","","Tintorería")</f>
        <v/>
      </c>
      <c r="D1086" s="94" t="str">
        <f>IF(PROGRAMA_DETALLE!AB386="","",PROGRAMA_DETALLE!AB386)</f>
        <v/>
      </c>
      <c r="E1086" s="84" t="str">
        <f>IF(PROGRAMA_DETALLE!A386="","","Teñido "&amp;PROGRAMA_DETALLE!D386&amp;" "&amp;PROGRAMA_DETALLE!B386)</f>
        <v/>
      </c>
      <c r="F1086" s="95" t="str">
        <f>IF(PROGRAMA_DETALLE!Z386=0,"",PROGRAMA_DETALLE!Z386)</f>
        <v/>
      </c>
      <c r="G1086" s="95">
        <f>IF(PROGRAMA_DETALLE!AC386="PAGADO",PROGRAMA_DETALLE!Z386,0)</f>
        <v>0</v>
      </c>
      <c r="H1086" s="95">
        <f>IF(OR(PROGRAMA_DETALLE!AC386="PENDIENTE",PROGRAMA_DETALLE!AC386="PARCIAL"),PROGRAMA_DETALLE!Z386,0)</f>
        <v>0</v>
      </c>
      <c r="I1086" s="94" t="str">
        <f>IF(PROGRAMA_DETALLE!AC386="","",PROGRAMA_DETALLE!AC386)</f>
        <v/>
      </c>
    </row>
    <row r="1087" ht="15.75" customHeight="1">
      <c r="A1087" s="96" t="s">
        <v>236</v>
      </c>
      <c r="B1087" s="93" t="str">
        <f>IF(PROGRAMA_DETALLE!Q387="","",PROGRAMA_DETALLE!Q387)</f>
        <v/>
      </c>
      <c r="C1087" s="84" t="str">
        <f>IF(PROGRAMA_DETALLE!A387="","","Tintorería")</f>
        <v/>
      </c>
      <c r="D1087" s="94" t="str">
        <f>IF(PROGRAMA_DETALLE!AB387="","",PROGRAMA_DETALLE!AB387)</f>
        <v/>
      </c>
      <c r="E1087" s="84" t="str">
        <f>IF(PROGRAMA_DETALLE!A387="","","Teñido "&amp;PROGRAMA_DETALLE!D387&amp;" "&amp;PROGRAMA_DETALLE!B387)</f>
        <v/>
      </c>
      <c r="F1087" s="95" t="str">
        <f>IF(PROGRAMA_DETALLE!Z387=0,"",PROGRAMA_DETALLE!Z387)</f>
        <v/>
      </c>
      <c r="G1087" s="95">
        <f>IF(PROGRAMA_DETALLE!AC387="PAGADO",PROGRAMA_DETALLE!Z387,0)</f>
        <v>0</v>
      </c>
      <c r="H1087" s="95">
        <f>IF(OR(PROGRAMA_DETALLE!AC387="PENDIENTE",PROGRAMA_DETALLE!AC387="PARCIAL"),PROGRAMA_DETALLE!Z387,0)</f>
        <v>0</v>
      </c>
      <c r="I1087" s="94" t="str">
        <f>IF(PROGRAMA_DETALLE!AC387="","",PROGRAMA_DETALLE!AC387)</f>
        <v/>
      </c>
    </row>
    <row r="1088" ht="15.75" customHeight="1">
      <c r="A1088" s="96" t="s">
        <v>236</v>
      </c>
      <c r="B1088" s="93" t="str">
        <f>IF(PROGRAMA_DETALLE!Q388="","",PROGRAMA_DETALLE!Q388)</f>
        <v/>
      </c>
      <c r="C1088" s="84" t="str">
        <f>IF(PROGRAMA_DETALLE!A388="","","Tintorería")</f>
        <v/>
      </c>
      <c r="D1088" s="94" t="str">
        <f>IF(PROGRAMA_DETALLE!AB388="","",PROGRAMA_DETALLE!AB388)</f>
        <v/>
      </c>
      <c r="E1088" s="84" t="str">
        <f>IF(PROGRAMA_DETALLE!A388="","","Teñido "&amp;PROGRAMA_DETALLE!D388&amp;" "&amp;PROGRAMA_DETALLE!B388)</f>
        <v/>
      </c>
      <c r="F1088" s="95" t="str">
        <f>IF(PROGRAMA_DETALLE!Z388=0,"",PROGRAMA_DETALLE!Z388)</f>
        <v/>
      </c>
      <c r="G1088" s="95">
        <f>IF(PROGRAMA_DETALLE!AC388="PAGADO",PROGRAMA_DETALLE!Z388,0)</f>
        <v>0</v>
      </c>
      <c r="H1088" s="95">
        <f>IF(OR(PROGRAMA_DETALLE!AC388="PENDIENTE",PROGRAMA_DETALLE!AC388="PARCIAL"),PROGRAMA_DETALLE!Z388,0)</f>
        <v>0</v>
      </c>
      <c r="I1088" s="94" t="str">
        <f>IF(PROGRAMA_DETALLE!AC388="","",PROGRAMA_DETALLE!AC388)</f>
        <v/>
      </c>
    </row>
    <row r="1089" ht="15.75" customHeight="1">
      <c r="A1089" s="96" t="s">
        <v>236</v>
      </c>
      <c r="B1089" s="93" t="str">
        <f>IF(PROGRAMA_DETALLE!Q389="","",PROGRAMA_DETALLE!Q389)</f>
        <v/>
      </c>
      <c r="C1089" s="84" t="str">
        <f>IF(PROGRAMA_DETALLE!A389="","","Tintorería")</f>
        <v/>
      </c>
      <c r="D1089" s="94" t="str">
        <f>IF(PROGRAMA_DETALLE!AB389="","",PROGRAMA_DETALLE!AB389)</f>
        <v/>
      </c>
      <c r="E1089" s="84" t="str">
        <f>IF(PROGRAMA_DETALLE!A389="","","Teñido "&amp;PROGRAMA_DETALLE!D389&amp;" "&amp;PROGRAMA_DETALLE!B389)</f>
        <v/>
      </c>
      <c r="F1089" s="95" t="str">
        <f>IF(PROGRAMA_DETALLE!Z389=0,"",PROGRAMA_DETALLE!Z389)</f>
        <v/>
      </c>
      <c r="G1089" s="95">
        <f>IF(PROGRAMA_DETALLE!AC389="PAGADO",PROGRAMA_DETALLE!Z389,0)</f>
        <v>0</v>
      </c>
      <c r="H1089" s="95">
        <f>IF(OR(PROGRAMA_DETALLE!AC389="PENDIENTE",PROGRAMA_DETALLE!AC389="PARCIAL"),PROGRAMA_DETALLE!Z389,0)</f>
        <v>0</v>
      </c>
      <c r="I1089" s="94" t="str">
        <f>IF(PROGRAMA_DETALLE!AC389="","",PROGRAMA_DETALLE!AC389)</f>
        <v/>
      </c>
    </row>
    <row r="1090" ht="15.75" customHeight="1">
      <c r="A1090" s="96" t="s">
        <v>236</v>
      </c>
      <c r="B1090" s="93" t="str">
        <f>IF(PROGRAMA_DETALLE!Q390="","",PROGRAMA_DETALLE!Q390)</f>
        <v/>
      </c>
      <c r="C1090" s="84" t="str">
        <f>IF(PROGRAMA_DETALLE!A390="","","Tintorería")</f>
        <v/>
      </c>
      <c r="D1090" s="94" t="str">
        <f>IF(PROGRAMA_DETALLE!AB390="","",PROGRAMA_DETALLE!AB390)</f>
        <v/>
      </c>
      <c r="E1090" s="84" t="str">
        <f>IF(PROGRAMA_DETALLE!A390="","","Teñido "&amp;PROGRAMA_DETALLE!D390&amp;" "&amp;PROGRAMA_DETALLE!B390)</f>
        <v/>
      </c>
      <c r="F1090" s="95" t="str">
        <f>IF(PROGRAMA_DETALLE!Z390=0,"",PROGRAMA_DETALLE!Z390)</f>
        <v/>
      </c>
      <c r="G1090" s="95">
        <f>IF(PROGRAMA_DETALLE!AC390="PAGADO",PROGRAMA_DETALLE!Z390,0)</f>
        <v>0</v>
      </c>
      <c r="H1090" s="95">
        <f>IF(OR(PROGRAMA_DETALLE!AC390="PENDIENTE",PROGRAMA_DETALLE!AC390="PARCIAL"),PROGRAMA_DETALLE!Z390,0)</f>
        <v>0</v>
      </c>
      <c r="I1090" s="94" t="str">
        <f>IF(PROGRAMA_DETALLE!AC390="","",PROGRAMA_DETALLE!AC390)</f>
        <v/>
      </c>
    </row>
    <row r="1091" ht="15.75" customHeight="1">
      <c r="A1091" s="96" t="s">
        <v>236</v>
      </c>
      <c r="B1091" s="93" t="str">
        <f>IF(PROGRAMA_DETALLE!Q391="","",PROGRAMA_DETALLE!Q391)</f>
        <v/>
      </c>
      <c r="C1091" s="84" t="str">
        <f>IF(PROGRAMA_DETALLE!A391="","","Tintorería")</f>
        <v/>
      </c>
      <c r="D1091" s="94" t="str">
        <f>IF(PROGRAMA_DETALLE!AB391="","",PROGRAMA_DETALLE!AB391)</f>
        <v/>
      </c>
      <c r="E1091" s="84" t="str">
        <f>IF(PROGRAMA_DETALLE!A391="","","Teñido "&amp;PROGRAMA_DETALLE!D391&amp;" "&amp;PROGRAMA_DETALLE!B391)</f>
        <v/>
      </c>
      <c r="F1091" s="95" t="str">
        <f>IF(PROGRAMA_DETALLE!Z391=0,"",PROGRAMA_DETALLE!Z391)</f>
        <v/>
      </c>
      <c r="G1091" s="95">
        <f>IF(PROGRAMA_DETALLE!AC391="PAGADO",PROGRAMA_DETALLE!Z391,0)</f>
        <v>0</v>
      </c>
      <c r="H1091" s="95">
        <f>IF(OR(PROGRAMA_DETALLE!AC391="PENDIENTE",PROGRAMA_DETALLE!AC391="PARCIAL"),PROGRAMA_DETALLE!Z391,0)</f>
        <v>0</v>
      </c>
      <c r="I1091" s="94" t="str">
        <f>IF(PROGRAMA_DETALLE!AC391="","",PROGRAMA_DETALLE!AC391)</f>
        <v/>
      </c>
    </row>
    <row r="1092" ht="15.75" customHeight="1">
      <c r="A1092" s="96" t="s">
        <v>236</v>
      </c>
      <c r="B1092" s="93" t="str">
        <f>IF(PROGRAMA_DETALLE!Q392="","",PROGRAMA_DETALLE!Q392)</f>
        <v/>
      </c>
      <c r="C1092" s="84" t="str">
        <f>IF(PROGRAMA_DETALLE!A392="","","Tintorería")</f>
        <v/>
      </c>
      <c r="D1092" s="94" t="str">
        <f>IF(PROGRAMA_DETALLE!AB392="","",PROGRAMA_DETALLE!AB392)</f>
        <v/>
      </c>
      <c r="E1092" s="84" t="str">
        <f>IF(PROGRAMA_DETALLE!A392="","","Teñido "&amp;PROGRAMA_DETALLE!D392&amp;" "&amp;PROGRAMA_DETALLE!B392)</f>
        <v/>
      </c>
      <c r="F1092" s="95" t="str">
        <f>IF(PROGRAMA_DETALLE!Z392=0,"",PROGRAMA_DETALLE!Z392)</f>
        <v/>
      </c>
      <c r="G1092" s="95">
        <f>IF(PROGRAMA_DETALLE!AC392="PAGADO",PROGRAMA_DETALLE!Z392,0)</f>
        <v>0</v>
      </c>
      <c r="H1092" s="95">
        <f>IF(OR(PROGRAMA_DETALLE!AC392="PENDIENTE",PROGRAMA_DETALLE!AC392="PARCIAL"),PROGRAMA_DETALLE!Z392,0)</f>
        <v>0</v>
      </c>
      <c r="I1092" s="94" t="str">
        <f>IF(PROGRAMA_DETALLE!AC392="","",PROGRAMA_DETALLE!AC392)</f>
        <v/>
      </c>
    </row>
    <row r="1093" ht="15.75" customHeight="1">
      <c r="A1093" s="96" t="s">
        <v>236</v>
      </c>
      <c r="B1093" s="93" t="str">
        <f>IF(PROGRAMA_DETALLE!Q393="","",PROGRAMA_DETALLE!Q393)</f>
        <v/>
      </c>
      <c r="C1093" s="84" t="str">
        <f>IF(PROGRAMA_DETALLE!A393="","","Tintorería")</f>
        <v/>
      </c>
      <c r="D1093" s="94" t="str">
        <f>IF(PROGRAMA_DETALLE!AB393="","",PROGRAMA_DETALLE!AB393)</f>
        <v/>
      </c>
      <c r="E1093" s="84" t="str">
        <f>IF(PROGRAMA_DETALLE!A393="","","Teñido "&amp;PROGRAMA_DETALLE!D393&amp;" "&amp;PROGRAMA_DETALLE!B393)</f>
        <v/>
      </c>
      <c r="F1093" s="95" t="str">
        <f>IF(PROGRAMA_DETALLE!Z393=0,"",PROGRAMA_DETALLE!Z393)</f>
        <v/>
      </c>
      <c r="G1093" s="95">
        <f>IF(PROGRAMA_DETALLE!AC393="PAGADO",PROGRAMA_DETALLE!Z393,0)</f>
        <v>0</v>
      </c>
      <c r="H1093" s="95">
        <f>IF(OR(PROGRAMA_DETALLE!AC393="PENDIENTE",PROGRAMA_DETALLE!AC393="PARCIAL"),PROGRAMA_DETALLE!Z393,0)</f>
        <v>0</v>
      </c>
      <c r="I1093" s="94" t="str">
        <f>IF(PROGRAMA_DETALLE!AC393="","",PROGRAMA_DETALLE!AC393)</f>
        <v/>
      </c>
    </row>
    <row r="1094" ht="15.75" customHeight="1">
      <c r="A1094" s="96" t="s">
        <v>236</v>
      </c>
      <c r="B1094" s="93" t="str">
        <f>IF(PROGRAMA_DETALLE!Q394="","",PROGRAMA_DETALLE!Q394)</f>
        <v/>
      </c>
      <c r="C1094" s="84" t="str">
        <f>IF(PROGRAMA_DETALLE!A394="","","Tintorería")</f>
        <v/>
      </c>
      <c r="D1094" s="94" t="str">
        <f>IF(PROGRAMA_DETALLE!AB394="","",PROGRAMA_DETALLE!AB394)</f>
        <v/>
      </c>
      <c r="E1094" s="84" t="str">
        <f>IF(PROGRAMA_DETALLE!A394="","","Teñido "&amp;PROGRAMA_DETALLE!D394&amp;" "&amp;PROGRAMA_DETALLE!B394)</f>
        <v/>
      </c>
      <c r="F1094" s="95" t="str">
        <f>IF(PROGRAMA_DETALLE!Z394=0,"",PROGRAMA_DETALLE!Z394)</f>
        <v/>
      </c>
      <c r="G1094" s="95">
        <f>IF(PROGRAMA_DETALLE!AC394="PAGADO",PROGRAMA_DETALLE!Z394,0)</f>
        <v>0</v>
      </c>
      <c r="H1094" s="95">
        <f>IF(OR(PROGRAMA_DETALLE!AC394="PENDIENTE",PROGRAMA_DETALLE!AC394="PARCIAL"),PROGRAMA_DETALLE!Z394,0)</f>
        <v>0</v>
      </c>
      <c r="I1094" s="94" t="str">
        <f>IF(PROGRAMA_DETALLE!AC394="","",PROGRAMA_DETALLE!AC394)</f>
        <v/>
      </c>
    </row>
    <row r="1095" ht="15.75" customHeight="1">
      <c r="A1095" s="96" t="s">
        <v>236</v>
      </c>
      <c r="B1095" s="93" t="str">
        <f>IF(PROGRAMA_DETALLE!Q395="","",PROGRAMA_DETALLE!Q395)</f>
        <v/>
      </c>
      <c r="C1095" s="84" t="str">
        <f>IF(PROGRAMA_DETALLE!A395="","","Tintorería")</f>
        <v/>
      </c>
      <c r="D1095" s="94" t="str">
        <f>IF(PROGRAMA_DETALLE!AB395="","",PROGRAMA_DETALLE!AB395)</f>
        <v/>
      </c>
      <c r="E1095" s="84" t="str">
        <f>IF(PROGRAMA_DETALLE!A395="","","Teñido "&amp;PROGRAMA_DETALLE!D395&amp;" "&amp;PROGRAMA_DETALLE!B395)</f>
        <v/>
      </c>
      <c r="F1095" s="95" t="str">
        <f>IF(PROGRAMA_DETALLE!Z395=0,"",PROGRAMA_DETALLE!Z395)</f>
        <v/>
      </c>
      <c r="G1095" s="95">
        <f>IF(PROGRAMA_DETALLE!AC395="PAGADO",PROGRAMA_DETALLE!Z395,0)</f>
        <v>0</v>
      </c>
      <c r="H1095" s="95">
        <f>IF(OR(PROGRAMA_DETALLE!AC395="PENDIENTE",PROGRAMA_DETALLE!AC395="PARCIAL"),PROGRAMA_DETALLE!Z395,0)</f>
        <v>0</v>
      </c>
      <c r="I1095" s="94" t="str">
        <f>IF(PROGRAMA_DETALLE!AC395="","",PROGRAMA_DETALLE!AC395)</f>
        <v/>
      </c>
    </row>
    <row r="1096" ht="15.75" customHeight="1">
      <c r="A1096" s="96" t="s">
        <v>236</v>
      </c>
      <c r="B1096" s="93" t="str">
        <f>IF(PROGRAMA_DETALLE!Q396="","",PROGRAMA_DETALLE!Q396)</f>
        <v/>
      </c>
      <c r="C1096" s="84" t="str">
        <f>IF(PROGRAMA_DETALLE!A396="","","Tintorería")</f>
        <v/>
      </c>
      <c r="D1096" s="94" t="str">
        <f>IF(PROGRAMA_DETALLE!AB396="","",PROGRAMA_DETALLE!AB396)</f>
        <v/>
      </c>
      <c r="E1096" s="84" t="str">
        <f>IF(PROGRAMA_DETALLE!A396="","","Teñido "&amp;PROGRAMA_DETALLE!D396&amp;" "&amp;PROGRAMA_DETALLE!B396)</f>
        <v/>
      </c>
      <c r="F1096" s="95" t="str">
        <f>IF(PROGRAMA_DETALLE!Z396=0,"",PROGRAMA_DETALLE!Z396)</f>
        <v/>
      </c>
      <c r="G1096" s="95">
        <f>IF(PROGRAMA_DETALLE!AC396="PAGADO",PROGRAMA_DETALLE!Z396,0)</f>
        <v>0</v>
      </c>
      <c r="H1096" s="95">
        <f>IF(OR(PROGRAMA_DETALLE!AC396="PENDIENTE",PROGRAMA_DETALLE!AC396="PARCIAL"),PROGRAMA_DETALLE!Z396,0)</f>
        <v>0</v>
      </c>
      <c r="I1096" s="94" t="str">
        <f>IF(PROGRAMA_DETALLE!AC396="","",PROGRAMA_DETALLE!AC396)</f>
        <v/>
      </c>
    </row>
    <row r="1097" ht="15.75" customHeight="1">
      <c r="A1097" s="96" t="s">
        <v>236</v>
      </c>
      <c r="B1097" s="93" t="str">
        <f>IF(PROGRAMA_DETALLE!Q397="","",PROGRAMA_DETALLE!Q397)</f>
        <v/>
      </c>
      <c r="C1097" s="84" t="str">
        <f>IF(PROGRAMA_DETALLE!A397="","","Tintorería")</f>
        <v/>
      </c>
      <c r="D1097" s="94" t="str">
        <f>IF(PROGRAMA_DETALLE!AB397="","",PROGRAMA_DETALLE!AB397)</f>
        <v/>
      </c>
      <c r="E1097" s="84" t="str">
        <f>IF(PROGRAMA_DETALLE!A397="","","Teñido "&amp;PROGRAMA_DETALLE!D397&amp;" "&amp;PROGRAMA_DETALLE!B397)</f>
        <v/>
      </c>
      <c r="F1097" s="95" t="str">
        <f>IF(PROGRAMA_DETALLE!Z397=0,"",PROGRAMA_DETALLE!Z397)</f>
        <v/>
      </c>
      <c r="G1097" s="95">
        <f>IF(PROGRAMA_DETALLE!AC397="PAGADO",PROGRAMA_DETALLE!Z397,0)</f>
        <v>0</v>
      </c>
      <c r="H1097" s="95">
        <f>IF(OR(PROGRAMA_DETALLE!AC397="PENDIENTE",PROGRAMA_DETALLE!AC397="PARCIAL"),PROGRAMA_DETALLE!Z397,0)</f>
        <v>0</v>
      </c>
      <c r="I1097" s="94" t="str">
        <f>IF(PROGRAMA_DETALLE!AC397="","",PROGRAMA_DETALLE!AC397)</f>
        <v/>
      </c>
    </row>
    <row r="1098" ht="15.75" customHeight="1">
      <c r="A1098" s="96" t="s">
        <v>236</v>
      </c>
      <c r="B1098" s="93" t="str">
        <f>IF(PROGRAMA_DETALLE!Q398="","",PROGRAMA_DETALLE!Q398)</f>
        <v/>
      </c>
      <c r="C1098" s="84" t="str">
        <f>IF(PROGRAMA_DETALLE!A398="","","Tintorería")</f>
        <v/>
      </c>
      <c r="D1098" s="94" t="str">
        <f>IF(PROGRAMA_DETALLE!AB398="","",PROGRAMA_DETALLE!AB398)</f>
        <v/>
      </c>
      <c r="E1098" s="84" t="str">
        <f>IF(PROGRAMA_DETALLE!A398="","","Teñido "&amp;PROGRAMA_DETALLE!D398&amp;" "&amp;PROGRAMA_DETALLE!B398)</f>
        <v/>
      </c>
      <c r="F1098" s="95" t="str">
        <f>IF(PROGRAMA_DETALLE!Z398=0,"",PROGRAMA_DETALLE!Z398)</f>
        <v/>
      </c>
      <c r="G1098" s="95">
        <f>IF(PROGRAMA_DETALLE!AC398="PAGADO",PROGRAMA_DETALLE!Z398,0)</f>
        <v>0</v>
      </c>
      <c r="H1098" s="95">
        <f>IF(OR(PROGRAMA_DETALLE!AC398="PENDIENTE",PROGRAMA_DETALLE!AC398="PARCIAL"),PROGRAMA_DETALLE!Z398,0)</f>
        <v>0</v>
      </c>
      <c r="I1098" s="94" t="str">
        <f>IF(PROGRAMA_DETALLE!AC398="","",PROGRAMA_DETALLE!AC398)</f>
        <v/>
      </c>
    </row>
    <row r="1099" ht="15.75" customHeight="1">
      <c r="A1099" s="96" t="s">
        <v>236</v>
      </c>
      <c r="B1099" s="93" t="str">
        <f>IF(PROGRAMA_DETALLE!Q399="","",PROGRAMA_DETALLE!Q399)</f>
        <v/>
      </c>
      <c r="C1099" s="84" t="str">
        <f>IF(PROGRAMA_DETALLE!A399="","","Tintorería")</f>
        <v/>
      </c>
      <c r="D1099" s="94" t="str">
        <f>IF(PROGRAMA_DETALLE!AB399="","",PROGRAMA_DETALLE!AB399)</f>
        <v/>
      </c>
      <c r="E1099" s="84" t="str">
        <f>IF(PROGRAMA_DETALLE!A399="","","Teñido "&amp;PROGRAMA_DETALLE!D399&amp;" "&amp;PROGRAMA_DETALLE!B399)</f>
        <v/>
      </c>
      <c r="F1099" s="95" t="str">
        <f>IF(PROGRAMA_DETALLE!Z399=0,"",PROGRAMA_DETALLE!Z399)</f>
        <v/>
      </c>
      <c r="G1099" s="95">
        <f>IF(PROGRAMA_DETALLE!AC399="PAGADO",PROGRAMA_DETALLE!Z399,0)</f>
        <v>0</v>
      </c>
      <c r="H1099" s="95">
        <f>IF(OR(PROGRAMA_DETALLE!AC399="PENDIENTE",PROGRAMA_DETALLE!AC399="PARCIAL"),PROGRAMA_DETALLE!Z399,0)</f>
        <v>0</v>
      </c>
      <c r="I1099" s="94" t="str">
        <f>IF(PROGRAMA_DETALLE!AC399="","",PROGRAMA_DETALLE!AC399)</f>
        <v/>
      </c>
    </row>
    <row r="1100" ht="15.75" customHeight="1">
      <c r="A1100" s="96" t="s">
        <v>236</v>
      </c>
      <c r="B1100" s="93" t="str">
        <f>IF(PROGRAMA_DETALLE!Q400="","",PROGRAMA_DETALLE!Q400)</f>
        <v/>
      </c>
      <c r="C1100" s="84" t="str">
        <f>IF(PROGRAMA_DETALLE!A400="","","Tintorería")</f>
        <v/>
      </c>
      <c r="D1100" s="94" t="str">
        <f>IF(PROGRAMA_DETALLE!AB400="","",PROGRAMA_DETALLE!AB400)</f>
        <v/>
      </c>
      <c r="E1100" s="84" t="str">
        <f>IF(PROGRAMA_DETALLE!A400="","","Teñido "&amp;PROGRAMA_DETALLE!D400&amp;" "&amp;PROGRAMA_DETALLE!B400)</f>
        <v/>
      </c>
      <c r="F1100" s="95" t="str">
        <f>IF(PROGRAMA_DETALLE!Z400=0,"",PROGRAMA_DETALLE!Z400)</f>
        <v/>
      </c>
      <c r="G1100" s="95">
        <f>IF(PROGRAMA_DETALLE!AC400="PAGADO",PROGRAMA_DETALLE!Z400,0)</f>
        <v>0</v>
      </c>
      <c r="H1100" s="95">
        <f>IF(OR(PROGRAMA_DETALLE!AC400="PENDIENTE",PROGRAMA_DETALLE!AC400="PARCIAL"),PROGRAMA_DETALLE!Z400,0)</f>
        <v>0</v>
      </c>
      <c r="I1100" s="94" t="str">
        <f>IF(PROGRAMA_DETALLE!AC400="","",PROGRAMA_DETALLE!AC400)</f>
        <v/>
      </c>
    </row>
    <row r="1101" ht="15.75" customHeight="1">
      <c r="A1101" s="96" t="s">
        <v>236</v>
      </c>
      <c r="B1101" s="93" t="str">
        <f>IF(PROGRAMA_DETALLE!Q401="","",PROGRAMA_DETALLE!Q401)</f>
        <v/>
      </c>
      <c r="C1101" s="84" t="str">
        <f>IF(PROGRAMA_DETALLE!A401="","","Tintorería")</f>
        <v/>
      </c>
      <c r="D1101" s="94" t="str">
        <f>IF(PROGRAMA_DETALLE!AB401="","",PROGRAMA_DETALLE!AB401)</f>
        <v/>
      </c>
      <c r="E1101" s="84" t="str">
        <f>IF(PROGRAMA_DETALLE!A401="","","Teñido "&amp;PROGRAMA_DETALLE!D401&amp;" "&amp;PROGRAMA_DETALLE!B401)</f>
        <v/>
      </c>
      <c r="F1101" s="95" t="str">
        <f>IF(PROGRAMA_DETALLE!Z401=0,"",PROGRAMA_DETALLE!Z401)</f>
        <v/>
      </c>
      <c r="G1101" s="95">
        <f>IF(PROGRAMA_DETALLE!AC401="PAGADO",PROGRAMA_DETALLE!Z401,0)</f>
        <v>0</v>
      </c>
      <c r="H1101" s="95">
        <f>IF(OR(PROGRAMA_DETALLE!AC401="PENDIENTE",PROGRAMA_DETALLE!AC401="PARCIAL"),PROGRAMA_DETALLE!Z401,0)</f>
        <v>0</v>
      </c>
      <c r="I1101" s="94" t="str">
        <f>IF(PROGRAMA_DETALLE!AC401="","",PROGRAMA_DETALLE!AC401)</f>
        <v/>
      </c>
    </row>
    <row r="1102" ht="15.75" customHeight="1">
      <c r="A1102" s="96" t="s">
        <v>236</v>
      </c>
      <c r="B1102" s="93" t="str">
        <f>IF(PROGRAMA_DETALLE!Q402="","",PROGRAMA_DETALLE!Q402)</f>
        <v/>
      </c>
      <c r="C1102" s="84" t="str">
        <f>IF(PROGRAMA_DETALLE!A402="","","Tintorería")</f>
        <v/>
      </c>
      <c r="D1102" s="94" t="str">
        <f>IF(PROGRAMA_DETALLE!AB402="","",PROGRAMA_DETALLE!AB402)</f>
        <v/>
      </c>
      <c r="E1102" s="84" t="str">
        <f>IF(PROGRAMA_DETALLE!A402="","","Teñido "&amp;PROGRAMA_DETALLE!D402&amp;" "&amp;PROGRAMA_DETALLE!B402)</f>
        <v/>
      </c>
      <c r="F1102" s="95" t="str">
        <f>IF(PROGRAMA_DETALLE!Z402=0,"",PROGRAMA_DETALLE!Z402)</f>
        <v/>
      </c>
      <c r="G1102" s="95">
        <f>IF(PROGRAMA_DETALLE!AC402="PAGADO",PROGRAMA_DETALLE!Z402,0)</f>
        <v>0</v>
      </c>
      <c r="H1102" s="95">
        <f>IF(OR(PROGRAMA_DETALLE!AC402="PENDIENTE",PROGRAMA_DETALLE!AC402="PARCIAL"),PROGRAMA_DETALLE!Z402,0)</f>
        <v>0</v>
      </c>
      <c r="I1102" s="94" t="str">
        <f>IF(PROGRAMA_DETALLE!AC402="","",PROGRAMA_DETALLE!AC402)</f>
        <v/>
      </c>
    </row>
    <row r="1103" ht="15.75" customHeight="1">
      <c r="A1103" s="96" t="s">
        <v>236</v>
      </c>
      <c r="B1103" s="93" t="str">
        <f>IF(PROGRAMA_DETALLE!Q403="","",PROGRAMA_DETALLE!Q403)</f>
        <v/>
      </c>
      <c r="C1103" s="84" t="str">
        <f>IF(PROGRAMA_DETALLE!A403="","","Tintorería")</f>
        <v/>
      </c>
      <c r="D1103" s="94" t="str">
        <f>IF(PROGRAMA_DETALLE!AB403="","",PROGRAMA_DETALLE!AB403)</f>
        <v/>
      </c>
      <c r="E1103" s="84" t="str">
        <f>IF(PROGRAMA_DETALLE!A403="","","Teñido "&amp;PROGRAMA_DETALLE!D403&amp;" "&amp;PROGRAMA_DETALLE!B403)</f>
        <v/>
      </c>
      <c r="F1103" s="95" t="str">
        <f>IF(PROGRAMA_DETALLE!Z403=0,"",PROGRAMA_DETALLE!Z403)</f>
        <v/>
      </c>
      <c r="G1103" s="95">
        <f>IF(PROGRAMA_DETALLE!AC403="PAGADO",PROGRAMA_DETALLE!Z403,0)</f>
        <v>0</v>
      </c>
      <c r="H1103" s="95">
        <f>IF(OR(PROGRAMA_DETALLE!AC403="PENDIENTE",PROGRAMA_DETALLE!AC403="PARCIAL"),PROGRAMA_DETALLE!Z403,0)</f>
        <v>0</v>
      </c>
      <c r="I1103" s="94" t="str">
        <f>IF(PROGRAMA_DETALLE!AC403="","",PROGRAMA_DETALLE!AC403)</f>
        <v/>
      </c>
    </row>
    <row r="1104" ht="15.75" customHeight="1">
      <c r="A1104" s="96" t="s">
        <v>236</v>
      </c>
      <c r="B1104" s="93" t="str">
        <f>IF(PROGRAMA_DETALLE!Q404="","",PROGRAMA_DETALLE!Q404)</f>
        <v/>
      </c>
      <c r="C1104" s="84" t="str">
        <f>IF(PROGRAMA_DETALLE!A404="","","Tintorería")</f>
        <v/>
      </c>
      <c r="D1104" s="94" t="str">
        <f>IF(PROGRAMA_DETALLE!AB404="","",PROGRAMA_DETALLE!AB404)</f>
        <v/>
      </c>
      <c r="E1104" s="84" t="str">
        <f>IF(PROGRAMA_DETALLE!A404="","","Teñido "&amp;PROGRAMA_DETALLE!D404&amp;" "&amp;PROGRAMA_DETALLE!B404)</f>
        <v/>
      </c>
      <c r="F1104" s="95" t="str">
        <f>IF(PROGRAMA_DETALLE!Z404=0,"",PROGRAMA_DETALLE!Z404)</f>
        <v/>
      </c>
      <c r="G1104" s="95">
        <f>IF(PROGRAMA_DETALLE!AC404="PAGADO",PROGRAMA_DETALLE!Z404,0)</f>
        <v>0</v>
      </c>
      <c r="H1104" s="95">
        <f>IF(OR(PROGRAMA_DETALLE!AC404="PENDIENTE",PROGRAMA_DETALLE!AC404="PARCIAL"),PROGRAMA_DETALLE!Z404,0)</f>
        <v>0</v>
      </c>
      <c r="I1104" s="94" t="str">
        <f>IF(PROGRAMA_DETALLE!AC404="","",PROGRAMA_DETALLE!AC404)</f>
        <v/>
      </c>
    </row>
    <row r="1105" ht="15.75" customHeight="1">
      <c r="A1105" s="96" t="s">
        <v>236</v>
      </c>
      <c r="B1105" s="93" t="str">
        <f>IF(PROGRAMA_DETALLE!Q405="","",PROGRAMA_DETALLE!Q405)</f>
        <v/>
      </c>
      <c r="C1105" s="84" t="str">
        <f>IF(PROGRAMA_DETALLE!A405="","","Tintorería")</f>
        <v/>
      </c>
      <c r="D1105" s="94" t="str">
        <f>IF(PROGRAMA_DETALLE!AB405="","",PROGRAMA_DETALLE!AB405)</f>
        <v/>
      </c>
      <c r="E1105" s="84" t="str">
        <f>IF(PROGRAMA_DETALLE!A405="","","Teñido "&amp;PROGRAMA_DETALLE!D405&amp;" "&amp;PROGRAMA_DETALLE!B405)</f>
        <v/>
      </c>
      <c r="F1105" s="95" t="str">
        <f>IF(PROGRAMA_DETALLE!Z405=0,"",PROGRAMA_DETALLE!Z405)</f>
        <v/>
      </c>
      <c r="G1105" s="95">
        <f>IF(PROGRAMA_DETALLE!AC405="PAGADO",PROGRAMA_DETALLE!Z405,0)</f>
        <v>0</v>
      </c>
      <c r="H1105" s="95">
        <f>IF(OR(PROGRAMA_DETALLE!AC405="PENDIENTE",PROGRAMA_DETALLE!AC405="PARCIAL"),PROGRAMA_DETALLE!Z405,0)</f>
        <v>0</v>
      </c>
      <c r="I1105" s="94" t="str">
        <f>IF(PROGRAMA_DETALLE!AC405="","",PROGRAMA_DETALLE!AC405)</f>
        <v/>
      </c>
    </row>
    <row r="1106" ht="15.75" customHeight="1">
      <c r="A1106" s="96" t="s">
        <v>236</v>
      </c>
      <c r="B1106" s="93" t="str">
        <f>IF(PROGRAMA_DETALLE!Q406="","",PROGRAMA_DETALLE!Q406)</f>
        <v/>
      </c>
      <c r="C1106" s="84" t="str">
        <f>IF(PROGRAMA_DETALLE!A406="","","Tintorería")</f>
        <v/>
      </c>
      <c r="D1106" s="94" t="str">
        <f>IF(PROGRAMA_DETALLE!AB406="","",PROGRAMA_DETALLE!AB406)</f>
        <v/>
      </c>
      <c r="E1106" s="84" t="str">
        <f>IF(PROGRAMA_DETALLE!A406="","","Teñido "&amp;PROGRAMA_DETALLE!D406&amp;" "&amp;PROGRAMA_DETALLE!B406)</f>
        <v/>
      </c>
      <c r="F1106" s="95" t="str">
        <f>IF(PROGRAMA_DETALLE!Z406=0,"",PROGRAMA_DETALLE!Z406)</f>
        <v/>
      </c>
      <c r="G1106" s="95">
        <f>IF(PROGRAMA_DETALLE!AC406="PAGADO",PROGRAMA_DETALLE!Z406,0)</f>
        <v>0</v>
      </c>
      <c r="H1106" s="95">
        <f>IF(OR(PROGRAMA_DETALLE!AC406="PENDIENTE",PROGRAMA_DETALLE!AC406="PARCIAL"),PROGRAMA_DETALLE!Z406,0)</f>
        <v>0</v>
      </c>
      <c r="I1106" s="94" t="str">
        <f>IF(PROGRAMA_DETALLE!AC406="","",PROGRAMA_DETALLE!AC406)</f>
        <v/>
      </c>
    </row>
    <row r="1107" ht="15.75" customHeight="1">
      <c r="A1107" s="96" t="s">
        <v>236</v>
      </c>
      <c r="B1107" s="93" t="str">
        <f>IF(PROGRAMA_DETALLE!Q407="","",PROGRAMA_DETALLE!Q407)</f>
        <v/>
      </c>
      <c r="C1107" s="84" t="str">
        <f>IF(PROGRAMA_DETALLE!A407="","","Tintorería")</f>
        <v/>
      </c>
      <c r="D1107" s="94" t="str">
        <f>IF(PROGRAMA_DETALLE!AB407="","",PROGRAMA_DETALLE!AB407)</f>
        <v/>
      </c>
      <c r="E1107" s="84" t="str">
        <f>IF(PROGRAMA_DETALLE!A407="","","Teñido "&amp;PROGRAMA_DETALLE!D407&amp;" "&amp;PROGRAMA_DETALLE!B407)</f>
        <v/>
      </c>
      <c r="F1107" s="95" t="str">
        <f>IF(PROGRAMA_DETALLE!Z407=0,"",PROGRAMA_DETALLE!Z407)</f>
        <v/>
      </c>
      <c r="G1107" s="95">
        <f>IF(PROGRAMA_DETALLE!AC407="PAGADO",PROGRAMA_DETALLE!Z407,0)</f>
        <v>0</v>
      </c>
      <c r="H1107" s="95">
        <f>IF(OR(PROGRAMA_DETALLE!AC407="PENDIENTE",PROGRAMA_DETALLE!AC407="PARCIAL"),PROGRAMA_DETALLE!Z407,0)</f>
        <v>0</v>
      </c>
      <c r="I1107" s="94" t="str">
        <f>IF(PROGRAMA_DETALLE!AC407="","",PROGRAMA_DETALLE!AC407)</f>
        <v/>
      </c>
    </row>
    <row r="1108" ht="15.75" customHeight="1">
      <c r="A1108" s="96" t="s">
        <v>236</v>
      </c>
      <c r="B1108" s="93" t="str">
        <f>IF(PROGRAMA_DETALLE!Q408="","",PROGRAMA_DETALLE!Q408)</f>
        <v/>
      </c>
      <c r="C1108" s="84" t="str">
        <f>IF(PROGRAMA_DETALLE!A408="","","Tintorería")</f>
        <v/>
      </c>
      <c r="D1108" s="94" t="str">
        <f>IF(PROGRAMA_DETALLE!AB408="","",PROGRAMA_DETALLE!AB408)</f>
        <v/>
      </c>
      <c r="E1108" s="84" t="str">
        <f>IF(PROGRAMA_DETALLE!A408="","","Teñido "&amp;PROGRAMA_DETALLE!D408&amp;" "&amp;PROGRAMA_DETALLE!B408)</f>
        <v/>
      </c>
      <c r="F1108" s="95" t="str">
        <f>IF(PROGRAMA_DETALLE!Z408=0,"",PROGRAMA_DETALLE!Z408)</f>
        <v/>
      </c>
      <c r="G1108" s="95">
        <f>IF(PROGRAMA_DETALLE!AC408="PAGADO",PROGRAMA_DETALLE!Z408,0)</f>
        <v>0</v>
      </c>
      <c r="H1108" s="95">
        <f>IF(OR(PROGRAMA_DETALLE!AC408="PENDIENTE",PROGRAMA_DETALLE!AC408="PARCIAL"),PROGRAMA_DETALLE!Z408,0)</f>
        <v>0</v>
      </c>
      <c r="I1108" s="94" t="str">
        <f>IF(PROGRAMA_DETALLE!AC408="","",PROGRAMA_DETALLE!AC408)</f>
        <v/>
      </c>
    </row>
    <row r="1109" ht="15.75" customHeight="1">
      <c r="A1109" s="96" t="s">
        <v>236</v>
      </c>
      <c r="B1109" s="93" t="str">
        <f>IF(PROGRAMA_DETALLE!Q409="","",PROGRAMA_DETALLE!Q409)</f>
        <v/>
      </c>
      <c r="C1109" s="84" t="str">
        <f>IF(PROGRAMA_DETALLE!A409="","","Tintorería")</f>
        <v/>
      </c>
      <c r="D1109" s="94" t="str">
        <f>IF(PROGRAMA_DETALLE!AB409="","",PROGRAMA_DETALLE!AB409)</f>
        <v/>
      </c>
      <c r="E1109" s="84" t="str">
        <f>IF(PROGRAMA_DETALLE!A409="","","Teñido "&amp;PROGRAMA_DETALLE!D409&amp;" "&amp;PROGRAMA_DETALLE!B409)</f>
        <v/>
      </c>
      <c r="F1109" s="95" t="str">
        <f>IF(PROGRAMA_DETALLE!Z409=0,"",PROGRAMA_DETALLE!Z409)</f>
        <v/>
      </c>
      <c r="G1109" s="95">
        <f>IF(PROGRAMA_DETALLE!AC409="PAGADO",PROGRAMA_DETALLE!Z409,0)</f>
        <v>0</v>
      </c>
      <c r="H1109" s="95">
        <f>IF(OR(PROGRAMA_DETALLE!AC409="PENDIENTE",PROGRAMA_DETALLE!AC409="PARCIAL"),PROGRAMA_DETALLE!Z409,0)</f>
        <v>0</v>
      </c>
      <c r="I1109" s="94" t="str">
        <f>IF(PROGRAMA_DETALLE!AC409="","",PROGRAMA_DETALLE!AC409)</f>
        <v/>
      </c>
    </row>
    <row r="1110" ht="15.75" customHeight="1">
      <c r="A1110" s="96" t="s">
        <v>236</v>
      </c>
      <c r="B1110" s="93" t="str">
        <f>IF(PROGRAMA_DETALLE!Q410="","",PROGRAMA_DETALLE!Q410)</f>
        <v/>
      </c>
      <c r="C1110" s="84" t="str">
        <f>IF(PROGRAMA_DETALLE!A410="","","Tintorería")</f>
        <v/>
      </c>
      <c r="D1110" s="94" t="str">
        <f>IF(PROGRAMA_DETALLE!AB410="","",PROGRAMA_DETALLE!AB410)</f>
        <v/>
      </c>
      <c r="E1110" s="84" t="str">
        <f>IF(PROGRAMA_DETALLE!A410="","","Teñido "&amp;PROGRAMA_DETALLE!D410&amp;" "&amp;PROGRAMA_DETALLE!B410)</f>
        <v/>
      </c>
      <c r="F1110" s="95" t="str">
        <f>IF(PROGRAMA_DETALLE!Z410=0,"",PROGRAMA_DETALLE!Z410)</f>
        <v/>
      </c>
      <c r="G1110" s="95">
        <f>IF(PROGRAMA_DETALLE!AC410="PAGADO",PROGRAMA_DETALLE!Z410,0)</f>
        <v>0</v>
      </c>
      <c r="H1110" s="95">
        <f>IF(OR(PROGRAMA_DETALLE!AC410="PENDIENTE",PROGRAMA_DETALLE!AC410="PARCIAL"),PROGRAMA_DETALLE!Z410,0)</f>
        <v>0</v>
      </c>
      <c r="I1110" s="94" t="str">
        <f>IF(PROGRAMA_DETALLE!AC410="","",PROGRAMA_DETALLE!AC410)</f>
        <v/>
      </c>
    </row>
    <row r="1111" ht="15.75" customHeight="1">
      <c r="A1111" s="96" t="s">
        <v>236</v>
      </c>
      <c r="B1111" s="93" t="str">
        <f>IF(PROGRAMA_DETALLE!Q411="","",PROGRAMA_DETALLE!Q411)</f>
        <v/>
      </c>
      <c r="C1111" s="84" t="str">
        <f>IF(PROGRAMA_DETALLE!A411="","","Tintorería")</f>
        <v/>
      </c>
      <c r="D1111" s="94" t="str">
        <f>IF(PROGRAMA_DETALLE!AB411="","",PROGRAMA_DETALLE!AB411)</f>
        <v/>
      </c>
      <c r="E1111" s="84" t="str">
        <f>IF(PROGRAMA_DETALLE!A411="","","Teñido "&amp;PROGRAMA_DETALLE!D411&amp;" "&amp;PROGRAMA_DETALLE!B411)</f>
        <v/>
      </c>
      <c r="F1111" s="95" t="str">
        <f>IF(PROGRAMA_DETALLE!Z411=0,"",PROGRAMA_DETALLE!Z411)</f>
        <v/>
      </c>
      <c r="G1111" s="95">
        <f>IF(PROGRAMA_DETALLE!AC411="PAGADO",PROGRAMA_DETALLE!Z411,0)</f>
        <v>0</v>
      </c>
      <c r="H1111" s="95">
        <f>IF(OR(PROGRAMA_DETALLE!AC411="PENDIENTE",PROGRAMA_DETALLE!AC411="PARCIAL"),PROGRAMA_DETALLE!Z411,0)</f>
        <v>0</v>
      </c>
      <c r="I1111" s="94" t="str">
        <f>IF(PROGRAMA_DETALLE!AC411="","",PROGRAMA_DETALLE!AC411)</f>
        <v/>
      </c>
    </row>
    <row r="1112" ht="15.75" customHeight="1">
      <c r="A1112" s="96" t="s">
        <v>236</v>
      </c>
      <c r="B1112" s="93" t="str">
        <f>IF(PROGRAMA_DETALLE!Q412="","",PROGRAMA_DETALLE!Q412)</f>
        <v/>
      </c>
      <c r="C1112" s="84" t="str">
        <f>IF(PROGRAMA_DETALLE!A412="","","Tintorería")</f>
        <v/>
      </c>
      <c r="D1112" s="94" t="str">
        <f>IF(PROGRAMA_DETALLE!AB412="","",PROGRAMA_DETALLE!AB412)</f>
        <v/>
      </c>
      <c r="E1112" s="84" t="str">
        <f>IF(PROGRAMA_DETALLE!A412="","","Teñido "&amp;PROGRAMA_DETALLE!D412&amp;" "&amp;PROGRAMA_DETALLE!B412)</f>
        <v/>
      </c>
      <c r="F1112" s="95" t="str">
        <f>IF(PROGRAMA_DETALLE!Z412=0,"",PROGRAMA_DETALLE!Z412)</f>
        <v/>
      </c>
      <c r="G1112" s="95">
        <f>IF(PROGRAMA_DETALLE!AC412="PAGADO",PROGRAMA_DETALLE!Z412,0)</f>
        <v>0</v>
      </c>
      <c r="H1112" s="95">
        <f>IF(OR(PROGRAMA_DETALLE!AC412="PENDIENTE",PROGRAMA_DETALLE!AC412="PARCIAL"),PROGRAMA_DETALLE!Z412,0)</f>
        <v>0</v>
      </c>
      <c r="I1112" s="94" t="str">
        <f>IF(PROGRAMA_DETALLE!AC412="","",PROGRAMA_DETALLE!AC412)</f>
        <v/>
      </c>
    </row>
    <row r="1113" ht="15.75" customHeight="1">
      <c r="A1113" s="96" t="s">
        <v>236</v>
      </c>
      <c r="B1113" s="93" t="str">
        <f>IF(PROGRAMA_DETALLE!Q413="","",PROGRAMA_DETALLE!Q413)</f>
        <v/>
      </c>
      <c r="C1113" s="84" t="str">
        <f>IF(PROGRAMA_DETALLE!A413="","","Tintorería")</f>
        <v/>
      </c>
      <c r="D1113" s="94" t="str">
        <f>IF(PROGRAMA_DETALLE!AB413="","",PROGRAMA_DETALLE!AB413)</f>
        <v/>
      </c>
      <c r="E1113" s="84" t="str">
        <f>IF(PROGRAMA_DETALLE!A413="","","Teñido "&amp;PROGRAMA_DETALLE!D413&amp;" "&amp;PROGRAMA_DETALLE!B413)</f>
        <v/>
      </c>
      <c r="F1113" s="95" t="str">
        <f>IF(PROGRAMA_DETALLE!Z413=0,"",PROGRAMA_DETALLE!Z413)</f>
        <v/>
      </c>
      <c r="G1113" s="95">
        <f>IF(PROGRAMA_DETALLE!AC413="PAGADO",PROGRAMA_DETALLE!Z413,0)</f>
        <v>0</v>
      </c>
      <c r="H1113" s="95">
        <f>IF(OR(PROGRAMA_DETALLE!AC413="PENDIENTE",PROGRAMA_DETALLE!AC413="PARCIAL"),PROGRAMA_DETALLE!Z413,0)</f>
        <v>0</v>
      </c>
      <c r="I1113" s="94" t="str">
        <f>IF(PROGRAMA_DETALLE!AC413="","",PROGRAMA_DETALLE!AC413)</f>
        <v/>
      </c>
    </row>
    <row r="1114" ht="15.75" customHeight="1">
      <c r="A1114" s="96" t="s">
        <v>236</v>
      </c>
      <c r="B1114" s="93" t="str">
        <f>IF(PROGRAMA_DETALLE!Q414="","",PROGRAMA_DETALLE!Q414)</f>
        <v/>
      </c>
      <c r="C1114" s="84" t="str">
        <f>IF(PROGRAMA_DETALLE!A414="","","Tintorería")</f>
        <v/>
      </c>
      <c r="D1114" s="94" t="str">
        <f>IF(PROGRAMA_DETALLE!AB414="","",PROGRAMA_DETALLE!AB414)</f>
        <v/>
      </c>
      <c r="E1114" s="84" t="str">
        <f>IF(PROGRAMA_DETALLE!A414="","","Teñido "&amp;PROGRAMA_DETALLE!D414&amp;" "&amp;PROGRAMA_DETALLE!B414)</f>
        <v/>
      </c>
      <c r="F1114" s="95" t="str">
        <f>IF(PROGRAMA_DETALLE!Z414=0,"",PROGRAMA_DETALLE!Z414)</f>
        <v/>
      </c>
      <c r="G1114" s="95">
        <f>IF(PROGRAMA_DETALLE!AC414="PAGADO",PROGRAMA_DETALLE!Z414,0)</f>
        <v>0</v>
      </c>
      <c r="H1114" s="95">
        <f>IF(OR(PROGRAMA_DETALLE!AC414="PENDIENTE",PROGRAMA_DETALLE!AC414="PARCIAL"),PROGRAMA_DETALLE!Z414,0)</f>
        <v>0</v>
      </c>
      <c r="I1114" s="94" t="str">
        <f>IF(PROGRAMA_DETALLE!AC414="","",PROGRAMA_DETALLE!AC414)</f>
        <v/>
      </c>
    </row>
    <row r="1115" ht="15.75" customHeight="1">
      <c r="A1115" s="96" t="s">
        <v>236</v>
      </c>
      <c r="B1115" s="93" t="str">
        <f>IF(PROGRAMA_DETALLE!Q415="","",PROGRAMA_DETALLE!Q415)</f>
        <v/>
      </c>
      <c r="C1115" s="84" t="str">
        <f>IF(PROGRAMA_DETALLE!A415="","","Tintorería")</f>
        <v/>
      </c>
      <c r="D1115" s="94" t="str">
        <f>IF(PROGRAMA_DETALLE!AB415="","",PROGRAMA_DETALLE!AB415)</f>
        <v/>
      </c>
      <c r="E1115" s="84" t="str">
        <f>IF(PROGRAMA_DETALLE!A415="","","Teñido "&amp;PROGRAMA_DETALLE!D415&amp;" "&amp;PROGRAMA_DETALLE!B415)</f>
        <v/>
      </c>
      <c r="F1115" s="95" t="str">
        <f>IF(PROGRAMA_DETALLE!Z415=0,"",PROGRAMA_DETALLE!Z415)</f>
        <v/>
      </c>
      <c r="G1115" s="95">
        <f>IF(PROGRAMA_DETALLE!AC415="PAGADO",PROGRAMA_DETALLE!Z415,0)</f>
        <v>0</v>
      </c>
      <c r="H1115" s="95">
        <f>IF(OR(PROGRAMA_DETALLE!AC415="PENDIENTE",PROGRAMA_DETALLE!AC415="PARCIAL"),PROGRAMA_DETALLE!Z415,0)</f>
        <v>0</v>
      </c>
      <c r="I1115" s="94" t="str">
        <f>IF(PROGRAMA_DETALLE!AC415="","",PROGRAMA_DETALLE!AC415)</f>
        <v/>
      </c>
    </row>
    <row r="1116" ht="15.75" customHeight="1">
      <c r="A1116" s="96" t="s">
        <v>236</v>
      </c>
      <c r="B1116" s="93" t="str">
        <f>IF(PROGRAMA_DETALLE!Q416="","",PROGRAMA_DETALLE!Q416)</f>
        <v/>
      </c>
      <c r="C1116" s="84" t="str">
        <f>IF(PROGRAMA_DETALLE!A416="","","Tintorería")</f>
        <v/>
      </c>
      <c r="D1116" s="94" t="str">
        <f>IF(PROGRAMA_DETALLE!AB416="","",PROGRAMA_DETALLE!AB416)</f>
        <v/>
      </c>
      <c r="E1116" s="84" t="str">
        <f>IF(PROGRAMA_DETALLE!A416="","","Teñido "&amp;PROGRAMA_DETALLE!D416&amp;" "&amp;PROGRAMA_DETALLE!B416)</f>
        <v/>
      </c>
      <c r="F1116" s="95" t="str">
        <f>IF(PROGRAMA_DETALLE!Z416=0,"",PROGRAMA_DETALLE!Z416)</f>
        <v/>
      </c>
      <c r="G1116" s="95">
        <f>IF(PROGRAMA_DETALLE!AC416="PAGADO",PROGRAMA_DETALLE!Z416,0)</f>
        <v>0</v>
      </c>
      <c r="H1116" s="95">
        <f>IF(OR(PROGRAMA_DETALLE!AC416="PENDIENTE",PROGRAMA_DETALLE!AC416="PARCIAL"),PROGRAMA_DETALLE!Z416,0)</f>
        <v>0</v>
      </c>
      <c r="I1116" s="94" t="str">
        <f>IF(PROGRAMA_DETALLE!AC416="","",PROGRAMA_DETALLE!AC416)</f>
        <v/>
      </c>
    </row>
    <row r="1117" ht="15.75" customHeight="1">
      <c r="A1117" s="96" t="s">
        <v>236</v>
      </c>
      <c r="B1117" s="93" t="str">
        <f>IF(PROGRAMA_DETALLE!Q417="","",PROGRAMA_DETALLE!Q417)</f>
        <v/>
      </c>
      <c r="C1117" s="84" t="str">
        <f>IF(PROGRAMA_DETALLE!A417="","","Tintorería")</f>
        <v/>
      </c>
      <c r="D1117" s="94" t="str">
        <f>IF(PROGRAMA_DETALLE!AB417="","",PROGRAMA_DETALLE!AB417)</f>
        <v/>
      </c>
      <c r="E1117" s="84" t="str">
        <f>IF(PROGRAMA_DETALLE!A417="","","Teñido "&amp;PROGRAMA_DETALLE!D417&amp;" "&amp;PROGRAMA_DETALLE!B417)</f>
        <v/>
      </c>
      <c r="F1117" s="95" t="str">
        <f>IF(PROGRAMA_DETALLE!Z417=0,"",PROGRAMA_DETALLE!Z417)</f>
        <v/>
      </c>
      <c r="G1117" s="95">
        <f>IF(PROGRAMA_DETALLE!AC417="PAGADO",PROGRAMA_DETALLE!Z417,0)</f>
        <v>0</v>
      </c>
      <c r="H1117" s="95">
        <f>IF(OR(PROGRAMA_DETALLE!AC417="PENDIENTE",PROGRAMA_DETALLE!AC417="PARCIAL"),PROGRAMA_DETALLE!Z417,0)</f>
        <v>0</v>
      </c>
      <c r="I1117" s="94" t="str">
        <f>IF(PROGRAMA_DETALLE!AC417="","",PROGRAMA_DETALLE!AC417)</f>
        <v/>
      </c>
    </row>
    <row r="1118" ht="15.75" customHeight="1">
      <c r="A1118" s="96" t="s">
        <v>236</v>
      </c>
      <c r="B1118" s="93" t="str">
        <f>IF(PROGRAMA_DETALLE!Q418="","",PROGRAMA_DETALLE!Q418)</f>
        <v/>
      </c>
      <c r="C1118" s="84" t="str">
        <f>IF(PROGRAMA_DETALLE!A418="","","Tintorería")</f>
        <v/>
      </c>
      <c r="D1118" s="94" t="str">
        <f>IF(PROGRAMA_DETALLE!AB418="","",PROGRAMA_DETALLE!AB418)</f>
        <v/>
      </c>
      <c r="E1118" s="84" t="str">
        <f>IF(PROGRAMA_DETALLE!A418="","","Teñido "&amp;PROGRAMA_DETALLE!D418&amp;" "&amp;PROGRAMA_DETALLE!B418)</f>
        <v/>
      </c>
      <c r="F1118" s="95" t="str">
        <f>IF(PROGRAMA_DETALLE!Z418=0,"",PROGRAMA_DETALLE!Z418)</f>
        <v/>
      </c>
      <c r="G1118" s="95">
        <f>IF(PROGRAMA_DETALLE!AC418="PAGADO",PROGRAMA_DETALLE!Z418,0)</f>
        <v>0</v>
      </c>
      <c r="H1118" s="95">
        <f>IF(OR(PROGRAMA_DETALLE!AC418="PENDIENTE",PROGRAMA_DETALLE!AC418="PARCIAL"),PROGRAMA_DETALLE!Z418,0)</f>
        <v>0</v>
      </c>
      <c r="I1118" s="94" t="str">
        <f>IF(PROGRAMA_DETALLE!AC418="","",PROGRAMA_DETALLE!AC418)</f>
        <v/>
      </c>
    </row>
    <row r="1119" ht="15.75" customHeight="1">
      <c r="A1119" s="96" t="s">
        <v>236</v>
      </c>
      <c r="B1119" s="93" t="str">
        <f>IF(PROGRAMA_DETALLE!Q419="","",PROGRAMA_DETALLE!Q419)</f>
        <v/>
      </c>
      <c r="C1119" s="84" t="str">
        <f>IF(PROGRAMA_DETALLE!A419="","","Tintorería")</f>
        <v/>
      </c>
      <c r="D1119" s="94" t="str">
        <f>IF(PROGRAMA_DETALLE!AB419="","",PROGRAMA_DETALLE!AB419)</f>
        <v/>
      </c>
      <c r="E1119" s="84" t="str">
        <f>IF(PROGRAMA_DETALLE!A419="","","Teñido "&amp;PROGRAMA_DETALLE!D419&amp;" "&amp;PROGRAMA_DETALLE!B419)</f>
        <v/>
      </c>
      <c r="F1119" s="95" t="str">
        <f>IF(PROGRAMA_DETALLE!Z419=0,"",PROGRAMA_DETALLE!Z419)</f>
        <v/>
      </c>
      <c r="G1119" s="95">
        <f>IF(PROGRAMA_DETALLE!AC419="PAGADO",PROGRAMA_DETALLE!Z419,0)</f>
        <v>0</v>
      </c>
      <c r="H1119" s="95">
        <f>IF(OR(PROGRAMA_DETALLE!AC419="PENDIENTE",PROGRAMA_DETALLE!AC419="PARCIAL"),PROGRAMA_DETALLE!Z419,0)</f>
        <v>0</v>
      </c>
      <c r="I1119" s="94" t="str">
        <f>IF(PROGRAMA_DETALLE!AC419="","",PROGRAMA_DETALLE!AC419)</f>
        <v/>
      </c>
    </row>
    <row r="1120" ht="15.75" customHeight="1">
      <c r="A1120" s="96" t="s">
        <v>236</v>
      </c>
      <c r="B1120" s="93" t="str">
        <f>IF(PROGRAMA_DETALLE!Q420="","",PROGRAMA_DETALLE!Q420)</f>
        <v/>
      </c>
      <c r="C1120" s="84" t="str">
        <f>IF(PROGRAMA_DETALLE!A420="","","Tintorería")</f>
        <v/>
      </c>
      <c r="D1120" s="94" t="str">
        <f>IF(PROGRAMA_DETALLE!AB420="","",PROGRAMA_DETALLE!AB420)</f>
        <v/>
      </c>
      <c r="E1120" s="84" t="str">
        <f>IF(PROGRAMA_DETALLE!A420="","","Teñido "&amp;PROGRAMA_DETALLE!D420&amp;" "&amp;PROGRAMA_DETALLE!B420)</f>
        <v/>
      </c>
      <c r="F1120" s="95" t="str">
        <f>IF(PROGRAMA_DETALLE!Z420=0,"",PROGRAMA_DETALLE!Z420)</f>
        <v/>
      </c>
      <c r="G1120" s="95">
        <f>IF(PROGRAMA_DETALLE!AC420="PAGADO",PROGRAMA_DETALLE!Z420,0)</f>
        <v>0</v>
      </c>
      <c r="H1120" s="95">
        <f>IF(OR(PROGRAMA_DETALLE!AC420="PENDIENTE",PROGRAMA_DETALLE!AC420="PARCIAL"),PROGRAMA_DETALLE!Z420,0)</f>
        <v>0</v>
      </c>
      <c r="I1120" s="94" t="str">
        <f>IF(PROGRAMA_DETALLE!AC420="","",PROGRAMA_DETALLE!AC420)</f>
        <v/>
      </c>
    </row>
    <row r="1121" ht="15.75" customHeight="1">
      <c r="A1121" s="96" t="s">
        <v>236</v>
      </c>
      <c r="B1121" s="93" t="str">
        <f>IF(PROGRAMA_DETALLE!Q421="","",PROGRAMA_DETALLE!Q421)</f>
        <v/>
      </c>
      <c r="C1121" s="84" t="str">
        <f>IF(PROGRAMA_DETALLE!A421="","","Tintorería")</f>
        <v/>
      </c>
      <c r="D1121" s="94" t="str">
        <f>IF(PROGRAMA_DETALLE!AB421="","",PROGRAMA_DETALLE!AB421)</f>
        <v/>
      </c>
      <c r="E1121" s="84" t="str">
        <f>IF(PROGRAMA_DETALLE!A421="","","Teñido "&amp;PROGRAMA_DETALLE!D421&amp;" "&amp;PROGRAMA_DETALLE!B421)</f>
        <v/>
      </c>
      <c r="F1121" s="95" t="str">
        <f>IF(PROGRAMA_DETALLE!Z421=0,"",PROGRAMA_DETALLE!Z421)</f>
        <v/>
      </c>
      <c r="G1121" s="95">
        <f>IF(PROGRAMA_DETALLE!AC421="PAGADO",PROGRAMA_DETALLE!Z421,0)</f>
        <v>0</v>
      </c>
      <c r="H1121" s="95">
        <f>IF(OR(PROGRAMA_DETALLE!AC421="PENDIENTE",PROGRAMA_DETALLE!AC421="PARCIAL"),PROGRAMA_DETALLE!Z421,0)</f>
        <v>0</v>
      </c>
      <c r="I1121" s="94" t="str">
        <f>IF(PROGRAMA_DETALLE!AC421="","",PROGRAMA_DETALLE!AC421)</f>
        <v/>
      </c>
    </row>
    <row r="1122" ht="15.75" customHeight="1">
      <c r="A1122" s="96" t="s">
        <v>236</v>
      </c>
      <c r="B1122" s="93" t="str">
        <f>IF(PROGRAMA_DETALLE!Q422="","",PROGRAMA_DETALLE!Q422)</f>
        <v/>
      </c>
      <c r="C1122" s="84" t="str">
        <f>IF(PROGRAMA_DETALLE!A422="","","Tintorería")</f>
        <v/>
      </c>
      <c r="D1122" s="94" t="str">
        <f>IF(PROGRAMA_DETALLE!AB422="","",PROGRAMA_DETALLE!AB422)</f>
        <v/>
      </c>
      <c r="E1122" s="84" t="str">
        <f>IF(PROGRAMA_DETALLE!A422="","","Teñido "&amp;PROGRAMA_DETALLE!D422&amp;" "&amp;PROGRAMA_DETALLE!B422)</f>
        <v/>
      </c>
      <c r="F1122" s="95" t="str">
        <f>IF(PROGRAMA_DETALLE!Z422=0,"",PROGRAMA_DETALLE!Z422)</f>
        <v/>
      </c>
      <c r="G1122" s="95">
        <f>IF(PROGRAMA_DETALLE!AC422="PAGADO",PROGRAMA_DETALLE!Z422,0)</f>
        <v>0</v>
      </c>
      <c r="H1122" s="95">
        <f>IF(OR(PROGRAMA_DETALLE!AC422="PENDIENTE",PROGRAMA_DETALLE!AC422="PARCIAL"),PROGRAMA_DETALLE!Z422,0)</f>
        <v>0</v>
      </c>
      <c r="I1122" s="94" t="str">
        <f>IF(PROGRAMA_DETALLE!AC422="","",PROGRAMA_DETALLE!AC422)</f>
        <v/>
      </c>
    </row>
    <row r="1123" ht="15.75" customHeight="1">
      <c r="A1123" s="96" t="s">
        <v>236</v>
      </c>
      <c r="B1123" s="93" t="str">
        <f>IF(PROGRAMA_DETALLE!Q423="","",PROGRAMA_DETALLE!Q423)</f>
        <v/>
      </c>
      <c r="C1123" s="84" t="str">
        <f>IF(PROGRAMA_DETALLE!A423="","","Tintorería")</f>
        <v/>
      </c>
      <c r="D1123" s="94" t="str">
        <f>IF(PROGRAMA_DETALLE!AB423="","",PROGRAMA_DETALLE!AB423)</f>
        <v/>
      </c>
      <c r="E1123" s="84" t="str">
        <f>IF(PROGRAMA_DETALLE!A423="","","Teñido "&amp;PROGRAMA_DETALLE!D423&amp;" "&amp;PROGRAMA_DETALLE!B423)</f>
        <v/>
      </c>
      <c r="F1123" s="95" t="str">
        <f>IF(PROGRAMA_DETALLE!Z423=0,"",PROGRAMA_DETALLE!Z423)</f>
        <v/>
      </c>
      <c r="G1123" s="95">
        <f>IF(PROGRAMA_DETALLE!AC423="PAGADO",PROGRAMA_DETALLE!Z423,0)</f>
        <v>0</v>
      </c>
      <c r="H1123" s="95">
        <f>IF(OR(PROGRAMA_DETALLE!AC423="PENDIENTE",PROGRAMA_DETALLE!AC423="PARCIAL"),PROGRAMA_DETALLE!Z423,0)</f>
        <v>0</v>
      </c>
      <c r="I1123" s="94" t="str">
        <f>IF(PROGRAMA_DETALLE!AC423="","",PROGRAMA_DETALLE!AC423)</f>
        <v/>
      </c>
    </row>
    <row r="1124" ht="15.75" customHeight="1">
      <c r="A1124" s="96" t="s">
        <v>236</v>
      </c>
      <c r="B1124" s="93" t="str">
        <f>IF(PROGRAMA_DETALLE!Q424="","",PROGRAMA_DETALLE!Q424)</f>
        <v/>
      </c>
      <c r="C1124" s="84" t="str">
        <f>IF(PROGRAMA_DETALLE!A424="","","Tintorería")</f>
        <v/>
      </c>
      <c r="D1124" s="94" t="str">
        <f>IF(PROGRAMA_DETALLE!AB424="","",PROGRAMA_DETALLE!AB424)</f>
        <v/>
      </c>
      <c r="E1124" s="84" t="str">
        <f>IF(PROGRAMA_DETALLE!A424="","","Teñido "&amp;PROGRAMA_DETALLE!D424&amp;" "&amp;PROGRAMA_DETALLE!B424)</f>
        <v/>
      </c>
      <c r="F1124" s="95" t="str">
        <f>IF(PROGRAMA_DETALLE!Z424=0,"",PROGRAMA_DETALLE!Z424)</f>
        <v/>
      </c>
      <c r="G1124" s="95">
        <f>IF(PROGRAMA_DETALLE!AC424="PAGADO",PROGRAMA_DETALLE!Z424,0)</f>
        <v>0</v>
      </c>
      <c r="H1124" s="95">
        <f>IF(OR(PROGRAMA_DETALLE!AC424="PENDIENTE",PROGRAMA_DETALLE!AC424="PARCIAL"),PROGRAMA_DETALLE!Z424,0)</f>
        <v>0</v>
      </c>
      <c r="I1124" s="94" t="str">
        <f>IF(PROGRAMA_DETALLE!AC424="","",PROGRAMA_DETALLE!AC424)</f>
        <v/>
      </c>
    </row>
    <row r="1125" ht="15.75" customHeight="1">
      <c r="A1125" s="96" t="s">
        <v>236</v>
      </c>
      <c r="B1125" s="93" t="str">
        <f>IF(PROGRAMA_DETALLE!Q425="","",PROGRAMA_DETALLE!Q425)</f>
        <v/>
      </c>
      <c r="C1125" s="84" t="str">
        <f>IF(PROGRAMA_DETALLE!A425="","","Tintorería")</f>
        <v/>
      </c>
      <c r="D1125" s="94" t="str">
        <f>IF(PROGRAMA_DETALLE!AB425="","",PROGRAMA_DETALLE!AB425)</f>
        <v/>
      </c>
      <c r="E1125" s="84" t="str">
        <f>IF(PROGRAMA_DETALLE!A425="","","Teñido "&amp;PROGRAMA_DETALLE!D425&amp;" "&amp;PROGRAMA_DETALLE!B425)</f>
        <v/>
      </c>
      <c r="F1125" s="95" t="str">
        <f>IF(PROGRAMA_DETALLE!Z425=0,"",PROGRAMA_DETALLE!Z425)</f>
        <v/>
      </c>
      <c r="G1125" s="95">
        <f>IF(PROGRAMA_DETALLE!AC425="PAGADO",PROGRAMA_DETALLE!Z425,0)</f>
        <v>0</v>
      </c>
      <c r="H1125" s="95">
        <f>IF(OR(PROGRAMA_DETALLE!AC425="PENDIENTE",PROGRAMA_DETALLE!AC425="PARCIAL"),PROGRAMA_DETALLE!Z425,0)</f>
        <v>0</v>
      </c>
      <c r="I1125" s="94" t="str">
        <f>IF(PROGRAMA_DETALLE!AC425="","",PROGRAMA_DETALLE!AC425)</f>
        <v/>
      </c>
    </row>
    <row r="1126" ht="15.75" customHeight="1">
      <c r="A1126" s="96" t="s">
        <v>236</v>
      </c>
      <c r="B1126" s="93" t="str">
        <f>IF(PROGRAMA_DETALLE!Q426="","",PROGRAMA_DETALLE!Q426)</f>
        <v/>
      </c>
      <c r="C1126" s="84" t="str">
        <f>IF(PROGRAMA_DETALLE!A426="","","Tintorería")</f>
        <v/>
      </c>
      <c r="D1126" s="94" t="str">
        <f>IF(PROGRAMA_DETALLE!AB426="","",PROGRAMA_DETALLE!AB426)</f>
        <v/>
      </c>
      <c r="E1126" s="84" t="str">
        <f>IF(PROGRAMA_DETALLE!A426="","","Teñido "&amp;PROGRAMA_DETALLE!D426&amp;" "&amp;PROGRAMA_DETALLE!B426)</f>
        <v/>
      </c>
      <c r="F1126" s="95" t="str">
        <f>IF(PROGRAMA_DETALLE!Z426=0,"",PROGRAMA_DETALLE!Z426)</f>
        <v/>
      </c>
      <c r="G1126" s="95">
        <f>IF(PROGRAMA_DETALLE!AC426="PAGADO",PROGRAMA_DETALLE!Z426,0)</f>
        <v>0</v>
      </c>
      <c r="H1126" s="95">
        <f>IF(OR(PROGRAMA_DETALLE!AC426="PENDIENTE",PROGRAMA_DETALLE!AC426="PARCIAL"),PROGRAMA_DETALLE!Z426,0)</f>
        <v>0</v>
      </c>
      <c r="I1126" s="94" t="str">
        <f>IF(PROGRAMA_DETALLE!AC426="","",PROGRAMA_DETALLE!AC426)</f>
        <v/>
      </c>
    </row>
    <row r="1127" ht="15.75" customHeight="1">
      <c r="A1127" s="96" t="s">
        <v>236</v>
      </c>
      <c r="B1127" s="93" t="str">
        <f>IF(PROGRAMA_DETALLE!Q427="","",PROGRAMA_DETALLE!Q427)</f>
        <v/>
      </c>
      <c r="C1127" s="84" t="str">
        <f>IF(PROGRAMA_DETALLE!A427="","","Tintorería")</f>
        <v/>
      </c>
      <c r="D1127" s="94" t="str">
        <f>IF(PROGRAMA_DETALLE!AB427="","",PROGRAMA_DETALLE!AB427)</f>
        <v/>
      </c>
      <c r="E1127" s="84" t="str">
        <f>IF(PROGRAMA_DETALLE!A427="","","Teñido "&amp;PROGRAMA_DETALLE!D427&amp;" "&amp;PROGRAMA_DETALLE!B427)</f>
        <v/>
      </c>
      <c r="F1127" s="95" t="str">
        <f>IF(PROGRAMA_DETALLE!Z427=0,"",PROGRAMA_DETALLE!Z427)</f>
        <v/>
      </c>
      <c r="G1127" s="95">
        <f>IF(PROGRAMA_DETALLE!AC427="PAGADO",PROGRAMA_DETALLE!Z427,0)</f>
        <v>0</v>
      </c>
      <c r="H1127" s="95">
        <f>IF(OR(PROGRAMA_DETALLE!AC427="PENDIENTE",PROGRAMA_DETALLE!AC427="PARCIAL"),PROGRAMA_DETALLE!Z427,0)</f>
        <v>0</v>
      </c>
      <c r="I1127" s="94" t="str">
        <f>IF(PROGRAMA_DETALLE!AC427="","",PROGRAMA_DETALLE!AC427)</f>
        <v/>
      </c>
    </row>
    <row r="1128" ht="15.75" customHeight="1">
      <c r="A1128" s="96" t="s">
        <v>236</v>
      </c>
      <c r="B1128" s="93" t="str">
        <f>IF(PROGRAMA_DETALLE!Q428="","",PROGRAMA_DETALLE!Q428)</f>
        <v/>
      </c>
      <c r="C1128" s="84" t="str">
        <f>IF(PROGRAMA_DETALLE!A428="","","Tintorería")</f>
        <v/>
      </c>
      <c r="D1128" s="94" t="str">
        <f>IF(PROGRAMA_DETALLE!AB428="","",PROGRAMA_DETALLE!AB428)</f>
        <v/>
      </c>
      <c r="E1128" s="84" t="str">
        <f>IF(PROGRAMA_DETALLE!A428="","","Teñido "&amp;PROGRAMA_DETALLE!D428&amp;" "&amp;PROGRAMA_DETALLE!B428)</f>
        <v/>
      </c>
      <c r="F1128" s="95" t="str">
        <f>IF(PROGRAMA_DETALLE!Z428=0,"",PROGRAMA_DETALLE!Z428)</f>
        <v/>
      </c>
      <c r="G1128" s="95">
        <f>IF(PROGRAMA_DETALLE!AC428="PAGADO",PROGRAMA_DETALLE!Z428,0)</f>
        <v>0</v>
      </c>
      <c r="H1128" s="95">
        <f>IF(OR(PROGRAMA_DETALLE!AC428="PENDIENTE",PROGRAMA_DETALLE!AC428="PARCIAL"),PROGRAMA_DETALLE!Z428,0)</f>
        <v>0</v>
      </c>
      <c r="I1128" s="94" t="str">
        <f>IF(PROGRAMA_DETALLE!AC428="","",PROGRAMA_DETALLE!AC428)</f>
        <v/>
      </c>
    </row>
    <row r="1129" ht="15.75" customHeight="1">
      <c r="A1129" s="96" t="s">
        <v>236</v>
      </c>
      <c r="B1129" s="93" t="str">
        <f>IF(PROGRAMA_DETALLE!Q429="","",PROGRAMA_DETALLE!Q429)</f>
        <v/>
      </c>
      <c r="C1129" s="84" t="str">
        <f>IF(PROGRAMA_DETALLE!A429="","","Tintorería")</f>
        <v/>
      </c>
      <c r="D1129" s="94" t="str">
        <f>IF(PROGRAMA_DETALLE!AB429="","",PROGRAMA_DETALLE!AB429)</f>
        <v/>
      </c>
      <c r="E1129" s="84" t="str">
        <f>IF(PROGRAMA_DETALLE!A429="","","Teñido "&amp;PROGRAMA_DETALLE!D429&amp;" "&amp;PROGRAMA_DETALLE!B429)</f>
        <v/>
      </c>
      <c r="F1129" s="95" t="str">
        <f>IF(PROGRAMA_DETALLE!Z429=0,"",PROGRAMA_DETALLE!Z429)</f>
        <v/>
      </c>
      <c r="G1129" s="95">
        <f>IF(PROGRAMA_DETALLE!AC429="PAGADO",PROGRAMA_DETALLE!Z429,0)</f>
        <v>0</v>
      </c>
      <c r="H1129" s="95">
        <f>IF(OR(PROGRAMA_DETALLE!AC429="PENDIENTE",PROGRAMA_DETALLE!AC429="PARCIAL"),PROGRAMA_DETALLE!Z429,0)</f>
        <v>0</v>
      </c>
      <c r="I1129" s="94" t="str">
        <f>IF(PROGRAMA_DETALLE!AC429="","",PROGRAMA_DETALLE!AC429)</f>
        <v/>
      </c>
    </row>
    <row r="1130" ht="15.75" customHeight="1">
      <c r="A1130" s="96" t="s">
        <v>236</v>
      </c>
      <c r="B1130" s="93" t="str">
        <f>IF(PROGRAMA_DETALLE!Q430="","",PROGRAMA_DETALLE!Q430)</f>
        <v/>
      </c>
      <c r="C1130" s="84" t="str">
        <f>IF(PROGRAMA_DETALLE!A430="","","Tintorería")</f>
        <v/>
      </c>
      <c r="D1130" s="94" t="str">
        <f>IF(PROGRAMA_DETALLE!AB430="","",PROGRAMA_DETALLE!AB430)</f>
        <v/>
      </c>
      <c r="E1130" s="84" t="str">
        <f>IF(PROGRAMA_DETALLE!A430="","","Teñido "&amp;PROGRAMA_DETALLE!D430&amp;" "&amp;PROGRAMA_DETALLE!B430)</f>
        <v/>
      </c>
      <c r="F1130" s="95" t="str">
        <f>IF(PROGRAMA_DETALLE!Z430=0,"",PROGRAMA_DETALLE!Z430)</f>
        <v/>
      </c>
      <c r="G1130" s="95">
        <f>IF(PROGRAMA_DETALLE!AC430="PAGADO",PROGRAMA_DETALLE!Z430,0)</f>
        <v>0</v>
      </c>
      <c r="H1130" s="95">
        <f>IF(OR(PROGRAMA_DETALLE!AC430="PENDIENTE",PROGRAMA_DETALLE!AC430="PARCIAL"),PROGRAMA_DETALLE!Z430,0)</f>
        <v>0</v>
      </c>
      <c r="I1130" s="94" t="str">
        <f>IF(PROGRAMA_DETALLE!AC430="","",PROGRAMA_DETALLE!AC430)</f>
        <v/>
      </c>
    </row>
    <row r="1131" ht="15.75" customHeight="1">
      <c r="A1131" s="96" t="s">
        <v>236</v>
      </c>
      <c r="B1131" s="93" t="str">
        <f>IF(PROGRAMA_DETALLE!Q431="","",PROGRAMA_DETALLE!Q431)</f>
        <v/>
      </c>
      <c r="C1131" s="84" t="str">
        <f>IF(PROGRAMA_DETALLE!A431="","","Tintorería")</f>
        <v/>
      </c>
      <c r="D1131" s="94" t="str">
        <f>IF(PROGRAMA_DETALLE!AB431="","",PROGRAMA_DETALLE!AB431)</f>
        <v/>
      </c>
      <c r="E1131" s="84" t="str">
        <f>IF(PROGRAMA_DETALLE!A431="","","Teñido "&amp;PROGRAMA_DETALLE!D431&amp;" "&amp;PROGRAMA_DETALLE!B431)</f>
        <v/>
      </c>
      <c r="F1131" s="95" t="str">
        <f>IF(PROGRAMA_DETALLE!Z431=0,"",PROGRAMA_DETALLE!Z431)</f>
        <v/>
      </c>
      <c r="G1131" s="95">
        <f>IF(PROGRAMA_DETALLE!AC431="PAGADO",PROGRAMA_DETALLE!Z431,0)</f>
        <v>0</v>
      </c>
      <c r="H1131" s="95">
        <f>IF(OR(PROGRAMA_DETALLE!AC431="PENDIENTE",PROGRAMA_DETALLE!AC431="PARCIAL"),PROGRAMA_DETALLE!Z431,0)</f>
        <v>0</v>
      </c>
      <c r="I1131" s="94" t="str">
        <f>IF(PROGRAMA_DETALLE!AC431="","",PROGRAMA_DETALLE!AC431)</f>
        <v/>
      </c>
    </row>
    <row r="1132" ht="15.75" customHeight="1">
      <c r="A1132" s="96" t="s">
        <v>236</v>
      </c>
      <c r="B1132" s="93" t="str">
        <f>IF(PROGRAMA_DETALLE!Q432="","",PROGRAMA_DETALLE!Q432)</f>
        <v/>
      </c>
      <c r="C1132" s="84" t="str">
        <f>IF(PROGRAMA_DETALLE!A432="","","Tintorería")</f>
        <v/>
      </c>
      <c r="D1132" s="94" t="str">
        <f>IF(PROGRAMA_DETALLE!AB432="","",PROGRAMA_DETALLE!AB432)</f>
        <v/>
      </c>
      <c r="E1132" s="84" t="str">
        <f>IF(PROGRAMA_DETALLE!A432="","","Teñido "&amp;PROGRAMA_DETALLE!D432&amp;" "&amp;PROGRAMA_DETALLE!B432)</f>
        <v/>
      </c>
      <c r="F1132" s="95" t="str">
        <f>IF(PROGRAMA_DETALLE!Z432=0,"",PROGRAMA_DETALLE!Z432)</f>
        <v/>
      </c>
      <c r="G1132" s="95">
        <f>IF(PROGRAMA_DETALLE!AC432="PAGADO",PROGRAMA_DETALLE!Z432,0)</f>
        <v>0</v>
      </c>
      <c r="H1132" s="95">
        <f>IF(OR(PROGRAMA_DETALLE!AC432="PENDIENTE",PROGRAMA_DETALLE!AC432="PARCIAL"),PROGRAMA_DETALLE!Z432,0)</f>
        <v>0</v>
      </c>
      <c r="I1132" s="94" t="str">
        <f>IF(PROGRAMA_DETALLE!AC432="","",PROGRAMA_DETALLE!AC432)</f>
        <v/>
      </c>
    </row>
    <row r="1133" ht="15.75" customHeight="1">
      <c r="A1133" s="96" t="s">
        <v>236</v>
      </c>
      <c r="B1133" s="93" t="str">
        <f>IF(PROGRAMA_DETALLE!Q433="","",PROGRAMA_DETALLE!Q433)</f>
        <v/>
      </c>
      <c r="C1133" s="84" t="str">
        <f>IF(PROGRAMA_DETALLE!A433="","","Tintorería")</f>
        <v/>
      </c>
      <c r="D1133" s="94" t="str">
        <f>IF(PROGRAMA_DETALLE!AB433="","",PROGRAMA_DETALLE!AB433)</f>
        <v/>
      </c>
      <c r="E1133" s="84" t="str">
        <f>IF(PROGRAMA_DETALLE!A433="","","Teñido "&amp;PROGRAMA_DETALLE!D433&amp;" "&amp;PROGRAMA_DETALLE!B433)</f>
        <v/>
      </c>
      <c r="F1133" s="95" t="str">
        <f>IF(PROGRAMA_DETALLE!Z433=0,"",PROGRAMA_DETALLE!Z433)</f>
        <v/>
      </c>
      <c r="G1133" s="95">
        <f>IF(PROGRAMA_DETALLE!AC433="PAGADO",PROGRAMA_DETALLE!Z433,0)</f>
        <v>0</v>
      </c>
      <c r="H1133" s="95">
        <f>IF(OR(PROGRAMA_DETALLE!AC433="PENDIENTE",PROGRAMA_DETALLE!AC433="PARCIAL"),PROGRAMA_DETALLE!Z433,0)</f>
        <v>0</v>
      </c>
      <c r="I1133" s="94" t="str">
        <f>IF(PROGRAMA_DETALLE!AC433="","",PROGRAMA_DETALLE!AC433)</f>
        <v/>
      </c>
    </row>
    <row r="1134" ht="15.75" customHeight="1">
      <c r="A1134" s="96" t="s">
        <v>236</v>
      </c>
      <c r="B1134" s="93" t="str">
        <f>IF(PROGRAMA_DETALLE!Q434="","",PROGRAMA_DETALLE!Q434)</f>
        <v/>
      </c>
      <c r="C1134" s="84" t="str">
        <f>IF(PROGRAMA_DETALLE!A434="","","Tintorería")</f>
        <v/>
      </c>
      <c r="D1134" s="94" t="str">
        <f>IF(PROGRAMA_DETALLE!AB434="","",PROGRAMA_DETALLE!AB434)</f>
        <v/>
      </c>
      <c r="E1134" s="84" t="str">
        <f>IF(PROGRAMA_DETALLE!A434="","","Teñido "&amp;PROGRAMA_DETALLE!D434&amp;" "&amp;PROGRAMA_DETALLE!B434)</f>
        <v/>
      </c>
      <c r="F1134" s="95" t="str">
        <f>IF(PROGRAMA_DETALLE!Z434=0,"",PROGRAMA_DETALLE!Z434)</f>
        <v/>
      </c>
      <c r="G1134" s="95">
        <f>IF(PROGRAMA_DETALLE!AC434="PAGADO",PROGRAMA_DETALLE!Z434,0)</f>
        <v>0</v>
      </c>
      <c r="H1134" s="95">
        <f>IF(OR(PROGRAMA_DETALLE!AC434="PENDIENTE",PROGRAMA_DETALLE!AC434="PARCIAL"),PROGRAMA_DETALLE!Z434,0)</f>
        <v>0</v>
      </c>
      <c r="I1134" s="94" t="str">
        <f>IF(PROGRAMA_DETALLE!AC434="","",PROGRAMA_DETALLE!AC434)</f>
        <v/>
      </c>
    </row>
    <row r="1135" ht="15.75" customHeight="1">
      <c r="A1135" s="96" t="s">
        <v>236</v>
      </c>
      <c r="B1135" s="93" t="str">
        <f>IF(PROGRAMA_DETALLE!Q435="","",PROGRAMA_DETALLE!Q435)</f>
        <v/>
      </c>
      <c r="C1135" s="84" t="str">
        <f>IF(PROGRAMA_DETALLE!A435="","","Tintorería")</f>
        <v/>
      </c>
      <c r="D1135" s="94" t="str">
        <f>IF(PROGRAMA_DETALLE!AB435="","",PROGRAMA_DETALLE!AB435)</f>
        <v/>
      </c>
      <c r="E1135" s="84" t="str">
        <f>IF(PROGRAMA_DETALLE!A435="","","Teñido "&amp;PROGRAMA_DETALLE!D435&amp;" "&amp;PROGRAMA_DETALLE!B435)</f>
        <v/>
      </c>
      <c r="F1135" s="95" t="str">
        <f>IF(PROGRAMA_DETALLE!Z435=0,"",PROGRAMA_DETALLE!Z435)</f>
        <v/>
      </c>
      <c r="G1135" s="95">
        <f>IF(PROGRAMA_DETALLE!AC435="PAGADO",PROGRAMA_DETALLE!Z435,0)</f>
        <v>0</v>
      </c>
      <c r="H1135" s="95">
        <f>IF(OR(PROGRAMA_DETALLE!AC435="PENDIENTE",PROGRAMA_DETALLE!AC435="PARCIAL"),PROGRAMA_DETALLE!Z435,0)</f>
        <v>0</v>
      </c>
      <c r="I1135" s="94" t="str">
        <f>IF(PROGRAMA_DETALLE!AC435="","",PROGRAMA_DETALLE!AC435)</f>
        <v/>
      </c>
    </row>
    <row r="1136" ht="15.75" customHeight="1">
      <c r="A1136" s="96" t="s">
        <v>236</v>
      </c>
      <c r="B1136" s="93" t="str">
        <f>IF(PROGRAMA_DETALLE!Q436="","",PROGRAMA_DETALLE!Q436)</f>
        <v/>
      </c>
      <c r="C1136" s="84" t="str">
        <f>IF(PROGRAMA_DETALLE!A436="","","Tintorería")</f>
        <v/>
      </c>
      <c r="D1136" s="94" t="str">
        <f>IF(PROGRAMA_DETALLE!AB436="","",PROGRAMA_DETALLE!AB436)</f>
        <v/>
      </c>
      <c r="E1136" s="84" t="str">
        <f>IF(PROGRAMA_DETALLE!A436="","","Teñido "&amp;PROGRAMA_DETALLE!D436&amp;" "&amp;PROGRAMA_DETALLE!B436)</f>
        <v/>
      </c>
      <c r="F1136" s="95" t="str">
        <f>IF(PROGRAMA_DETALLE!Z436=0,"",PROGRAMA_DETALLE!Z436)</f>
        <v/>
      </c>
      <c r="G1136" s="95">
        <f>IF(PROGRAMA_DETALLE!AC436="PAGADO",PROGRAMA_DETALLE!Z436,0)</f>
        <v>0</v>
      </c>
      <c r="H1136" s="95">
        <f>IF(OR(PROGRAMA_DETALLE!AC436="PENDIENTE",PROGRAMA_DETALLE!AC436="PARCIAL"),PROGRAMA_DETALLE!Z436,0)</f>
        <v>0</v>
      </c>
      <c r="I1136" s="94" t="str">
        <f>IF(PROGRAMA_DETALLE!AC436="","",PROGRAMA_DETALLE!AC436)</f>
        <v/>
      </c>
    </row>
    <row r="1137" ht="15.75" customHeight="1">
      <c r="A1137" s="96" t="s">
        <v>236</v>
      </c>
      <c r="B1137" s="93" t="str">
        <f>IF(PROGRAMA_DETALLE!Q437="","",PROGRAMA_DETALLE!Q437)</f>
        <v/>
      </c>
      <c r="C1137" s="84" t="str">
        <f>IF(PROGRAMA_DETALLE!A437="","","Tintorería")</f>
        <v/>
      </c>
      <c r="D1137" s="94" t="str">
        <f>IF(PROGRAMA_DETALLE!AB437="","",PROGRAMA_DETALLE!AB437)</f>
        <v/>
      </c>
      <c r="E1137" s="84" t="str">
        <f>IF(PROGRAMA_DETALLE!A437="","","Teñido "&amp;PROGRAMA_DETALLE!D437&amp;" "&amp;PROGRAMA_DETALLE!B437)</f>
        <v/>
      </c>
      <c r="F1137" s="95" t="str">
        <f>IF(PROGRAMA_DETALLE!Z437=0,"",PROGRAMA_DETALLE!Z437)</f>
        <v/>
      </c>
      <c r="G1137" s="95">
        <f>IF(PROGRAMA_DETALLE!AC437="PAGADO",PROGRAMA_DETALLE!Z437,0)</f>
        <v>0</v>
      </c>
      <c r="H1137" s="95">
        <f>IF(OR(PROGRAMA_DETALLE!AC437="PENDIENTE",PROGRAMA_DETALLE!AC437="PARCIAL"),PROGRAMA_DETALLE!Z437,0)</f>
        <v>0</v>
      </c>
      <c r="I1137" s="94" t="str">
        <f>IF(PROGRAMA_DETALLE!AC437="","",PROGRAMA_DETALLE!AC437)</f>
        <v/>
      </c>
    </row>
    <row r="1138" ht="15.75" customHeight="1">
      <c r="A1138" s="96" t="s">
        <v>236</v>
      </c>
      <c r="B1138" s="93" t="str">
        <f>IF(PROGRAMA_DETALLE!Q438="","",PROGRAMA_DETALLE!Q438)</f>
        <v/>
      </c>
      <c r="C1138" s="84" t="str">
        <f>IF(PROGRAMA_DETALLE!A438="","","Tintorería")</f>
        <v/>
      </c>
      <c r="D1138" s="94" t="str">
        <f>IF(PROGRAMA_DETALLE!AB438="","",PROGRAMA_DETALLE!AB438)</f>
        <v/>
      </c>
      <c r="E1138" s="84" t="str">
        <f>IF(PROGRAMA_DETALLE!A438="","","Teñido "&amp;PROGRAMA_DETALLE!D438&amp;" "&amp;PROGRAMA_DETALLE!B438)</f>
        <v/>
      </c>
      <c r="F1138" s="95" t="str">
        <f>IF(PROGRAMA_DETALLE!Z438=0,"",PROGRAMA_DETALLE!Z438)</f>
        <v/>
      </c>
      <c r="G1138" s="95">
        <f>IF(PROGRAMA_DETALLE!AC438="PAGADO",PROGRAMA_DETALLE!Z438,0)</f>
        <v>0</v>
      </c>
      <c r="H1138" s="95">
        <f>IF(OR(PROGRAMA_DETALLE!AC438="PENDIENTE",PROGRAMA_DETALLE!AC438="PARCIAL"),PROGRAMA_DETALLE!Z438,0)</f>
        <v>0</v>
      </c>
      <c r="I1138" s="94" t="str">
        <f>IF(PROGRAMA_DETALLE!AC438="","",PROGRAMA_DETALLE!AC438)</f>
        <v/>
      </c>
    </row>
    <row r="1139" ht="15.75" customHeight="1">
      <c r="A1139" s="96" t="s">
        <v>236</v>
      </c>
      <c r="B1139" s="93" t="str">
        <f>IF(PROGRAMA_DETALLE!Q439="","",PROGRAMA_DETALLE!Q439)</f>
        <v/>
      </c>
      <c r="C1139" s="84" t="str">
        <f>IF(PROGRAMA_DETALLE!A439="","","Tintorería")</f>
        <v/>
      </c>
      <c r="D1139" s="94" t="str">
        <f>IF(PROGRAMA_DETALLE!AB439="","",PROGRAMA_DETALLE!AB439)</f>
        <v/>
      </c>
      <c r="E1139" s="84" t="str">
        <f>IF(PROGRAMA_DETALLE!A439="","","Teñido "&amp;PROGRAMA_DETALLE!D439&amp;" "&amp;PROGRAMA_DETALLE!B439)</f>
        <v/>
      </c>
      <c r="F1139" s="95" t="str">
        <f>IF(PROGRAMA_DETALLE!Z439=0,"",PROGRAMA_DETALLE!Z439)</f>
        <v/>
      </c>
      <c r="G1139" s="95">
        <f>IF(PROGRAMA_DETALLE!AC439="PAGADO",PROGRAMA_DETALLE!Z439,0)</f>
        <v>0</v>
      </c>
      <c r="H1139" s="95">
        <f>IF(OR(PROGRAMA_DETALLE!AC439="PENDIENTE",PROGRAMA_DETALLE!AC439="PARCIAL"),PROGRAMA_DETALLE!Z439,0)</f>
        <v>0</v>
      </c>
      <c r="I1139" s="94" t="str">
        <f>IF(PROGRAMA_DETALLE!AC439="","",PROGRAMA_DETALLE!AC439)</f>
        <v/>
      </c>
    </row>
    <row r="1140" ht="15.75" customHeight="1">
      <c r="A1140" s="96" t="s">
        <v>236</v>
      </c>
      <c r="B1140" s="93" t="str">
        <f>IF(PROGRAMA_DETALLE!Q440="","",PROGRAMA_DETALLE!Q440)</f>
        <v/>
      </c>
      <c r="C1140" s="84" t="str">
        <f>IF(PROGRAMA_DETALLE!A440="","","Tintorería")</f>
        <v/>
      </c>
      <c r="D1140" s="94" t="str">
        <f>IF(PROGRAMA_DETALLE!AB440="","",PROGRAMA_DETALLE!AB440)</f>
        <v/>
      </c>
      <c r="E1140" s="84" t="str">
        <f>IF(PROGRAMA_DETALLE!A440="","","Teñido "&amp;PROGRAMA_DETALLE!D440&amp;" "&amp;PROGRAMA_DETALLE!B440)</f>
        <v/>
      </c>
      <c r="F1140" s="95" t="str">
        <f>IF(PROGRAMA_DETALLE!Z440=0,"",PROGRAMA_DETALLE!Z440)</f>
        <v/>
      </c>
      <c r="G1140" s="95">
        <f>IF(PROGRAMA_DETALLE!AC440="PAGADO",PROGRAMA_DETALLE!Z440,0)</f>
        <v>0</v>
      </c>
      <c r="H1140" s="95">
        <f>IF(OR(PROGRAMA_DETALLE!AC440="PENDIENTE",PROGRAMA_DETALLE!AC440="PARCIAL"),PROGRAMA_DETALLE!Z440,0)</f>
        <v>0</v>
      </c>
      <c r="I1140" s="94" t="str">
        <f>IF(PROGRAMA_DETALLE!AC440="","",PROGRAMA_DETALLE!AC440)</f>
        <v/>
      </c>
    </row>
    <row r="1141" ht="15.75" customHeight="1">
      <c r="A1141" s="96" t="s">
        <v>236</v>
      </c>
      <c r="B1141" s="93" t="str">
        <f>IF(PROGRAMA_DETALLE!Q441="","",PROGRAMA_DETALLE!Q441)</f>
        <v/>
      </c>
      <c r="C1141" s="84" t="str">
        <f>IF(PROGRAMA_DETALLE!A441="","","Tintorería")</f>
        <v/>
      </c>
      <c r="D1141" s="94" t="str">
        <f>IF(PROGRAMA_DETALLE!AB441="","",PROGRAMA_DETALLE!AB441)</f>
        <v/>
      </c>
      <c r="E1141" s="84" t="str">
        <f>IF(PROGRAMA_DETALLE!A441="","","Teñido "&amp;PROGRAMA_DETALLE!D441&amp;" "&amp;PROGRAMA_DETALLE!B441)</f>
        <v/>
      </c>
      <c r="F1141" s="95" t="str">
        <f>IF(PROGRAMA_DETALLE!Z441=0,"",PROGRAMA_DETALLE!Z441)</f>
        <v/>
      </c>
      <c r="G1141" s="95">
        <f>IF(PROGRAMA_DETALLE!AC441="PAGADO",PROGRAMA_DETALLE!Z441,0)</f>
        <v>0</v>
      </c>
      <c r="H1141" s="95">
        <f>IF(OR(PROGRAMA_DETALLE!AC441="PENDIENTE",PROGRAMA_DETALLE!AC441="PARCIAL"),PROGRAMA_DETALLE!Z441,0)</f>
        <v>0</v>
      </c>
      <c r="I1141" s="94" t="str">
        <f>IF(PROGRAMA_DETALLE!AC441="","",PROGRAMA_DETALLE!AC441)</f>
        <v/>
      </c>
    </row>
    <row r="1142" ht="15.75" customHeight="1">
      <c r="A1142" s="96" t="s">
        <v>236</v>
      </c>
      <c r="B1142" s="93" t="str">
        <f>IF(PROGRAMA_DETALLE!Q442="","",PROGRAMA_DETALLE!Q442)</f>
        <v/>
      </c>
      <c r="C1142" s="84" t="str">
        <f>IF(PROGRAMA_DETALLE!A442="","","Tintorería")</f>
        <v/>
      </c>
      <c r="D1142" s="94" t="str">
        <f>IF(PROGRAMA_DETALLE!AB442="","",PROGRAMA_DETALLE!AB442)</f>
        <v/>
      </c>
      <c r="E1142" s="84" t="str">
        <f>IF(PROGRAMA_DETALLE!A442="","","Teñido "&amp;PROGRAMA_DETALLE!D442&amp;" "&amp;PROGRAMA_DETALLE!B442)</f>
        <v/>
      </c>
      <c r="F1142" s="95" t="str">
        <f>IF(PROGRAMA_DETALLE!Z442=0,"",PROGRAMA_DETALLE!Z442)</f>
        <v/>
      </c>
      <c r="G1142" s="95">
        <f>IF(PROGRAMA_DETALLE!AC442="PAGADO",PROGRAMA_DETALLE!Z442,0)</f>
        <v>0</v>
      </c>
      <c r="H1142" s="95">
        <f>IF(OR(PROGRAMA_DETALLE!AC442="PENDIENTE",PROGRAMA_DETALLE!AC442="PARCIAL"),PROGRAMA_DETALLE!Z442,0)</f>
        <v>0</v>
      </c>
      <c r="I1142" s="94" t="str">
        <f>IF(PROGRAMA_DETALLE!AC442="","",PROGRAMA_DETALLE!AC442)</f>
        <v/>
      </c>
    </row>
    <row r="1143" ht="15.75" customHeight="1">
      <c r="A1143" s="96" t="s">
        <v>236</v>
      </c>
      <c r="B1143" s="93" t="str">
        <f>IF(PROGRAMA_DETALLE!Q443="","",PROGRAMA_DETALLE!Q443)</f>
        <v/>
      </c>
      <c r="C1143" s="84" t="str">
        <f>IF(PROGRAMA_DETALLE!A443="","","Tintorería")</f>
        <v/>
      </c>
      <c r="D1143" s="94" t="str">
        <f>IF(PROGRAMA_DETALLE!AB443="","",PROGRAMA_DETALLE!AB443)</f>
        <v/>
      </c>
      <c r="E1143" s="84" t="str">
        <f>IF(PROGRAMA_DETALLE!A443="","","Teñido "&amp;PROGRAMA_DETALLE!D443&amp;" "&amp;PROGRAMA_DETALLE!B443)</f>
        <v/>
      </c>
      <c r="F1143" s="95" t="str">
        <f>IF(PROGRAMA_DETALLE!Z443=0,"",PROGRAMA_DETALLE!Z443)</f>
        <v/>
      </c>
      <c r="G1143" s="95">
        <f>IF(PROGRAMA_DETALLE!AC443="PAGADO",PROGRAMA_DETALLE!Z443,0)</f>
        <v>0</v>
      </c>
      <c r="H1143" s="95">
        <f>IF(OR(PROGRAMA_DETALLE!AC443="PENDIENTE",PROGRAMA_DETALLE!AC443="PARCIAL"),PROGRAMA_DETALLE!Z443,0)</f>
        <v>0</v>
      </c>
      <c r="I1143" s="94" t="str">
        <f>IF(PROGRAMA_DETALLE!AC443="","",PROGRAMA_DETALLE!AC443)</f>
        <v/>
      </c>
    </row>
    <row r="1144" ht="15.75" customHeight="1">
      <c r="A1144" s="96" t="s">
        <v>236</v>
      </c>
      <c r="B1144" s="93" t="str">
        <f>IF(PROGRAMA_DETALLE!Q444="","",PROGRAMA_DETALLE!Q444)</f>
        <v/>
      </c>
      <c r="C1144" s="84" t="str">
        <f>IF(PROGRAMA_DETALLE!A444="","","Tintorería")</f>
        <v/>
      </c>
      <c r="D1144" s="94" t="str">
        <f>IF(PROGRAMA_DETALLE!AB444="","",PROGRAMA_DETALLE!AB444)</f>
        <v/>
      </c>
      <c r="E1144" s="84" t="str">
        <f>IF(PROGRAMA_DETALLE!A444="","","Teñido "&amp;PROGRAMA_DETALLE!D444&amp;" "&amp;PROGRAMA_DETALLE!B444)</f>
        <v/>
      </c>
      <c r="F1144" s="95" t="str">
        <f>IF(PROGRAMA_DETALLE!Z444=0,"",PROGRAMA_DETALLE!Z444)</f>
        <v/>
      </c>
      <c r="G1144" s="95">
        <f>IF(PROGRAMA_DETALLE!AC444="PAGADO",PROGRAMA_DETALLE!Z444,0)</f>
        <v>0</v>
      </c>
      <c r="H1144" s="95">
        <f>IF(OR(PROGRAMA_DETALLE!AC444="PENDIENTE",PROGRAMA_DETALLE!AC444="PARCIAL"),PROGRAMA_DETALLE!Z444,0)</f>
        <v>0</v>
      </c>
      <c r="I1144" s="94" t="str">
        <f>IF(PROGRAMA_DETALLE!AC444="","",PROGRAMA_DETALLE!AC444)</f>
        <v/>
      </c>
    </row>
    <row r="1145" ht="15.75" customHeight="1">
      <c r="A1145" s="96" t="s">
        <v>236</v>
      </c>
      <c r="B1145" s="93" t="str">
        <f>IF(PROGRAMA_DETALLE!Q445="","",PROGRAMA_DETALLE!Q445)</f>
        <v/>
      </c>
      <c r="C1145" s="84" t="str">
        <f>IF(PROGRAMA_DETALLE!A445="","","Tintorería")</f>
        <v/>
      </c>
      <c r="D1145" s="94" t="str">
        <f>IF(PROGRAMA_DETALLE!AB445="","",PROGRAMA_DETALLE!AB445)</f>
        <v/>
      </c>
      <c r="E1145" s="84" t="str">
        <f>IF(PROGRAMA_DETALLE!A445="","","Teñido "&amp;PROGRAMA_DETALLE!D445&amp;" "&amp;PROGRAMA_DETALLE!B445)</f>
        <v/>
      </c>
      <c r="F1145" s="95" t="str">
        <f>IF(PROGRAMA_DETALLE!Z445=0,"",PROGRAMA_DETALLE!Z445)</f>
        <v/>
      </c>
      <c r="G1145" s="95">
        <f>IF(PROGRAMA_DETALLE!AC445="PAGADO",PROGRAMA_DETALLE!Z445,0)</f>
        <v>0</v>
      </c>
      <c r="H1145" s="95">
        <f>IF(OR(PROGRAMA_DETALLE!AC445="PENDIENTE",PROGRAMA_DETALLE!AC445="PARCIAL"),PROGRAMA_DETALLE!Z445,0)</f>
        <v>0</v>
      </c>
      <c r="I1145" s="94" t="str">
        <f>IF(PROGRAMA_DETALLE!AC445="","",PROGRAMA_DETALLE!AC445)</f>
        <v/>
      </c>
    </row>
    <row r="1146" ht="15.75" customHeight="1">
      <c r="A1146" s="96" t="s">
        <v>236</v>
      </c>
      <c r="B1146" s="93" t="str">
        <f>IF(PROGRAMA_DETALLE!Q446="","",PROGRAMA_DETALLE!Q446)</f>
        <v/>
      </c>
      <c r="C1146" s="84" t="str">
        <f>IF(PROGRAMA_DETALLE!A446="","","Tintorería")</f>
        <v/>
      </c>
      <c r="D1146" s="94" t="str">
        <f>IF(PROGRAMA_DETALLE!AB446="","",PROGRAMA_DETALLE!AB446)</f>
        <v/>
      </c>
      <c r="E1146" s="84" t="str">
        <f>IF(PROGRAMA_DETALLE!A446="","","Teñido "&amp;PROGRAMA_DETALLE!D446&amp;" "&amp;PROGRAMA_DETALLE!B446)</f>
        <v/>
      </c>
      <c r="F1146" s="95" t="str">
        <f>IF(PROGRAMA_DETALLE!Z446=0,"",PROGRAMA_DETALLE!Z446)</f>
        <v/>
      </c>
      <c r="G1146" s="95">
        <f>IF(PROGRAMA_DETALLE!AC446="PAGADO",PROGRAMA_DETALLE!Z446,0)</f>
        <v>0</v>
      </c>
      <c r="H1146" s="95">
        <f>IF(OR(PROGRAMA_DETALLE!AC446="PENDIENTE",PROGRAMA_DETALLE!AC446="PARCIAL"),PROGRAMA_DETALLE!Z446,0)</f>
        <v>0</v>
      </c>
      <c r="I1146" s="94" t="str">
        <f>IF(PROGRAMA_DETALLE!AC446="","",PROGRAMA_DETALLE!AC446)</f>
        <v/>
      </c>
    </row>
    <row r="1147" ht="15.75" customHeight="1">
      <c r="A1147" s="96" t="s">
        <v>236</v>
      </c>
      <c r="B1147" s="93" t="str">
        <f>IF(PROGRAMA_DETALLE!Q447="","",PROGRAMA_DETALLE!Q447)</f>
        <v/>
      </c>
      <c r="C1147" s="84" t="str">
        <f>IF(PROGRAMA_DETALLE!A447="","","Tintorería")</f>
        <v/>
      </c>
      <c r="D1147" s="94" t="str">
        <f>IF(PROGRAMA_DETALLE!AB447="","",PROGRAMA_DETALLE!AB447)</f>
        <v/>
      </c>
      <c r="E1147" s="84" t="str">
        <f>IF(PROGRAMA_DETALLE!A447="","","Teñido "&amp;PROGRAMA_DETALLE!D447&amp;" "&amp;PROGRAMA_DETALLE!B447)</f>
        <v/>
      </c>
      <c r="F1147" s="95" t="str">
        <f>IF(PROGRAMA_DETALLE!Z447=0,"",PROGRAMA_DETALLE!Z447)</f>
        <v/>
      </c>
      <c r="G1147" s="95">
        <f>IF(PROGRAMA_DETALLE!AC447="PAGADO",PROGRAMA_DETALLE!Z447,0)</f>
        <v>0</v>
      </c>
      <c r="H1147" s="95">
        <f>IF(OR(PROGRAMA_DETALLE!AC447="PENDIENTE",PROGRAMA_DETALLE!AC447="PARCIAL"),PROGRAMA_DETALLE!Z447,0)</f>
        <v>0</v>
      </c>
      <c r="I1147" s="94" t="str">
        <f>IF(PROGRAMA_DETALLE!AC447="","",PROGRAMA_DETALLE!AC447)</f>
        <v/>
      </c>
    </row>
    <row r="1148" ht="15.75" customHeight="1">
      <c r="A1148" s="96" t="s">
        <v>236</v>
      </c>
      <c r="B1148" s="93" t="str">
        <f>IF(PROGRAMA_DETALLE!Q448="","",PROGRAMA_DETALLE!Q448)</f>
        <v/>
      </c>
      <c r="C1148" s="84" t="str">
        <f>IF(PROGRAMA_DETALLE!A448="","","Tintorería")</f>
        <v/>
      </c>
      <c r="D1148" s="94" t="str">
        <f>IF(PROGRAMA_DETALLE!AB448="","",PROGRAMA_DETALLE!AB448)</f>
        <v/>
      </c>
      <c r="E1148" s="84" t="str">
        <f>IF(PROGRAMA_DETALLE!A448="","","Teñido "&amp;PROGRAMA_DETALLE!D448&amp;" "&amp;PROGRAMA_DETALLE!B448)</f>
        <v/>
      </c>
      <c r="F1148" s="95" t="str">
        <f>IF(PROGRAMA_DETALLE!Z448=0,"",PROGRAMA_DETALLE!Z448)</f>
        <v/>
      </c>
      <c r="G1148" s="95">
        <f>IF(PROGRAMA_DETALLE!AC448="PAGADO",PROGRAMA_DETALLE!Z448,0)</f>
        <v>0</v>
      </c>
      <c r="H1148" s="95">
        <f>IF(OR(PROGRAMA_DETALLE!AC448="PENDIENTE",PROGRAMA_DETALLE!AC448="PARCIAL"),PROGRAMA_DETALLE!Z448,0)</f>
        <v>0</v>
      </c>
      <c r="I1148" s="94" t="str">
        <f>IF(PROGRAMA_DETALLE!AC448="","",PROGRAMA_DETALLE!AC448)</f>
        <v/>
      </c>
    </row>
    <row r="1149" ht="15.75" customHeight="1">
      <c r="A1149" s="96" t="s">
        <v>236</v>
      </c>
      <c r="B1149" s="93" t="str">
        <f>IF(PROGRAMA_DETALLE!Q449="","",PROGRAMA_DETALLE!Q449)</f>
        <v/>
      </c>
      <c r="C1149" s="84" t="str">
        <f>IF(PROGRAMA_DETALLE!A449="","","Tintorería")</f>
        <v/>
      </c>
      <c r="D1149" s="94" t="str">
        <f>IF(PROGRAMA_DETALLE!AB449="","",PROGRAMA_DETALLE!AB449)</f>
        <v/>
      </c>
      <c r="E1149" s="84" t="str">
        <f>IF(PROGRAMA_DETALLE!A449="","","Teñido "&amp;PROGRAMA_DETALLE!D449&amp;" "&amp;PROGRAMA_DETALLE!B449)</f>
        <v/>
      </c>
      <c r="F1149" s="95" t="str">
        <f>IF(PROGRAMA_DETALLE!Z449=0,"",PROGRAMA_DETALLE!Z449)</f>
        <v/>
      </c>
      <c r="G1149" s="95">
        <f>IF(PROGRAMA_DETALLE!AC449="PAGADO",PROGRAMA_DETALLE!Z449,0)</f>
        <v>0</v>
      </c>
      <c r="H1149" s="95">
        <f>IF(OR(PROGRAMA_DETALLE!AC449="PENDIENTE",PROGRAMA_DETALLE!AC449="PARCIAL"),PROGRAMA_DETALLE!Z449,0)</f>
        <v>0</v>
      </c>
      <c r="I1149" s="94" t="str">
        <f>IF(PROGRAMA_DETALLE!AC449="","",PROGRAMA_DETALLE!AC449)</f>
        <v/>
      </c>
    </row>
    <row r="1150" ht="15.75" customHeight="1">
      <c r="A1150" s="96" t="s">
        <v>236</v>
      </c>
      <c r="B1150" s="93" t="str">
        <f>IF(PROGRAMA_DETALLE!Q450="","",PROGRAMA_DETALLE!Q450)</f>
        <v/>
      </c>
      <c r="C1150" s="84" t="str">
        <f>IF(PROGRAMA_DETALLE!A450="","","Tintorería")</f>
        <v/>
      </c>
      <c r="D1150" s="94" t="str">
        <f>IF(PROGRAMA_DETALLE!AB450="","",PROGRAMA_DETALLE!AB450)</f>
        <v/>
      </c>
      <c r="E1150" s="84" t="str">
        <f>IF(PROGRAMA_DETALLE!A450="","","Teñido "&amp;PROGRAMA_DETALLE!D450&amp;" "&amp;PROGRAMA_DETALLE!B450)</f>
        <v/>
      </c>
      <c r="F1150" s="95" t="str">
        <f>IF(PROGRAMA_DETALLE!Z450=0,"",PROGRAMA_DETALLE!Z450)</f>
        <v/>
      </c>
      <c r="G1150" s="95">
        <f>IF(PROGRAMA_DETALLE!AC450="PAGADO",PROGRAMA_DETALLE!Z450,0)</f>
        <v>0</v>
      </c>
      <c r="H1150" s="95">
        <f>IF(OR(PROGRAMA_DETALLE!AC450="PENDIENTE",PROGRAMA_DETALLE!AC450="PARCIAL"),PROGRAMA_DETALLE!Z450,0)</f>
        <v>0</v>
      </c>
      <c r="I1150" s="94" t="str">
        <f>IF(PROGRAMA_DETALLE!AC450="","",PROGRAMA_DETALLE!AC450)</f>
        <v/>
      </c>
    </row>
    <row r="1151" ht="15.75" customHeight="1">
      <c r="A1151" s="96" t="s">
        <v>236</v>
      </c>
      <c r="B1151" s="93" t="str">
        <f>IF(PROGRAMA_DETALLE!Q451="","",PROGRAMA_DETALLE!Q451)</f>
        <v/>
      </c>
      <c r="C1151" s="84" t="str">
        <f>IF(PROGRAMA_DETALLE!A451="","","Tintorería")</f>
        <v/>
      </c>
      <c r="D1151" s="94" t="str">
        <f>IF(PROGRAMA_DETALLE!AB451="","",PROGRAMA_DETALLE!AB451)</f>
        <v/>
      </c>
      <c r="E1151" s="84" t="str">
        <f>IF(PROGRAMA_DETALLE!A451="","","Teñido "&amp;PROGRAMA_DETALLE!D451&amp;" "&amp;PROGRAMA_DETALLE!B451)</f>
        <v/>
      </c>
      <c r="F1151" s="95" t="str">
        <f>IF(PROGRAMA_DETALLE!Z451=0,"",PROGRAMA_DETALLE!Z451)</f>
        <v/>
      </c>
      <c r="G1151" s="95">
        <f>IF(PROGRAMA_DETALLE!AC451="PAGADO",PROGRAMA_DETALLE!Z451,0)</f>
        <v>0</v>
      </c>
      <c r="H1151" s="95">
        <f>IF(OR(PROGRAMA_DETALLE!AC451="PENDIENTE",PROGRAMA_DETALLE!AC451="PARCIAL"),PROGRAMA_DETALLE!Z451,0)</f>
        <v>0</v>
      </c>
      <c r="I1151" s="94" t="str">
        <f>IF(PROGRAMA_DETALLE!AC451="","",PROGRAMA_DETALLE!AC451)</f>
        <v/>
      </c>
    </row>
    <row r="1152" ht="15.75" customHeight="1">
      <c r="A1152" s="96" t="s">
        <v>236</v>
      </c>
      <c r="B1152" s="93" t="str">
        <f>IF(PROGRAMA_DETALLE!Q452="","",PROGRAMA_DETALLE!Q452)</f>
        <v/>
      </c>
      <c r="C1152" s="84" t="str">
        <f>IF(PROGRAMA_DETALLE!A452="","","Tintorería")</f>
        <v/>
      </c>
      <c r="D1152" s="94" t="str">
        <f>IF(PROGRAMA_DETALLE!AB452="","",PROGRAMA_DETALLE!AB452)</f>
        <v/>
      </c>
      <c r="E1152" s="84" t="str">
        <f>IF(PROGRAMA_DETALLE!A452="","","Teñido "&amp;PROGRAMA_DETALLE!D452&amp;" "&amp;PROGRAMA_DETALLE!B452)</f>
        <v/>
      </c>
      <c r="F1152" s="95" t="str">
        <f>IF(PROGRAMA_DETALLE!Z452=0,"",PROGRAMA_DETALLE!Z452)</f>
        <v/>
      </c>
      <c r="G1152" s="95">
        <f>IF(PROGRAMA_DETALLE!AC452="PAGADO",PROGRAMA_DETALLE!Z452,0)</f>
        <v>0</v>
      </c>
      <c r="H1152" s="95">
        <f>IF(OR(PROGRAMA_DETALLE!AC452="PENDIENTE",PROGRAMA_DETALLE!AC452="PARCIAL"),PROGRAMA_DETALLE!Z452,0)</f>
        <v>0</v>
      </c>
      <c r="I1152" s="94" t="str">
        <f>IF(PROGRAMA_DETALLE!AC452="","",PROGRAMA_DETALLE!AC452)</f>
        <v/>
      </c>
    </row>
    <row r="1153" ht="15.75" customHeight="1">
      <c r="A1153" s="96" t="s">
        <v>236</v>
      </c>
      <c r="B1153" s="93" t="str">
        <f>IF(PROGRAMA_DETALLE!Q453="","",PROGRAMA_DETALLE!Q453)</f>
        <v/>
      </c>
      <c r="C1153" s="84" t="str">
        <f>IF(PROGRAMA_DETALLE!A453="","","Tintorería")</f>
        <v/>
      </c>
      <c r="D1153" s="94" t="str">
        <f>IF(PROGRAMA_DETALLE!AB453="","",PROGRAMA_DETALLE!AB453)</f>
        <v/>
      </c>
      <c r="E1153" s="84" t="str">
        <f>IF(PROGRAMA_DETALLE!A453="","","Teñido "&amp;PROGRAMA_DETALLE!D453&amp;" "&amp;PROGRAMA_DETALLE!B453)</f>
        <v/>
      </c>
      <c r="F1153" s="95" t="str">
        <f>IF(PROGRAMA_DETALLE!Z453=0,"",PROGRAMA_DETALLE!Z453)</f>
        <v/>
      </c>
      <c r="G1153" s="95">
        <f>IF(PROGRAMA_DETALLE!AC453="PAGADO",PROGRAMA_DETALLE!Z453,0)</f>
        <v>0</v>
      </c>
      <c r="H1153" s="95">
        <f>IF(OR(PROGRAMA_DETALLE!AC453="PENDIENTE",PROGRAMA_DETALLE!AC453="PARCIAL"),PROGRAMA_DETALLE!Z453,0)</f>
        <v>0</v>
      </c>
      <c r="I1153" s="94" t="str">
        <f>IF(PROGRAMA_DETALLE!AC453="","",PROGRAMA_DETALLE!AC453)</f>
        <v/>
      </c>
    </row>
    <row r="1154" ht="15.75" customHeight="1">
      <c r="A1154" s="96" t="s">
        <v>236</v>
      </c>
      <c r="B1154" s="93" t="str">
        <f>IF(PROGRAMA_DETALLE!Q454="","",PROGRAMA_DETALLE!Q454)</f>
        <v/>
      </c>
      <c r="C1154" s="84" t="str">
        <f>IF(PROGRAMA_DETALLE!A454="","","Tintorería")</f>
        <v/>
      </c>
      <c r="D1154" s="94" t="str">
        <f>IF(PROGRAMA_DETALLE!AB454="","",PROGRAMA_DETALLE!AB454)</f>
        <v/>
      </c>
      <c r="E1154" s="84" t="str">
        <f>IF(PROGRAMA_DETALLE!A454="","","Teñido "&amp;PROGRAMA_DETALLE!D454&amp;" "&amp;PROGRAMA_DETALLE!B454)</f>
        <v/>
      </c>
      <c r="F1154" s="95" t="str">
        <f>IF(PROGRAMA_DETALLE!Z454=0,"",PROGRAMA_DETALLE!Z454)</f>
        <v/>
      </c>
      <c r="G1154" s="95">
        <f>IF(PROGRAMA_DETALLE!AC454="PAGADO",PROGRAMA_DETALLE!Z454,0)</f>
        <v>0</v>
      </c>
      <c r="H1154" s="95">
        <f>IF(OR(PROGRAMA_DETALLE!AC454="PENDIENTE",PROGRAMA_DETALLE!AC454="PARCIAL"),PROGRAMA_DETALLE!Z454,0)</f>
        <v>0</v>
      </c>
      <c r="I1154" s="94" t="str">
        <f>IF(PROGRAMA_DETALLE!AC454="","",PROGRAMA_DETALLE!AC454)</f>
        <v/>
      </c>
    </row>
    <row r="1155" ht="15.75" customHeight="1">
      <c r="A1155" s="96" t="s">
        <v>236</v>
      </c>
      <c r="B1155" s="93" t="str">
        <f>IF(PROGRAMA_DETALLE!Q455="","",PROGRAMA_DETALLE!Q455)</f>
        <v/>
      </c>
      <c r="C1155" s="84" t="str">
        <f>IF(PROGRAMA_DETALLE!A455="","","Tintorería")</f>
        <v/>
      </c>
      <c r="D1155" s="94" t="str">
        <f>IF(PROGRAMA_DETALLE!AB455="","",PROGRAMA_DETALLE!AB455)</f>
        <v/>
      </c>
      <c r="E1155" s="84" t="str">
        <f>IF(PROGRAMA_DETALLE!A455="","","Teñido "&amp;PROGRAMA_DETALLE!D455&amp;" "&amp;PROGRAMA_DETALLE!B455)</f>
        <v/>
      </c>
      <c r="F1155" s="95" t="str">
        <f>IF(PROGRAMA_DETALLE!Z455=0,"",PROGRAMA_DETALLE!Z455)</f>
        <v/>
      </c>
      <c r="G1155" s="95">
        <f>IF(PROGRAMA_DETALLE!AC455="PAGADO",PROGRAMA_DETALLE!Z455,0)</f>
        <v>0</v>
      </c>
      <c r="H1155" s="95">
        <f>IF(OR(PROGRAMA_DETALLE!AC455="PENDIENTE",PROGRAMA_DETALLE!AC455="PARCIAL"),PROGRAMA_DETALLE!Z455,0)</f>
        <v>0</v>
      </c>
      <c r="I1155" s="94" t="str">
        <f>IF(PROGRAMA_DETALLE!AC455="","",PROGRAMA_DETALLE!AC455)</f>
        <v/>
      </c>
    </row>
    <row r="1156" ht="15.75" customHeight="1">
      <c r="A1156" s="96" t="s">
        <v>236</v>
      </c>
      <c r="B1156" s="93" t="str">
        <f>IF(PROGRAMA_DETALLE!Q456="","",PROGRAMA_DETALLE!Q456)</f>
        <v/>
      </c>
      <c r="C1156" s="84" t="str">
        <f>IF(PROGRAMA_DETALLE!A456="","","Tintorería")</f>
        <v/>
      </c>
      <c r="D1156" s="94" t="str">
        <f>IF(PROGRAMA_DETALLE!AB456="","",PROGRAMA_DETALLE!AB456)</f>
        <v/>
      </c>
      <c r="E1156" s="84" t="str">
        <f>IF(PROGRAMA_DETALLE!A456="","","Teñido "&amp;PROGRAMA_DETALLE!D456&amp;" "&amp;PROGRAMA_DETALLE!B456)</f>
        <v/>
      </c>
      <c r="F1156" s="95" t="str">
        <f>IF(PROGRAMA_DETALLE!Z456=0,"",PROGRAMA_DETALLE!Z456)</f>
        <v/>
      </c>
      <c r="G1156" s="95">
        <f>IF(PROGRAMA_DETALLE!AC456="PAGADO",PROGRAMA_DETALLE!Z456,0)</f>
        <v>0</v>
      </c>
      <c r="H1156" s="95">
        <f>IF(OR(PROGRAMA_DETALLE!AC456="PENDIENTE",PROGRAMA_DETALLE!AC456="PARCIAL"),PROGRAMA_DETALLE!Z456,0)</f>
        <v>0</v>
      </c>
      <c r="I1156" s="94" t="str">
        <f>IF(PROGRAMA_DETALLE!AC456="","",PROGRAMA_DETALLE!AC456)</f>
        <v/>
      </c>
    </row>
    <row r="1157" ht="15.75" customHeight="1">
      <c r="A1157" s="96" t="s">
        <v>236</v>
      </c>
      <c r="B1157" s="93" t="str">
        <f>IF(PROGRAMA_DETALLE!Q457="","",PROGRAMA_DETALLE!Q457)</f>
        <v/>
      </c>
      <c r="C1157" s="84" t="str">
        <f>IF(PROGRAMA_DETALLE!A457="","","Tintorería")</f>
        <v/>
      </c>
      <c r="D1157" s="94" t="str">
        <f>IF(PROGRAMA_DETALLE!AB457="","",PROGRAMA_DETALLE!AB457)</f>
        <v/>
      </c>
      <c r="E1157" s="84" t="str">
        <f>IF(PROGRAMA_DETALLE!A457="","","Teñido "&amp;PROGRAMA_DETALLE!D457&amp;" "&amp;PROGRAMA_DETALLE!B457)</f>
        <v/>
      </c>
      <c r="F1157" s="95" t="str">
        <f>IF(PROGRAMA_DETALLE!Z457=0,"",PROGRAMA_DETALLE!Z457)</f>
        <v/>
      </c>
      <c r="G1157" s="95">
        <f>IF(PROGRAMA_DETALLE!AC457="PAGADO",PROGRAMA_DETALLE!Z457,0)</f>
        <v>0</v>
      </c>
      <c r="H1157" s="95">
        <f>IF(OR(PROGRAMA_DETALLE!AC457="PENDIENTE",PROGRAMA_DETALLE!AC457="PARCIAL"),PROGRAMA_DETALLE!Z457,0)</f>
        <v>0</v>
      </c>
      <c r="I1157" s="94" t="str">
        <f>IF(PROGRAMA_DETALLE!AC457="","",PROGRAMA_DETALLE!AC457)</f>
        <v/>
      </c>
    </row>
    <row r="1158" ht="15.75" customHeight="1">
      <c r="A1158" s="96" t="s">
        <v>236</v>
      </c>
      <c r="B1158" s="93" t="str">
        <f>IF(PROGRAMA_DETALLE!Q458="","",PROGRAMA_DETALLE!Q458)</f>
        <v/>
      </c>
      <c r="C1158" s="84" t="str">
        <f>IF(PROGRAMA_DETALLE!A458="","","Tintorería")</f>
        <v/>
      </c>
      <c r="D1158" s="94" t="str">
        <f>IF(PROGRAMA_DETALLE!AB458="","",PROGRAMA_DETALLE!AB458)</f>
        <v/>
      </c>
      <c r="E1158" s="84" t="str">
        <f>IF(PROGRAMA_DETALLE!A458="","","Teñido "&amp;PROGRAMA_DETALLE!D458&amp;" "&amp;PROGRAMA_DETALLE!B458)</f>
        <v/>
      </c>
      <c r="F1158" s="95" t="str">
        <f>IF(PROGRAMA_DETALLE!Z458=0,"",PROGRAMA_DETALLE!Z458)</f>
        <v/>
      </c>
      <c r="G1158" s="95">
        <f>IF(PROGRAMA_DETALLE!AC458="PAGADO",PROGRAMA_DETALLE!Z458,0)</f>
        <v>0</v>
      </c>
      <c r="H1158" s="95">
        <f>IF(OR(PROGRAMA_DETALLE!AC458="PENDIENTE",PROGRAMA_DETALLE!AC458="PARCIAL"),PROGRAMA_DETALLE!Z458,0)</f>
        <v>0</v>
      </c>
      <c r="I1158" s="94" t="str">
        <f>IF(PROGRAMA_DETALLE!AC458="","",PROGRAMA_DETALLE!AC458)</f>
        <v/>
      </c>
    </row>
    <row r="1159" ht="15.75" customHeight="1">
      <c r="A1159" s="96" t="s">
        <v>236</v>
      </c>
      <c r="B1159" s="93" t="str">
        <f>IF(PROGRAMA_DETALLE!Q459="","",PROGRAMA_DETALLE!Q459)</f>
        <v/>
      </c>
      <c r="C1159" s="84" t="str">
        <f>IF(PROGRAMA_DETALLE!A459="","","Tintorería")</f>
        <v/>
      </c>
      <c r="D1159" s="94" t="str">
        <f>IF(PROGRAMA_DETALLE!AB459="","",PROGRAMA_DETALLE!AB459)</f>
        <v/>
      </c>
      <c r="E1159" s="84" t="str">
        <f>IF(PROGRAMA_DETALLE!A459="","","Teñido "&amp;PROGRAMA_DETALLE!D459&amp;" "&amp;PROGRAMA_DETALLE!B459)</f>
        <v/>
      </c>
      <c r="F1159" s="95" t="str">
        <f>IF(PROGRAMA_DETALLE!Z459=0,"",PROGRAMA_DETALLE!Z459)</f>
        <v/>
      </c>
      <c r="G1159" s="95">
        <f>IF(PROGRAMA_DETALLE!AC459="PAGADO",PROGRAMA_DETALLE!Z459,0)</f>
        <v>0</v>
      </c>
      <c r="H1159" s="95">
        <f>IF(OR(PROGRAMA_DETALLE!AC459="PENDIENTE",PROGRAMA_DETALLE!AC459="PARCIAL"),PROGRAMA_DETALLE!Z459,0)</f>
        <v>0</v>
      </c>
      <c r="I1159" s="94" t="str">
        <f>IF(PROGRAMA_DETALLE!AC459="","",PROGRAMA_DETALLE!AC459)</f>
        <v/>
      </c>
    </row>
    <row r="1160" ht="15.75" customHeight="1">
      <c r="A1160" s="96" t="s">
        <v>236</v>
      </c>
      <c r="B1160" s="93" t="str">
        <f>IF(PROGRAMA_DETALLE!Q460="","",PROGRAMA_DETALLE!Q460)</f>
        <v/>
      </c>
      <c r="C1160" s="84" t="str">
        <f>IF(PROGRAMA_DETALLE!A460="","","Tintorería")</f>
        <v/>
      </c>
      <c r="D1160" s="94" t="str">
        <f>IF(PROGRAMA_DETALLE!AB460="","",PROGRAMA_DETALLE!AB460)</f>
        <v/>
      </c>
      <c r="E1160" s="84" t="str">
        <f>IF(PROGRAMA_DETALLE!A460="","","Teñido "&amp;PROGRAMA_DETALLE!D460&amp;" "&amp;PROGRAMA_DETALLE!B460)</f>
        <v/>
      </c>
      <c r="F1160" s="95" t="str">
        <f>IF(PROGRAMA_DETALLE!Z460=0,"",PROGRAMA_DETALLE!Z460)</f>
        <v/>
      </c>
      <c r="G1160" s="95">
        <f>IF(PROGRAMA_DETALLE!AC460="PAGADO",PROGRAMA_DETALLE!Z460,0)</f>
        <v>0</v>
      </c>
      <c r="H1160" s="95">
        <f>IF(OR(PROGRAMA_DETALLE!AC460="PENDIENTE",PROGRAMA_DETALLE!AC460="PARCIAL"),PROGRAMA_DETALLE!Z460,0)</f>
        <v>0</v>
      </c>
      <c r="I1160" s="94" t="str">
        <f>IF(PROGRAMA_DETALLE!AC460="","",PROGRAMA_DETALLE!AC460)</f>
        <v/>
      </c>
    </row>
    <row r="1161" ht="15.75" customHeight="1">
      <c r="A1161" s="96" t="s">
        <v>236</v>
      </c>
      <c r="B1161" s="93" t="str">
        <f>IF(PROGRAMA_DETALLE!Q461="","",PROGRAMA_DETALLE!Q461)</f>
        <v/>
      </c>
      <c r="C1161" s="84" t="str">
        <f>IF(PROGRAMA_DETALLE!A461="","","Tintorería")</f>
        <v/>
      </c>
      <c r="D1161" s="94" t="str">
        <f>IF(PROGRAMA_DETALLE!AB461="","",PROGRAMA_DETALLE!AB461)</f>
        <v/>
      </c>
      <c r="E1161" s="84" t="str">
        <f>IF(PROGRAMA_DETALLE!A461="","","Teñido "&amp;PROGRAMA_DETALLE!D461&amp;" "&amp;PROGRAMA_DETALLE!B461)</f>
        <v/>
      </c>
      <c r="F1161" s="95" t="str">
        <f>IF(PROGRAMA_DETALLE!Z461=0,"",PROGRAMA_DETALLE!Z461)</f>
        <v/>
      </c>
      <c r="G1161" s="95">
        <f>IF(PROGRAMA_DETALLE!AC461="PAGADO",PROGRAMA_DETALLE!Z461,0)</f>
        <v>0</v>
      </c>
      <c r="H1161" s="95">
        <f>IF(OR(PROGRAMA_DETALLE!AC461="PENDIENTE",PROGRAMA_DETALLE!AC461="PARCIAL"),PROGRAMA_DETALLE!Z461,0)</f>
        <v>0</v>
      </c>
      <c r="I1161" s="94" t="str">
        <f>IF(PROGRAMA_DETALLE!AC461="","",PROGRAMA_DETALLE!AC461)</f>
        <v/>
      </c>
    </row>
    <row r="1162" ht="15.75" customHeight="1">
      <c r="A1162" s="96" t="s">
        <v>236</v>
      </c>
      <c r="B1162" s="93" t="str">
        <f>IF(PROGRAMA_DETALLE!Q462="","",PROGRAMA_DETALLE!Q462)</f>
        <v/>
      </c>
      <c r="C1162" s="84" t="str">
        <f>IF(PROGRAMA_DETALLE!A462="","","Tintorería")</f>
        <v/>
      </c>
      <c r="D1162" s="94" t="str">
        <f>IF(PROGRAMA_DETALLE!AB462="","",PROGRAMA_DETALLE!AB462)</f>
        <v/>
      </c>
      <c r="E1162" s="84" t="str">
        <f>IF(PROGRAMA_DETALLE!A462="","","Teñido "&amp;PROGRAMA_DETALLE!D462&amp;" "&amp;PROGRAMA_DETALLE!B462)</f>
        <v/>
      </c>
      <c r="F1162" s="95" t="str">
        <f>IF(PROGRAMA_DETALLE!Z462=0,"",PROGRAMA_DETALLE!Z462)</f>
        <v/>
      </c>
      <c r="G1162" s="95">
        <f>IF(PROGRAMA_DETALLE!AC462="PAGADO",PROGRAMA_DETALLE!Z462,0)</f>
        <v>0</v>
      </c>
      <c r="H1162" s="95">
        <f>IF(OR(PROGRAMA_DETALLE!AC462="PENDIENTE",PROGRAMA_DETALLE!AC462="PARCIAL"),PROGRAMA_DETALLE!Z462,0)</f>
        <v>0</v>
      </c>
      <c r="I1162" s="94" t="str">
        <f>IF(PROGRAMA_DETALLE!AC462="","",PROGRAMA_DETALLE!AC462)</f>
        <v/>
      </c>
    </row>
    <row r="1163" ht="15.75" customHeight="1">
      <c r="A1163" s="96" t="s">
        <v>236</v>
      </c>
      <c r="B1163" s="93" t="str">
        <f>IF(PROGRAMA_DETALLE!Q463="","",PROGRAMA_DETALLE!Q463)</f>
        <v/>
      </c>
      <c r="C1163" s="84" t="str">
        <f>IF(PROGRAMA_DETALLE!A463="","","Tintorería")</f>
        <v/>
      </c>
      <c r="D1163" s="94" t="str">
        <f>IF(PROGRAMA_DETALLE!AB463="","",PROGRAMA_DETALLE!AB463)</f>
        <v/>
      </c>
      <c r="E1163" s="84" t="str">
        <f>IF(PROGRAMA_DETALLE!A463="","","Teñido "&amp;PROGRAMA_DETALLE!D463&amp;" "&amp;PROGRAMA_DETALLE!B463)</f>
        <v/>
      </c>
      <c r="F1163" s="95" t="str">
        <f>IF(PROGRAMA_DETALLE!Z463=0,"",PROGRAMA_DETALLE!Z463)</f>
        <v/>
      </c>
      <c r="G1163" s="95">
        <f>IF(PROGRAMA_DETALLE!AC463="PAGADO",PROGRAMA_DETALLE!Z463,0)</f>
        <v>0</v>
      </c>
      <c r="H1163" s="95">
        <f>IF(OR(PROGRAMA_DETALLE!AC463="PENDIENTE",PROGRAMA_DETALLE!AC463="PARCIAL"),PROGRAMA_DETALLE!Z463,0)</f>
        <v>0</v>
      </c>
      <c r="I1163" s="94" t="str">
        <f>IF(PROGRAMA_DETALLE!AC463="","",PROGRAMA_DETALLE!AC463)</f>
        <v/>
      </c>
    </row>
    <row r="1164" ht="15.75" customHeight="1">
      <c r="A1164" s="96" t="s">
        <v>236</v>
      </c>
      <c r="B1164" s="93" t="str">
        <f>IF(PROGRAMA_DETALLE!Q464="","",PROGRAMA_DETALLE!Q464)</f>
        <v/>
      </c>
      <c r="C1164" s="84" t="str">
        <f>IF(PROGRAMA_DETALLE!A464="","","Tintorería")</f>
        <v/>
      </c>
      <c r="D1164" s="94" t="str">
        <f>IF(PROGRAMA_DETALLE!AB464="","",PROGRAMA_DETALLE!AB464)</f>
        <v/>
      </c>
      <c r="E1164" s="84" t="str">
        <f>IF(PROGRAMA_DETALLE!A464="","","Teñido "&amp;PROGRAMA_DETALLE!D464&amp;" "&amp;PROGRAMA_DETALLE!B464)</f>
        <v/>
      </c>
      <c r="F1164" s="95" t="str">
        <f>IF(PROGRAMA_DETALLE!Z464=0,"",PROGRAMA_DETALLE!Z464)</f>
        <v/>
      </c>
      <c r="G1164" s="95">
        <f>IF(PROGRAMA_DETALLE!AC464="PAGADO",PROGRAMA_DETALLE!Z464,0)</f>
        <v>0</v>
      </c>
      <c r="H1164" s="95">
        <f>IF(OR(PROGRAMA_DETALLE!AC464="PENDIENTE",PROGRAMA_DETALLE!AC464="PARCIAL"),PROGRAMA_DETALLE!Z464,0)</f>
        <v>0</v>
      </c>
      <c r="I1164" s="94" t="str">
        <f>IF(PROGRAMA_DETALLE!AC464="","",PROGRAMA_DETALLE!AC464)</f>
        <v/>
      </c>
    </row>
    <row r="1165" ht="15.75" customHeight="1">
      <c r="A1165" s="96" t="s">
        <v>236</v>
      </c>
      <c r="B1165" s="93" t="str">
        <f>IF(PROGRAMA_DETALLE!Q465="","",PROGRAMA_DETALLE!Q465)</f>
        <v/>
      </c>
      <c r="C1165" s="84" t="str">
        <f>IF(PROGRAMA_DETALLE!A465="","","Tintorería")</f>
        <v/>
      </c>
      <c r="D1165" s="94" t="str">
        <f>IF(PROGRAMA_DETALLE!AB465="","",PROGRAMA_DETALLE!AB465)</f>
        <v/>
      </c>
      <c r="E1165" s="84" t="str">
        <f>IF(PROGRAMA_DETALLE!A465="","","Teñido "&amp;PROGRAMA_DETALLE!D465&amp;" "&amp;PROGRAMA_DETALLE!B465)</f>
        <v/>
      </c>
      <c r="F1165" s="95" t="str">
        <f>IF(PROGRAMA_DETALLE!Z465=0,"",PROGRAMA_DETALLE!Z465)</f>
        <v/>
      </c>
      <c r="G1165" s="95">
        <f>IF(PROGRAMA_DETALLE!AC465="PAGADO",PROGRAMA_DETALLE!Z465,0)</f>
        <v>0</v>
      </c>
      <c r="H1165" s="95">
        <f>IF(OR(PROGRAMA_DETALLE!AC465="PENDIENTE",PROGRAMA_DETALLE!AC465="PARCIAL"),PROGRAMA_DETALLE!Z465,0)</f>
        <v>0</v>
      </c>
      <c r="I1165" s="94" t="str">
        <f>IF(PROGRAMA_DETALLE!AC465="","",PROGRAMA_DETALLE!AC465)</f>
        <v/>
      </c>
    </row>
    <row r="1166" ht="15.75" customHeight="1">
      <c r="A1166" s="96" t="s">
        <v>236</v>
      </c>
      <c r="B1166" s="93" t="str">
        <f>IF(PROGRAMA_DETALLE!Q466="","",PROGRAMA_DETALLE!Q466)</f>
        <v/>
      </c>
      <c r="C1166" s="84" t="str">
        <f>IF(PROGRAMA_DETALLE!A466="","","Tintorería")</f>
        <v/>
      </c>
      <c r="D1166" s="94" t="str">
        <f>IF(PROGRAMA_DETALLE!AB466="","",PROGRAMA_DETALLE!AB466)</f>
        <v/>
      </c>
      <c r="E1166" s="84" t="str">
        <f>IF(PROGRAMA_DETALLE!A466="","","Teñido "&amp;PROGRAMA_DETALLE!D466&amp;" "&amp;PROGRAMA_DETALLE!B466)</f>
        <v/>
      </c>
      <c r="F1166" s="95" t="str">
        <f>IF(PROGRAMA_DETALLE!Z466=0,"",PROGRAMA_DETALLE!Z466)</f>
        <v/>
      </c>
      <c r="G1166" s="95">
        <f>IF(PROGRAMA_DETALLE!AC466="PAGADO",PROGRAMA_DETALLE!Z466,0)</f>
        <v>0</v>
      </c>
      <c r="H1166" s="95">
        <f>IF(OR(PROGRAMA_DETALLE!AC466="PENDIENTE",PROGRAMA_DETALLE!AC466="PARCIAL"),PROGRAMA_DETALLE!Z466,0)</f>
        <v>0</v>
      </c>
      <c r="I1166" s="94" t="str">
        <f>IF(PROGRAMA_DETALLE!AC466="","",PROGRAMA_DETALLE!AC466)</f>
        <v/>
      </c>
    </row>
    <row r="1167" ht="15.75" customHeight="1">
      <c r="A1167" s="96" t="s">
        <v>236</v>
      </c>
      <c r="B1167" s="93" t="str">
        <f>IF(PROGRAMA_DETALLE!Q467="","",PROGRAMA_DETALLE!Q467)</f>
        <v/>
      </c>
      <c r="C1167" s="84" t="str">
        <f>IF(PROGRAMA_DETALLE!A467="","","Tintorería")</f>
        <v/>
      </c>
      <c r="D1167" s="94" t="str">
        <f>IF(PROGRAMA_DETALLE!AB467="","",PROGRAMA_DETALLE!AB467)</f>
        <v/>
      </c>
      <c r="E1167" s="84" t="str">
        <f>IF(PROGRAMA_DETALLE!A467="","","Teñido "&amp;PROGRAMA_DETALLE!D467&amp;" "&amp;PROGRAMA_DETALLE!B467)</f>
        <v/>
      </c>
      <c r="F1167" s="95" t="str">
        <f>IF(PROGRAMA_DETALLE!Z467=0,"",PROGRAMA_DETALLE!Z467)</f>
        <v/>
      </c>
      <c r="G1167" s="95">
        <f>IF(PROGRAMA_DETALLE!AC467="PAGADO",PROGRAMA_DETALLE!Z467,0)</f>
        <v>0</v>
      </c>
      <c r="H1167" s="95">
        <f>IF(OR(PROGRAMA_DETALLE!AC467="PENDIENTE",PROGRAMA_DETALLE!AC467="PARCIAL"),PROGRAMA_DETALLE!Z467,0)</f>
        <v>0</v>
      </c>
      <c r="I1167" s="94" t="str">
        <f>IF(PROGRAMA_DETALLE!AC467="","",PROGRAMA_DETALLE!AC467)</f>
        <v/>
      </c>
    </row>
    <row r="1168" ht="15.75" customHeight="1">
      <c r="A1168" s="96" t="s">
        <v>236</v>
      </c>
      <c r="B1168" s="93" t="str">
        <f>IF(PROGRAMA_DETALLE!Q468="","",PROGRAMA_DETALLE!Q468)</f>
        <v/>
      </c>
      <c r="C1168" s="84" t="str">
        <f>IF(PROGRAMA_DETALLE!A468="","","Tintorería")</f>
        <v/>
      </c>
      <c r="D1168" s="94" t="str">
        <f>IF(PROGRAMA_DETALLE!AB468="","",PROGRAMA_DETALLE!AB468)</f>
        <v/>
      </c>
      <c r="E1168" s="84" t="str">
        <f>IF(PROGRAMA_DETALLE!A468="","","Teñido "&amp;PROGRAMA_DETALLE!D468&amp;" "&amp;PROGRAMA_DETALLE!B468)</f>
        <v/>
      </c>
      <c r="F1168" s="95" t="str">
        <f>IF(PROGRAMA_DETALLE!Z468=0,"",PROGRAMA_DETALLE!Z468)</f>
        <v/>
      </c>
      <c r="G1168" s="95">
        <f>IF(PROGRAMA_DETALLE!AC468="PAGADO",PROGRAMA_DETALLE!Z468,0)</f>
        <v>0</v>
      </c>
      <c r="H1168" s="95">
        <f>IF(OR(PROGRAMA_DETALLE!AC468="PENDIENTE",PROGRAMA_DETALLE!AC468="PARCIAL"),PROGRAMA_DETALLE!Z468,0)</f>
        <v>0</v>
      </c>
      <c r="I1168" s="94" t="str">
        <f>IF(PROGRAMA_DETALLE!AC468="","",PROGRAMA_DETALLE!AC468)</f>
        <v/>
      </c>
    </row>
    <row r="1169" ht="15.75" customHeight="1">
      <c r="A1169" s="96" t="s">
        <v>236</v>
      </c>
      <c r="B1169" s="93" t="str">
        <f>IF(PROGRAMA_DETALLE!Q469="","",PROGRAMA_DETALLE!Q469)</f>
        <v/>
      </c>
      <c r="C1169" s="84" t="str">
        <f>IF(PROGRAMA_DETALLE!A469="","","Tintorería")</f>
        <v/>
      </c>
      <c r="D1169" s="94" t="str">
        <f>IF(PROGRAMA_DETALLE!AB469="","",PROGRAMA_DETALLE!AB469)</f>
        <v/>
      </c>
      <c r="E1169" s="84" t="str">
        <f>IF(PROGRAMA_DETALLE!A469="","","Teñido "&amp;PROGRAMA_DETALLE!D469&amp;" "&amp;PROGRAMA_DETALLE!B469)</f>
        <v/>
      </c>
      <c r="F1169" s="95" t="str">
        <f>IF(PROGRAMA_DETALLE!Z469=0,"",PROGRAMA_DETALLE!Z469)</f>
        <v/>
      </c>
      <c r="G1169" s="95">
        <f>IF(PROGRAMA_DETALLE!AC469="PAGADO",PROGRAMA_DETALLE!Z469,0)</f>
        <v>0</v>
      </c>
      <c r="H1169" s="95">
        <f>IF(OR(PROGRAMA_DETALLE!AC469="PENDIENTE",PROGRAMA_DETALLE!AC469="PARCIAL"),PROGRAMA_DETALLE!Z469,0)</f>
        <v>0</v>
      </c>
      <c r="I1169" s="94" t="str">
        <f>IF(PROGRAMA_DETALLE!AC469="","",PROGRAMA_DETALLE!AC469)</f>
        <v/>
      </c>
    </row>
    <row r="1170" ht="15.75" customHeight="1">
      <c r="A1170" s="96" t="s">
        <v>236</v>
      </c>
      <c r="B1170" s="93" t="str">
        <f>IF(PROGRAMA_DETALLE!Q470="","",PROGRAMA_DETALLE!Q470)</f>
        <v/>
      </c>
      <c r="C1170" s="84" t="str">
        <f>IF(PROGRAMA_DETALLE!A470="","","Tintorería")</f>
        <v/>
      </c>
      <c r="D1170" s="94" t="str">
        <f>IF(PROGRAMA_DETALLE!AB470="","",PROGRAMA_DETALLE!AB470)</f>
        <v/>
      </c>
      <c r="E1170" s="84" t="str">
        <f>IF(PROGRAMA_DETALLE!A470="","","Teñido "&amp;PROGRAMA_DETALLE!D470&amp;" "&amp;PROGRAMA_DETALLE!B470)</f>
        <v/>
      </c>
      <c r="F1170" s="95" t="str">
        <f>IF(PROGRAMA_DETALLE!Z470=0,"",PROGRAMA_DETALLE!Z470)</f>
        <v/>
      </c>
      <c r="G1170" s="95">
        <f>IF(PROGRAMA_DETALLE!AC470="PAGADO",PROGRAMA_DETALLE!Z470,0)</f>
        <v>0</v>
      </c>
      <c r="H1170" s="95">
        <f>IF(OR(PROGRAMA_DETALLE!AC470="PENDIENTE",PROGRAMA_DETALLE!AC470="PARCIAL"),PROGRAMA_DETALLE!Z470,0)</f>
        <v>0</v>
      </c>
      <c r="I1170" s="94" t="str">
        <f>IF(PROGRAMA_DETALLE!AC470="","",PROGRAMA_DETALLE!AC470)</f>
        <v/>
      </c>
    </row>
    <row r="1171" ht="15.75" customHeight="1">
      <c r="A1171" s="96" t="s">
        <v>236</v>
      </c>
      <c r="B1171" s="93" t="str">
        <f>IF(PROGRAMA_DETALLE!Q471="","",PROGRAMA_DETALLE!Q471)</f>
        <v/>
      </c>
      <c r="C1171" s="84" t="str">
        <f>IF(PROGRAMA_DETALLE!A471="","","Tintorería")</f>
        <v/>
      </c>
      <c r="D1171" s="94" t="str">
        <f>IF(PROGRAMA_DETALLE!AB471="","",PROGRAMA_DETALLE!AB471)</f>
        <v/>
      </c>
      <c r="E1171" s="84" t="str">
        <f>IF(PROGRAMA_DETALLE!A471="","","Teñido "&amp;PROGRAMA_DETALLE!D471&amp;" "&amp;PROGRAMA_DETALLE!B471)</f>
        <v/>
      </c>
      <c r="F1171" s="95" t="str">
        <f>IF(PROGRAMA_DETALLE!Z471=0,"",PROGRAMA_DETALLE!Z471)</f>
        <v/>
      </c>
      <c r="G1171" s="95">
        <f>IF(PROGRAMA_DETALLE!AC471="PAGADO",PROGRAMA_DETALLE!Z471,0)</f>
        <v>0</v>
      </c>
      <c r="H1171" s="95">
        <f>IF(OR(PROGRAMA_DETALLE!AC471="PENDIENTE",PROGRAMA_DETALLE!AC471="PARCIAL"),PROGRAMA_DETALLE!Z471,0)</f>
        <v>0</v>
      </c>
      <c r="I1171" s="94" t="str">
        <f>IF(PROGRAMA_DETALLE!AC471="","",PROGRAMA_DETALLE!AC471)</f>
        <v/>
      </c>
    </row>
    <row r="1172" ht="15.75" customHeight="1">
      <c r="A1172" s="96" t="s">
        <v>236</v>
      </c>
      <c r="B1172" s="93" t="str">
        <f>IF(PROGRAMA_DETALLE!Q472="","",PROGRAMA_DETALLE!Q472)</f>
        <v/>
      </c>
      <c r="C1172" s="84" t="str">
        <f>IF(PROGRAMA_DETALLE!A472="","","Tintorería")</f>
        <v/>
      </c>
      <c r="D1172" s="94" t="str">
        <f>IF(PROGRAMA_DETALLE!AB472="","",PROGRAMA_DETALLE!AB472)</f>
        <v/>
      </c>
      <c r="E1172" s="84" t="str">
        <f>IF(PROGRAMA_DETALLE!A472="","","Teñido "&amp;PROGRAMA_DETALLE!D472&amp;" "&amp;PROGRAMA_DETALLE!B472)</f>
        <v/>
      </c>
      <c r="F1172" s="95" t="str">
        <f>IF(PROGRAMA_DETALLE!Z472=0,"",PROGRAMA_DETALLE!Z472)</f>
        <v/>
      </c>
      <c r="G1172" s="95">
        <f>IF(PROGRAMA_DETALLE!AC472="PAGADO",PROGRAMA_DETALLE!Z472,0)</f>
        <v>0</v>
      </c>
      <c r="H1172" s="95">
        <f>IF(OR(PROGRAMA_DETALLE!AC472="PENDIENTE",PROGRAMA_DETALLE!AC472="PARCIAL"),PROGRAMA_DETALLE!Z472,0)</f>
        <v>0</v>
      </c>
      <c r="I1172" s="94" t="str">
        <f>IF(PROGRAMA_DETALLE!AC472="","",PROGRAMA_DETALLE!AC472)</f>
        <v/>
      </c>
    </row>
    <row r="1173" ht="15.75" customHeight="1">
      <c r="A1173" s="96" t="s">
        <v>236</v>
      </c>
      <c r="B1173" s="93" t="str">
        <f>IF(PROGRAMA_DETALLE!Q473="","",PROGRAMA_DETALLE!Q473)</f>
        <v/>
      </c>
      <c r="C1173" s="84" t="str">
        <f>IF(PROGRAMA_DETALLE!A473="","","Tintorería")</f>
        <v/>
      </c>
      <c r="D1173" s="94" t="str">
        <f>IF(PROGRAMA_DETALLE!AB473="","",PROGRAMA_DETALLE!AB473)</f>
        <v/>
      </c>
      <c r="E1173" s="84" t="str">
        <f>IF(PROGRAMA_DETALLE!A473="","","Teñido "&amp;PROGRAMA_DETALLE!D473&amp;" "&amp;PROGRAMA_DETALLE!B473)</f>
        <v/>
      </c>
      <c r="F1173" s="95" t="str">
        <f>IF(PROGRAMA_DETALLE!Z473=0,"",PROGRAMA_DETALLE!Z473)</f>
        <v/>
      </c>
      <c r="G1173" s="95">
        <f>IF(PROGRAMA_DETALLE!AC473="PAGADO",PROGRAMA_DETALLE!Z473,0)</f>
        <v>0</v>
      </c>
      <c r="H1173" s="95">
        <f>IF(OR(PROGRAMA_DETALLE!AC473="PENDIENTE",PROGRAMA_DETALLE!AC473="PARCIAL"),PROGRAMA_DETALLE!Z473,0)</f>
        <v>0</v>
      </c>
      <c r="I1173" s="94" t="str">
        <f>IF(PROGRAMA_DETALLE!AC473="","",PROGRAMA_DETALLE!AC473)</f>
        <v/>
      </c>
    </row>
    <row r="1174" ht="15.75" customHeight="1">
      <c r="A1174" s="96" t="s">
        <v>236</v>
      </c>
      <c r="B1174" s="93" t="str">
        <f>IF(PROGRAMA_DETALLE!Q474="","",PROGRAMA_DETALLE!Q474)</f>
        <v/>
      </c>
      <c r="C1174" s="84" t="str">
        <f>IF(PROGRAMA_DETALLE!A474="","","Tintorería")</f>
        <v/>
      </c>
      <c r="D1174" s="94" t="str">
        <f>IF(PROGRAMA_DETALLE!AB474="","",PROGRAMA_DETALLE!AB474)</f>
        <v/>
      </c>
      <c r="E1174" s="84" t="str">
        <f>IF(PROGRAMA_DETALLE!A474="","","Teñido "&amp;PROGRAMA_DETALLE!D474&amp;" "&amp;PROGRAMA_DETALLE!B474)</f>
        <v/>
      </c>
      <c r="F1174" s="95" t="str">
        <f>IF(PROGRAMA_DETALLE!Z474=0,"",PROGRAMA_DETALLE!Z474)</f>
        <v/>
      </c>
      <c r="G1174" s="95">
        <f>IF(PROGRAMA_DETALLE!AC474="PAGADO",PROGRAMA_DETALLE!Z474,0)</f>
        <v>0</v>
      </c>
      <c r="H1174" s="95">
        <f>IF(OR(PROGRAMA_DETALLE!AC474="PENDIENTE",PROGRAMA_DETALLE!AC474="PARCIAL"),PROGRAMA_DETALLE!Z474,0)</f>
        <v>0</v>
      </c>
      <c r="I1174" s="94" t="str">
        <f>IF(PROGRAMA_DETALLE!AC474="","",PROGRAMA_DETALLE!AC474)</f>
        <v/>
      </c>
    </row>
    <row r="1175" ht="15.75" customHeight="1">
      <c r="A1175" s="96" t="s">
        <v>236</v>
      </c>
      <c r="B1175" s="93" t="str">
        <f>IF(PROGRAMA_DETALLE!Q475="","",PROGRAMA_DETALLE!Q475)</f>
        <v/>
      </c>
      <c r="C1175" s="84" t="str">
        <f>IF(PROGRAMA_DETALLE!A475="","","Tintorería")</f>
        <v/>
      </c>
      <c r="D1175" s="94" t="str">
        <f>IF(PROGRAMA_DETALLE!AB475="","",PROGRAMA_DETALLE!AB475)</f>
        <v/>
      </c>
      <c r="E1175" s="84" t="str">
        <f>IF(PROGRAMA_DETALLE!A475="","","Teñido "&amp;PROGRAMA_DETALLE!D475&amp;" "&amp;PROGRAMA_DETALLE!B475)</f>
        <v/>
      </c>
      <c r="F1175" s="95" t="str">
        <f>IF(PROGRAMA_DETALLE!Z475=0,"",PROGRAMA_DETALLE!Z475)</f>
        <v/>
      </c>
      <c r="G1175" s="95">
        <f>IF(PROGRAMA_DETALLE!AC475="PAGADO",PROGRAMA_DETALLE!Z475,0)</f>
        <v>0</v>
      </c>
      <c r="H1175" s="95">
        <f>IF(OR(PROGRAMA_DETALLE!AC475="PENDIENTE",PROGRAMA_DETALLE!AC475="PARCIAL"),PROGRAMA_DETALLE!Z475,0)</f>
        <v>0</v>
      </c>
      <c r="I1175" s="94" t="str">
        <f>IF(PROGRAMA_DETALLE!AC475="","",PROGRAMA_DETALLE!AC475)</f>
        <v/>
      </c>
    </row>
    <row r="1176" ht="15.75" customHeight="1">
      <c r="A1176" s="96" t="s">
        <v>236</v>
      </c>
      <c r="B1176" s="93" t="str">
        <f>IF(PROGRAMA_DETALLE!Q476="","",PROGRAMA_DETALLE!Q476)</f>
        <v/>
      </c>
      <c r="C1176" s="84" t="str">
        <f>IF(PROGRAMA_DETALLE!A476="","","Tintorería")</f>
        <v/>
      </c>
      <c r="D1176" s="94" t="str">
        <f>IF(PROGRAMA_DETALLE!AB476="","",PROGRAMA_DETALLE!AB476)</f>
        <v/>
      </c>
      <c r="E1176" s="84" t="str">
        <f>IF(PROGRAMA_DETALLE!A476="","","Teñido "&amp;PROGRAMA_DETALLE!D476&amp;" "&amp;PROGRAMA_DETALLE!B476)</f>
        <v/>
      </c>
      <c r="F1176" s="95" t="str">
        <f>IF(PROGRAMA_DETALLE!Z476=0,"",PROGRAMA_DETALLE!Z476)</f>
        <v/>
      </c>
      <c r="G1176" s="95">
        <f>IF(PROGRAMA_DETALLE!AC476="PAGADO",PROGRAMA_DETALLE!Z476,0)</f>
        <v>0</v>
      </c>
      <c r="H1176" s="95">
        <f>IF(OR(PROGRAMA_DETALLE!AC476="PENDIENTE",PROGRAMA_DETALLE!AC476="PARCIAL"),PROGRAMA_DETALLE!Z476,0)</f>
        <v>0</v>
      </c>
      <c r="I1176" s="94" t="str">
        <f>IF(PROGRAMA_DETALLE!AC476="","",PROGRAMA_DETALLE!AC476)</f>
        <v/>
      </c>
    </row>
    <row r="1177" ht="15.75" customHeight="1">
      <c r="A1177" s="96" t="s">
        <v>236</v>
      </c>
      <c r="B1177" s="93" t="str">
        <f>IF(PROGRAMA_DETALLE!Q477="","",PROGRAMA_DETALLE!Q477)</f>
        <v/>
      </c>
      <c r="C1177" s="84" t="str">
        <f>IF(PROGRAMA_DETALLE!A477="","","Tintorería")</f>
        <v/>
      </c>
      <c r="D1177" s="94" t="str">
        <f>IF(PROGRAMA_DETALLE!AB477="","",PROGRAMA_DETALLE!AB477)</f>
        <v/>
      </c>
      <c r="E1177" s="84" t="str">
        <f>IF(PROGRAMA_DETALLE!A477="","","Teñido "&amp;PROGRAMA_DETALLE!D477&amp;" "&amp;PROGRAMA_DETALLE!B477)</f>
        <v/>
      </c>
      <c r="F1177" s="95" t="str">
        <f>IF(PROGRAMA_DETALLE!Z477=0,"",PROGRAMA_DETALLE!Z477)</f>
        <v/>
      </c>
      <c r="G1177" s="95">
        <f>IF(PROGRAMA_DETALLE!AC477="PAGADO",PROGRAMA_DETALLE!Z477,0)</f>
        <v>0</v>
      </c>
      <c r="H1177" s="95">
        <f>IF(OR(PROGRAMA_DETALLE!AC477="PENDIENTE",PROGRAMA_DETALLE!AC477="PARCIAL"),PROGRAMA_DETALLE!Z477,0)</f>
        <v>0</v>
      </c>
      <c r="I1177" s="94" t="str">
        <f>IF(PROGRAMA_DETALLE!AC477="","",PROGRAMA_DETALLE!AC477)</f>
        <v/>
      </c>
    </row>
    <row r="1178" ht="15.75" customHeight="1">
      <c r="A1178" s="96" t="s">
        <v>236</v>
      </c>
      <c r="B1178" s="93" t="str">
        <f>IF(PROGRAMA_DETALLE!Q478="","",PROGRAMA_DETALLE!Q478)</f>
        <v/>
      </c>
      <c r="C1178" s="84" t="str">
        <f>IF(PROGRAMA_DETALLE!A478="","","Tintorería")</f>
        <v/>
      </c>
      <c r="D1178" s="94" t="str">
        <f>IF(PROGRAMA_DETALLE!AB478="","",PROGRAMA_DETALLE!AB478)</f>
        <v/>
      </c>
      <c r="E1178" s="84" t="str">
        <f>IF(PROGRAMA_DETALLE!A478="","","Teñido "&amp;PROGRAMA_DETALLE!D478&amp;" "&amp;PROGRAMA_DETALLE!B478)</f>
        <v/>
      </c>
      <c r="F1178" s="95" t="str">
        <f>IF(PROGRAMA_DETALLE!Z478=0,"",PROGRAMA_DETALLE!Z478)</f>
        <v/>
      </c>
      <c r="G1178" s="95">
        <f>IF(PROGRAMA_DETALLE!AC478="PAGADO",PROGRAMA_DETALLE!Z478,0)</f>
        <v>0</v>
      </c>
      <c r="H1178" s="95">
        <f>IF(OR(PROGRAMA_DETALLE!AC478="PENDIENTE",PROGRAMA_DETALLE!AC478="PARCIAL"),PROGRAMA_DETALLE!Z478,0)</f>
        <v>0</v>
      </c>
      <c r="I1178" s="94" t="str">
        <f>IF(PROGRAMA_DETALLE!AC478="","",PROGRAMA_DETALLE!AC478)</f>
        <v/>
      </c>
    </row>
    <row r="1179" ht="15.75" customHeight="1">
      <c r="A1179" s="96" t="s">
        <v>236</v>
      </c>
      <c r="B1179" s="93" t="str">
        <f>IF(PROGRAMA_DETALLE!Q479="","",PROGRAMA_DETALLE!Q479)</f>
        <v/>
      </c>
      <c r="C1179" s="84" t="str">
        <f>IF(PROGRAMA_DETALLE!A479="","","Tintorería")</f>
        <v/>
      </c>
      <c r="D1179" s="94" t="str">
        <f>IF(PROGRAMA_DETALLE!AB479="","",PROGRAMA_DETALLE!AB479)</f>
        <v/>
      </c>
      <c r="E1179" s="84" t="str">
        <f>IF(PROGRAMA_DETALLE!A479="","","Teñido "&amp;PROGRAMA_DETALLE!D479&amp;" "&amp;PROGRAMA_DETALLE!B479)</f>
        <v/>
      </c>
      <c r="F1179" s="95" t="str">
        <f>IF(PROGRAMA_DETALLE!Z479=0,"",PROGRAMA_DETALLE!Z479)</f>
        <v/>
      </c>
      <c r="G1179" s="95">
        <f>IF(PROGRAMA_DETALLE!AC479="PAGADO",PROGRAMA_DETALLE!Z479,0)</f>
        <v>0</v>
      </c>
      <c r="H1179" s="95">
        <f>IF(OR(PROGRAMA_DETALLE!AC479="PENDIENTE",PROGRAMA_DETALLE!AC479="PARCIAL"),PROGRAMA_DETALLE!Z479,0)</f>
        <v>0</v>
      </c>
      <c r="I1179" s="94" t="str">
        <f>IF(PROGRAMA_DETALLE!AC479="","",PROGRAMA_DETALLE!AC479)</f>
        <v/>
      </c>
    </row>
    <row r="1180" ht="15.75" customHeight="1">
      <c r="A1180" s="96" t="s">
        <v>236</v>
      </c>
      <c r="B1180" s="93" t="str">
        <f>IF(PROGRAMA_DETALLE!Q480="","",PROGRAMA_DETALLE!Q480)</f>
        <v/>
      </c>
      <c r="C1180" s="84" t="str">
        <f>IF(PROGRAMA_DETALLE!A480="","","Tintorería")</f>
        <v/>
      </c>
      <c r="D1180" s="94" t="str">
        <f>IF(PROGRAMA_DETALLE!AB480="","",PROGRAMA_DETALLE!AB480)</f>
        <v/>
      </c>
      <c r="E1180" s="84" t="str">
        <f>IF(PROGRAMA_DETALLE!A480="","","Teñido "&amp;PROGRAMA_DETALLE!D480&amp;" "&amp;PROGRAMA_DETALLE!B480)</f>
        <v/>
      </c>
      <c r="F1180" s="95" t="str">
        <f>IF(PROGRAMA_DETALLE!Z480=0,"",PROGRAMA_DETALLE!Z480)</f>
        <v/>
      </c>
      <c r="G1180" s="95">
        <f>IF(PROGRAMA_DETALLE!AC480="PAGADO",PROGRAMA_DETALLE!Z480,0)</f>
        <v>0</v>
      </c>
      <c r="H1180" s="95">
        <f>IF(OR(PROGRAMA_DETALLE!AC480="PENDIENTE",PROGRAMA_DETALLE!AC480="PARCIAL"),PROGRAMA_DETALLE!Z480,0)</f>
        <v>0</v>
      </c>
      <c r="I1180" s="94" t="str">
        <f>IF(PROGRAMA_DETALLE!AC480="","",PROGRAMA_DETALLE!AC480)</f>
        <v/>
      </c>
    </row>
    <row r="1181" ht="15.75" customHeight="1">
      <c r="A1181" s="96" t="s">
        <v>236</v>
      </c>
      <c r="B1181" s="93" t="str">
        <f>IF(PROGRAMA_DETALLE!Q481="","",PROGRAMA_DETALLE!Q481)</f>
        <v/>
      </c>
      <c r="C1181" s="84" t="str">
        <f>IF(PROGRAMA_DETALLE!A481="","","Tintorería")</f>
        <v/>
      </c>
      <c r="D1181" s="94" t="str">
        <f>IF(PROGRAMA_DETALLE!AB481="","",PROGRAMA_DETALLE!AB481)</f>
        <v/>
      </c>
      <c r="E1181" s="84" t="str">
        <f>IF(PROGRAMA_DETALLE!A481="","","Teñido "&amp;PROGRAMA_DETALLE!D481&amp;" "&amp;PROGRAMA_DETALLE!B481)</f>
        <v/>
      </c>
      <c r="F1181" s="95" t="str">
        <f>IF(PROGRAMA_DETALLE!Z481=0,"",PROGRAMA_DETALLE!Z481)</f>
        <v/>
      </c>
      <c r="G1181" s="95">
        <f>IF(PROGRAMA_DETALLE!AC481="PAGADO",PROGRAMA_DETALLE!Z481,0)</f>
        <v>0</v>
      </c>
      <c r="H1181" s="95">
        <f>IF(OR(PROGRAMA_DETALLE!AC481="PENDIENTE",PROGRAMA_DETALLE!AC481="PARCIAL"),PROGRAMA_DETALLE!Z481,0)</f>
        <v>0</v>
      </c>
      <c r="I1181" s="94" t="str">
        <f>IF(PROGRAMA_DETALLE!AC481="","",PROGRAMA_DETALLE!AC481)</f>
        <v/>
      </c>
    </row>
    <row r="1182" ht="15.75" customHeight="1">
      <c r="A1182" s="96" t="s">
        <v>236</v>
      </c>
      <c r="B1182" s="93" t="str">
        <f>IF(PROGRAMA_DETALLE!Q482="","",PROGRAMA_DETALLE!Q482)</f>
        <v/>
      </c>
      <c r="C1182" s="84" t="str">
        <f>IF(PROGRAMA_DETALLE!A482="","","Tintorería")</f>
        <v/>
      </c>
      <c r="D1182" s="94" t="str">
        <f>IF(PROGRAMA_DETALLE!AB482="","",PROGRAMA_DETALLE!AB482)</f>
        <v/>
      </c>
      <c r="E1182" s="84" t="str">
        <f>IF(PROGRAMA_DETALLE!A482="","","Teñido "&amp;PROGRAMA_DETALLE!D482&amp;" "&amp;PROGRAMA_DETALLE!B482)</f>
        <v/>
      </c>
      <c r="F1182" s="95" t="str">
        <f>IF(PROGRAMA_DETALLE!Z482=0,"",PROGRAMA_DETALLE!Z482)</f>
        <v/>
      </c>
      <c r="G1182" s="95">
        <f>IF(PROGRAMA_DETALLE!AC482="PAGADO",PROGRAMA_DETALLE!Z482,0)</f>
        <v>0</v>
      </c>
      <c r="H1182" s="95">
        <f>IF(OR(PROGRAMA_DETALLE!AC482="PENDIENTE",PROGRAMA_DETALLE!AC482="PARCIAL"),PROGRAMA_DETALLE!Z482,0)</f>
        <v>0</v>
      </c>
      <c r="I1182" s="94" t="str">
        <f>IF(PROGRAMA_DETALLE!AC482="","",PROGRAMA_DETALLE!AC482)</f>
        <v/>
      </c>
    </row>
    <row r="1183" ht="15.75" customHeight="1">
      <c r="A1183" s="96" t="s">
        <v>236</v>
      </c>
      <c r="B1183" s="93" t="str">
        <f>IF(PROGRAMA_DETALLE!Q483="","",PROGRAMA_DETALLE!Q483)</f>
        <v/>
      </c>
      <c r="C1183" s="84" t="str">
        <f>IF(PROGRAMA_DETALLE!A483="","","Tintorería")</f>
        <v/>
      </c>
      <c r="D1183" s="94" t="str">
        <f>IF(PROGRAMA_DETALLE!AB483="","",PROGRAMA_DETALLE!AB483)</f>
        <v/>
      </c>
      <c r="E1183" s="84" t="str">
        <f>IF(PROGRAMA_DETALLE!A483="","","Teñido "&amp;PROGRAMA_DETALLE!D483&amp;" "&amp;PROGRAMA_DETALLE!B483)</f>
        <v/>
      </c>
      <c r="F1183" s="95" t="str">
        <f>IF(PROGRAMA_DETALLE!Z483=0,"",PROGRAMA_DETALLE!Z483)</f>
        <v/>
      </c>
      <c r="G1183" s="95">
        <f>IF(PROGRAMA_DETALLE!AC483="PAGADO",PROGRAMA_DETALLE!Z483,0)</f>
        <v>0</v>
      </c>
      <c r="H1183" s="95">
        <f>IF(OR(PROGRAMA_DETALLE!AC483="PENDIENTE",PROGRAMA_DETALLE!AC483="PARCIAL"),PROGRAMA_DETALLE!Z483,0)</f>
        <v>0</v>
      </c>
      <c r="I1183" s="94" t="str">
        <f>IF(PROGRAMA_DETALLE!AC483="","",PROGRAMA_DETALLE!AC483)</f>
        <v/>
      </c>
    </row>
    <row r="1184" ht="15.75" customHeight="1">
      <c r="A1184" s="96" t="s">
        <v>236</v>
      </c>
      <c r="B1184" s="93" t="str">
        <f>IF(PROGRAMA_DETALLE!Q484="","",PROGRAMA_DETALLE!Q484)</f>
        <v/>
      </c>
      <c r="C1184" s="84" t="str">
        <f>IF(PROGRAMA_DETALLE!A484="","","Tintorería")</f>
        <v/>
      </c>
      <c r="D1184" s="94" t="str">
        <f>IF(PROGRAMA_DETALLE!AB484="","",PROGRAMA_DETALLE!AB484)</f>
        <v/>
      </c>
      <c r="E1184" s="84" t="str">
        <f>IF(PROGRAMA_DETALLE!A484="","","Teñido "&amp;PROGRAMA_DETALLE!D484&amp;" "&amp;PROGRAMA_DETALLE!B484)</f>
        <v/>
      </c>
      <c r="F1184" s="95" t="str">
        <f>IF(PROGRAMA_DETALLE!Z484=0,"",PROGRAMA_DETALLE!Z484)</f>
        <v/>
      </c>
      <c r="G1184" s="95">
        <f>IF(PROGRAMA_DETALLE!AC484="PAGADO",PROGRAMA_DETALLE!Z484,0)</f>
        <v>0</v>
      </c>
      <c r="H1184" s="95">
        <f>IF(OR(PROGRAMA_DETALLE!AC484="PENDIENTE",PROGRAMA_DETALLE!AC484="PARCIAL"),PROGRAMA_DETALLE!Z484,0)</f>
        <v>0</v>
      </c>
      <c r="I1184" s="94" t="str">
        <f>IF(PROGRAMA_DETALLE!AC484="","",PROGRAMA_DETALLE!AC484)</f>
        <v/>
      </c>
    </row>
    <row r="1185" ht="15.75" customHeight="1">
      <c r="A1185" s="96" t="s">
        <v>236</v>
      </c>
      <c r="B1185" s="93" t="str">
        <f>IF(PROGRAMA_DETALLE!Q485="","",PROGRAMA_DETALLE!Q485)</f>
        <v/>
      </c>
      <c r="C1185" s="84" t="str">
        <f>IF(PROGRAMA_DETALLE!A485="","","Tintorería")</f>
        <v/>
      </c>
      <c r="D1185" s="94" t="str">
        <f>IF(PROGRAMA_DETALLE!AB485="","",PROGRAMA_DETALLE!AB485)</f>
        <v/>
      </c>
      <c r="E1185" s="84" t="str">
        <f>IF(PROGRAMA_DETALLE!A485="","","Teñido "&amp;PROGRAMA_DETALLE!D485&amp;" "&amp;PROGRAMA_DETALLE!B485)</f>
        <v/>
      </c>
      <c r="F1185" s="95" t="str">
        <f>IF(PROGRAMA_DETALLE!Z485=0,"",PROGRAMA_DETALLE!Z485)</f>
        <v/>
      </c>
      <c r="G1185" s="95">
        <f>IF(PROGRAMA_DETALLE!AC485="PAGADO",PROGRAMA_DETALLE!Z485,0)</f>
        <v>0</v>
      </c>
      <c r="H1185" s="95">
        <f>IF(OR(PROGRAMA_DETALLE!AC485="PENDIENTE",PROGRAMA_DETALLE!AC485="PARCIAL"),PROGRAMA_DETALLE!Z485,0)</f>
        <v>0</v>
      </c>
      <c r="I1185" s="94" t="str">
        <f>IF(PROGRAMA_DETALLE!AC485="","",PROGRAMA_DETALLE!AC485)</f>
        <v/>
      </c>
    </row>
    <row r="1186" ht="15.75" customHeight="1">
      <c r="A1186" s="96" t="s">
        <v>236</v>
      </c>
      <c r="B1186" s="93" t="str">
        <f>IF(PROGRAMA_DETALLE!Q486="","",PROGRAMA_DETALLE!Q486)</f>
        <v/>
      </c>
      <c r="C1186" s="84" t="str">
        <f>IF(PROGRAMA_DETALLE!A486="","","Tintorería")</f>
        <v/>
      </c>
      <c r="D1186" s="94" t="str">
        <f>IF(PROGRAMA_DETALLE!AB486="","",PROGRAMA_DETALLE!AB486)</f>
        <v/>
      </c>
      <c r="E1186" s="84" t="str">
        <f>IF(PROGRAMA_DETALLE!A486="","","Teñido "&amp;PROGRAMA_DETALLE!D486&amp;" "&amp;PROGRAMA_DETALLE!B486)</f>
        <v/>
      </c>
      <c r="F1186" s="95" t="str">
        <f>IF(PROGRAMA_DETALLE!Z486=0,"",PROGRAMA_DETALLE!Z486)</f>
        <v/>
      </c>
      <c r="G1186" s="95">
        <f>IF(PROGRAMA_DETALLE!AC486="PAGADO",PROGRAMA_DETALLE!Z486,0)</f>
        <v>0</v>
      </c>
      <c r="H1186" s="95">
        <f>IF(OR(PROGRAMA_DETALLE!AC486="PENDIENTE",PROGRAMA_DETALLE!AC486="PARCIAL"),PROGRAMA_DETALLE!Z486,0)</f>
        <v>0</v>
      </c>
      <c r="I1186" s="94" t="str">
        <f>IF(PROGRAMA_DETALLE!AC486="","",PROGRAMA_DETALLE!AC486)</f>
        <v/>
      </c>
    </row>
    <row r="1187" ht="15.75" customHeight="1">
      <c r="A1187" s="96" t="s">
        <v>236</v>
      </c>
      <c r="B1187" s="93" t="str">
        <f>IF(PROGRAMA_DETALLE!Q487="","",PROGRAMA_DETALLE!Q487)</f>
        <v/>
      </c>
      <c r="C1187" s="84" t="str">
        <f>IF(PROGRAMA_DETALLE!A487="","","Tintorería")</f>
        <v/>
      </c>
      <c r="D1187" s="94" t="str">
        <f>IF(PROGRAMA_DETALLE!AB487="","",PROGRAMA_DETALLE!AB487)</f>
        <v/>
      </c>
      <c r="E1187" s="84" t="str">
        <f>IF(PROGRAMA_DETALLE!A487="","","Teñido "&amp;PROGRAMA_DETALLE!D487&amp;" "&amp;PROGRAMA_DETALLE!B487)</f>
        <v/>
      </c>
      <c r="F1187" s="95" t="str">
        <f>IF(PROGRAMA_DETALLE!Z487=0,"",PROGRAMA_DETALLE!Z487)</f>
        <v/>
      </c>
      <c r="G1187" s="95">
        <f>IF(PROGRAMA_DETALLE!AC487="PAGADO",PROGRAMA_DETALLE!Z487,0)</f>
        <v>0</v>
      </c>
      <c r="H1187" s="95">
        <f>IF(OR(PROGRAMA_DETALLE!AC487="PENDIENTE",PROGRAMA_DETALLE!AC487="PARCIAL"),PROGRAMA_DETALLE!Z487,0)</f>
        <v>0</v>
      </c>
      <c r="I1187" s="94" t="str">
        <f>IF(PROGRAMA_DETALLE!AC487="","",PROGRAMA_DETALLE!AC487)</f>
        <v/>
      </c>
    </row>
    <row r="1188" ht="15.75" customHeight="1">
      <c r="A1188" s="96" t="s">
        <v>236</v>
      </c>
      <c r="B1188" s="93" t="str">
        <f>IF(PROGRAMA_DETALLE!Q488="","",PROGRAMA_DETALLE!Q488)</f>
        <v/>
      </c>
      <c r="C1188" s="84" t="str">
        <f>IF(PROGRAMA_DETALLE!A488="","","Tintorería")</f>
        <v/>
      </c>
      <c r="D1188" s="94" t="str">
        <f>IF(PROGRAMA_DETALLE!AB488="","",PROGRAMA_DETALLE!AB488)</f>
        <v/>
      </c>
      <c r="E1188" s="84" t="str">
        <f>IF(PROGRAMA_DETALLE!A488="","","Teñido "&amp;PROGRAMA_DETALLE!D488&amp;" "&amp;PROGRAMA_DETALLE!B488)</f>
        <v/>
      </c>
      <c r="F1188" s="95" t="str">
        <f>IF(PROGRAMA_DETALLE!Z488=0,"",PROGRAMA_DETALLE!Z488)</f>
        <v/>
      </c>
      <c r="G1188" s="95">
        <f>IF(PROGRAMA_DETALLE!AC488="PAGADO",PROGRAMA_DETALLE!Z488,0)</f>
        <v>0</v>
      </c>
      <c r="H1188" s="95">
        <f>IF(OR(PROGRAMA_DETALLE!AC488="PENDIENTE",PROGRAMA_DETALLE!AC488="PARCIAL"),PROGRAMA_DETALLE!Z488,0)</f>
        <v>0</v>
      </c>
      <c r="I1188" s="94" t="str">
        <f>IF(PROGRAMA_DETALLE!AC488="","",PROGRAMA_DETALLE!AC488)</f>
        <v/>
      </c>
    </row>
    <row r="1189" ht="15.75" customHeight="1">
      <c r="A1189" s="96" t="s">
        <v>236</v>
      </c>
      <c r="B1189" s="93" t="str">
        <f>IF(PROGRAMA_DETALLE!Q489="","",PROGRAMA_DETALLE!Q489)</f>
        <v/>
      </c>
      <c r="C1189" s="84" t="str">
        <f>IF(PROGRAMA_DETALLE!A489="","","Tintorería")</f>
        <v/>
      </c>
      <c r="D1189" s="94" t="str">
        <f>IF(PROGRAMA_DETALLE!AB489="","",PROGRAMA_DETALLE!AB489)</f>
        <v/>
      </c>
      <c r="E1189" s="84" t="str">
        <f>IF(PROGRAMA_DETALLE!A489="","","Teñido "&amp;PROGRAMA_DETALLE!D489&amp;" "&amp;PROGRAMA_DETALLE!B489)</f>
        <v/>
      </c>
      <c r="F1189" s="95" t="str">
        <f>IF(PROGRAMA_DETALLE!Z489=0,"",PROGRAMA_DETALLE!Z489)</f>
        <v/>
      </c>
      <c r="G1189" s="95">
        <f>IF(PROGRAMA_DETALLE!AC489="PAGADO",PROGRAMA_DETALLE!Z489,0)</f>
        <v>0</v>
      </c>
      <c r="H1189" s="95">
        <f>IF(OR(PROGRAMA_DETALLE!AC489="PENDIENTE",PROGRAMA_DETALLE!AC489="PARCIAL"),PROGRAMA_DETALLE!Z489,0)</f>
        <v>0</v>
      </c>
      <c r="I1189" s="94" t="str">
        <f>IF(PROGRAMA_DETALLE!AC489="","",PROGRAMA_DETALLE!AC489)</f>
        <v/>
      </c>
    </row>
    <row r="1190" ht="15.75" customHeight="1">
      <c r="A1190" s="96" t="s">
        <v>236</v>
      </c>
      <c r="B1190" s="93" t="str">
        <f>IF(PROGRAMA_DETALLE!Q490="","",PROGRAMA_DETALLE!Q490)</f>
        <v/>
      </c>
      <c r="C1190" s="84" t="str">
        <f>IF(PROGRAMA_DETALLE!A490="","","Tintorería")</f>
        <v/>
      </c>
      <c r="D1190" s="94" t="str">
        <f>IF(PROGRAMA_DETALLE!AB490="","",PROGRAMA_DETALLE!AB490)</f>
        <v/>
      </c>
      <c r="E1190" s="84" t="str">
        <f>IF(PROGRAMA_DETALLE!A490="","","Teñido "&amp;PROGRAMA_DETALLE!D490&amp;" "&amp;PROGRAMA_DETALLE!B490)</f>
        <v/>
      </c>
      <c r="F1190" s="95" t="str">
        <f>IF(PROGRAMA_DETALLE!Z490=0,"",PROGRAMA_DETALLE!Z490)</f>
        <v/>
      </c>
      <c r="G1190" s="95">
        <f>IF(PROGRAMA_DETALLE!AC490="PAGADO",PROGRAMA_DETALLE!Z490,0)</f>
        <v>0</v>
      </c>
      <c r="H1190" s="95">
        <f>IF(OR(PROGRAMA_DETALLE!AC490="PENDIENTE",PROGRAMA_DETALLE!AC490="PARCIAL"),PROGRAMA_DETALLE!Z490,0)</f>
        <v>0</v>
      </c>
      <c r="I1190" s="94" t="str">
        <f>IF(PROGRAMA_DETALLE!AC490="","",PROGRAMA_DETALLE!AC490)</f>
        <v/>
      </c>
    </row>
    <row r="1191" ht="15.75" customHeight="1">
      <c r="A1191" s="96" t="s">
        <v>236</v>
      </c>
      <c r="B1191" s="93" t="str">
        <f>IF(PROGRAMA_DETALLE!Q491="","",PROGRAMA_DETALLE!Q491)</f>
        <v/>
      </c>
      <c r="C1191" s="84" t="str">
        <f>IF(PROGRAMA_DETALLE!A491="","","Tintorería")</f>
        <v/>
      </c>
      <c r="D1191" s="94" t="str">
        <f>IF(PROGRAMA_DETALLE!AB491="","",PROGRAMA_DETALLE!AB491)</f>
        <v/>
      </c>
      <c r="E1191" s="84" t="str">
        <f>IF(PROGRAMA_DETALLE!A491="","","Teñido "&amp;PROGRAMA_DETALLE!D491&amp;" "&amp;PROGRAMA_DETALLE!B491)</f>
        <v/>
      </c>
      <c r="F1191" s="95" t="str">
        <f>IF(PROGRAMA_DETALLE!Z491=0,"",PROGRAMA_DETALLE!Z491)</f>
        <v/>
      </c>
      <c r="G1191" s="95">
        <f>IF(PROGRAMA_DETALLE!AC491="PAGADO",PROGRAMA_DETALLE!Z491,0)</f>
        <v>0</v>
      </c>
      <c r="H1191" s="95">
        <f>IF(OR(PROGRAMA_DETALLE!AC491="PENDIENTE",PROGRAMA_DETALLE!AC491="PARCIAL"),PROGRAMA_DETALLE!Z491,0)</f>
        <v>0</v>
      </c>
      <c r="I1191" s="94" t="str">
        <f>IF(PROGRAMA_DETALLE!AC491="","",PROGRAMA_DETALLE!AC491)</f>
        <v/>
      </c>
    </row>
    <row r="1192" ht="15.75" customHeight="1">
      <c r="A1192" s="96" t="s">
        <v>236</v>
      </c>
      <c r="B1192" s="93" t="str">
        <f>IF(PROGRAMA_DETALLE!Q492="","",PROGRAMA_DETALLE!Q492)</f>
        <v/>
      </c>
      <c r="C1192" s="84" t="str">
        <f>IF(PROGRAMA_DETALLE!A492="","","Tintorería")</f>
        <v/>
      </c>
      <c r="D1192" s="94" t="str">
        <f>IF(PROGRAMA_DETALLE!AB492="","",PROGRAMA_DETALLE!AB492)</f>
        <v/>
      </c>
      <c r="E1192" s="84" t="str">
        <f>IF(PROGRAMA_DETALLE!A492="","","Teñido "&amp;PROGRAMA_DETALLE!D492&amp;" "&amp;PROGRAMA_DETALLE!B492)</f>
        <v/>
      </c>
      <c r="F1192" s="95" t="str">
        <f>IF(PROGRAMA_DETALLE!Z492=0,"",PROGRAMA_DETALLE!Z492)</f>
        <v/>
      </c>
      <c r="G1192" s="95">
        <f>IF(PROGRAMA_DETALLE!AC492="PAGADO",PROGRAMA_DETALLE!Z492,0)</f>
        <v>0</v>
      </c>
      <c r="H1192" s="95">
        <f>IF(OR(PROGRAMA_DETALLE!AC492="PENDIENTE",PROGRAMA_DETALLE!AC492="PARCIAL"),PROGRAMA_DETALLE!Z492,0)</f>
        <v>0</v>
      </c>
      <c r="I1192" s="94" t="str">
        <f>IF(PROGRAMA_DETALLE!AC492="","",PROGRAMA_DETALLE!AC492)</f>
        <v/>
      </c>
    </row>
    <row r="1193" ht="15.75" customHeight="1">
      <c r="A1193" s="96" t="s">
        <v>236</v>
      </c>
      <c r="B1193" s="93" t="str">
        <f>IF(PROGRAMA_DETALLE!Q493="","",PROGRAMA_DETALLE!Q493)</f>
        <v/>
      </c>
      <c r="C1193" s="84" t="str">
        <f>IF(PROGRAMA_DETALLE!A493="","","Tintorería")</f>
        <v/>
      </c>
      <c r="D1193" s="94" t="str">
        <f>IF(PROGRAMA_DETALLE!AB493="","",PROGRAMA_DETALLE!AB493)</f>
        <v/>
      </c>
      <c r="E1193" s="84" t="str">
        <f>IF(PROGRAMA_DETALLE!A493="","","Teñido "&amp;PROGRAMA_DETALLE!D493&amp;" "&amp;PROGRAMA_DETALLE!B493)</f>
        <v/>
      </c>
      <c r="F1193" s="95" t="str">
        <f>IF(PROGRAMA_DETALLE!Z493=0,"",PROGRAMA_DETALLE!Z493)</f>
        <v/>
      </c>
      <c r="G1193" s="95">
        <f>IF(PROGRAMA_DETALLE!AC493="PAGADO",PROGRAMA_DETALLE!Z493,0)</f>
        <v>0</v>
      </c>
      <c r="H1193" s="95">
        <f>IF(OR(PROGRAMA_DETALLE!AC493="PENDIENTE",PROGRAMA_DETALLE!AC493="PARCIAL"),PROGRAMA_DETALLE!Z493,0)</f>
        <v>0</v>
      </c>
      <c r="I1193" s="94" t="str">
        <f>IF(PROGRAMA_DETALLE!AC493="","",PROGRAMA_DETALLE!AC493)</f>
        <v/>
      </c>
    </row>
    <row r="1194" ht="15.75" customHeight="1">
      <c r="A1194" s="96" t="s">
        <v>236</v>
      </c>
      <c r="B1194" s="93" t="str">
        <f>IF(PROGRAMA_DETALLE!Q494="","",PROGRAMA_DETALLE!Q494)</f>
        <v/>
      </c>
      <c r="C1194" s="84" t="str">
        <f>IF(PROGRAMA_DETALLE!A494="","","Tintorería")</f>
        <v/>
      </c>
      <c r="D1194" s="94" t="str">
        <f>IF(PROGRAMA_DETALLE!AB494="","",PROGRAMA_DETALLE!AB494)</f>
        <v/>
      </c>
      <c r="E1194" s="84" t="str">
        <f>IF(PROGRAMA_DETALLE!A494="","","Teñido "&amp;PROGRAMA_DETALLE!D494&amp;" "&amp;PROGRAMA_DETALLE!B494)</f>
        <v/>
      </c>
      <c r="F1194" s="95" t="str">
        <f>IF(PROGRAMA_DETALLE!Z494=0,"",PROGRAMA_DETALLE!Z494)</f>
        <v/>
      </c>
      <c r="G1194" s="95">
        <f>IF(PROGRAMA_DETALLE!AC494="PAGADO",PROGRAMA_DETALLE!Z494,0)</f>
        <v>0</v>
      </c>
      <c r="H1194" s="95">
        <f>IF(OR(PROGRAMA_DETALLE!AC494="PENDIENTE",PROGRAMA_DETALLE!AC494="PARCIAL"),PROGRAMA_DETALLE!Z494,0)</f>
        <v>0</v>
      </c>
      <c r="I1194" s="94" t="str">
        <f>IF(PROGRAMA_DETALLE!AC494="","",PROGRAMA_DETALLE!AC494)</f>
        <v/>
      </c>
    </row>
    <row r="1195" ht="15.75" customHeight="1">
      <c r="A1195" s="96" t="s">
        <v>236</v>
      </c>
      <c r="B1195" s="93" t="str">
        <f>IF(PROGRAMA_DETALLE!Q495="","",PROGRAMA_DETALLE!Q495)</f>
        <v/>
      </c>
      <c r="C1195" s="84" t="str">
        <f>IF(PROGRAMA_DETALLE!A495="","","Tintorería")</f>
        <v/>
      </c>
      <c r="D1195" s="94" t="str">
        <f>IF(PROGRAMA_DETALLE!AB495="","",PROGRAMA_DETALLE!AB495)</f>
        <v/>
      </c>
      <c r="E1195" s="84" t="str">
        <f>IF(PROGRAMA_DETALLE!A495="","","Teñido "&amp;PROGRAMA_DETALLE!D495&amp;" "&amp;PROGRAMA_DETALLE!B495)</f>
        <v/>
      </c>
      <c r="F1195" s="95" t="str">
        <f>IF(PROGRAMA_DETALLE!Z495=0,"",PROGRAMA_DETALLE!Z495)</f>
        <v/>
      </c>
      <c r="G1195" s="95">
        <f>IF(PROGRAMA_DETALLE!AC495="PAGADO",PROGRAMA_DETALLE!Z495,0)</f>
        <v>0</v>
      </c>
      <c r="H1195" s="95">
        <f>IF(OR(PROGRAMA_DETALLE!AC495="PENDIENTE",PROGRAMA_DETALLE!AC495="PARCIAL"),PROGRAMA_DETALLE!Z495,0)</f>
        <v>0</v>
      </c>
      <c r="I1195" s="94" t="str">
        <f>IF(PROGRAMA_DETALLE!AC495="","",PROGRAMA_DETALLE!AC495)</f>
        <v/>
      </c>
    </row>
    <row r="1196" ht="15.75" customHeight="1">
      <c r="A1196" s="96" t="s">
        <v>236</v>
      </c>
      <c r="B1196" s="93" t="str">
        <f>IF(PROGRAMA_DETALLE!Q496="","",PROGRAMA_DETALLE!Q496)</f>
        <v/>
      </c>
      <c r="C1196" s="84" t="str">
        <f>IF(PROGRAMA_DETALLE!A496="","","Tintorería")</f>
        <v/>
      </c>
      <c r="D1196" s="94" t="str">
        <f>IF(PROGRAMA_DETALLE!AB496="","",PROGRAMA_DETALLE!AB496)</f>
        <v/>
      </c>
      <c r="E1196" s="84" t="str">
        <f>IF(PROGRAMA_DETALLE!A496="","","Teñido "&amp;PROGRAMA_DETALLE!D496&amp;" "&amp;PROGRAMA_DETALLE!B496)</f>
        <v/>
      </c>
      <c r="F1196" s="95" t="str">
        <f>IF(PROGRAMA_DETALLE!Z496=0,"",PROGRAMA_DETALLE!Z496)</f>
        <v/>
      </c>
      <c r="G1196" s="95">
        <f>IF(PROGRAMA_DETALLE!AC496="PAGADO",PROGRAMA_DETALLE!Z496,0)</f>
        <v>0</v>
      </c>
      <c r="H1196" s="95">
        <f>IF(OR(PROGRAMA_DETALLE!AC496="PENDIENTE",PROGRAMA_DETALLE!AC496="PARCIAL"),PROGRAMA_DETALLE!Z496,0)</f>
        <v>0</v>
      </c>
      <c r="I1196" s="94" t="str">
        <f>IF(PROGRAMA_DETALLE!AC496="","",PROGRAMA_DETALLE!AC496)</f>
        <v/>
      </c>
    </row>
    <row r="1197" ht="15.75" customHeight="1">
      <c r="A1197" s="96" t="s">
        <v>236</v>
      </c>
      <c r="B1197" s="93" t="str">
        <f>IF(PROGRAMA_DETALLE!Q497="","",PROGRAMA_DETALLE!Q497)</f>
        <v/>
      </c>
      <c r="C1197" s="84" t="str">
        <f>IF(PROGRAMA_DETALLE!A497="","","Tintorería")</f>
        <v/>
      </c>
      <c r="D1197" s="94" t="str">
        <f>IF(PROGRAMA_DETALLE!AB497="","",PROGRAMA_DETALLE!AB497)</f>
        <v/>
      </c>
      <c r="E1197" s="84" t="str">
        <f>IF(PROGRAMA_DETALLE!A497="","","Teñido "&amp;PROGRAMA_DETALLE!D497&amp;" "&amp;PROGRAMA_DETALLE!B497)</f>
        <v/>
      </c>
      <c r="F1197" s="95" t="str">
        <f>IF(PROGRAMA_DETALLE!Z497=0,"",PROGRAMA_DETALLE!Z497)</f>
        <v/>
      </c>
      <c r="G1197" s="95">
        <f>IF(PROGRAMA_DETALLE!AC497="PAGADO",PROGRAMA_DETALLE!Z497,0)</f>
        <v>0</v>
      </c>
      <c r="H1197" s="95">
        <f>IF(OR(PROGRAMA_DETALLE!AC497="PENDIENTE",PROGRAMA_DETALLE!AC497="PARCIAL"),PROGRAMA_DETALLE!Z497,0)</f>
        <v>0</v>
      </c>
      <c r="I1197" s="94" t="str">
        <f>IF(PROGRAMA_DETALLE!AC497="","",PROGRAMA_DETALLE!AC497)</f>
        <v/>
      </c>
    </row>
    <row r="1198" ht="15.75" customHeight="1">
      <c r="A1198" s="96" t="s">
        <v>236</v>
      </c>
      <c r="B1198" s="93" t="str">
        <f>IF(PROGRAMA_DETALLE!Q498="","",PROGRAMA_DETALLE!Q498)</f>
        <v/>
      </c>
      <c r="C1198" s="84" t="str">
        <f>IF(PROGRAMA_DETALLE!A498="","","Tintorería")</f>
        <v/>
      </c>
      <c r="D1198" s="94" t="str">
        <f>IF(PROGRAMA_DETALLE!AB498="","",PROGRAMA_DETALLE!AB498)</f>
        <v/>
      </c>
      <c r="E1198" s="84" t="str">
        <f>IF(PROGRAMA_DETALLE!A498="","","Teñido "&amp;PROGRAMA_DETALLE!D498&amp;" "&amp;PROGRAMA_DETALLE!B498)</f>
        <v/>
      </c>
      <c r="F1198" s="95" t="str">
        <f>IF(PROGRAMA_DETALLE!Z498=0,"",PROGRAMA_DETALLE!Z498)</f>
        <v/>
      </c>
      <c r="G1198" s="95">
        <f>IF(PROGRAMA_DETALLE!AC498="PAGADO",PROGRAMA_DETALLE!Z498,0)</f>
        <v>0</v>
      </c>
      <c r="H1198" s="95">
        <f>IF(OR(PROGRAMA_DETALLE!AC498="PENDIENTE",PROGRAMA_DETALLE!AC498="PARCIAL"),PROGRAMA_DETALLE!Z498,0)</f>
        <v>0</v>
      </c>
      <c r="I1198" s="94" t="str">
        <f>IF(PROGRAMA_DETALLE!AC498="","",PROGRAMA_DETALLE!AC498)</f>
        <v/>
      </c>
    </row>
    <row r="1199" ht="15.75" customHeight="1">
      <c r="A1199" s="96" t="s">
        <v>236</v>
      </c>
      <c r="B1199" s="93" t="str">
        <f>IF(PROGRAMA_DETALLE!Q499="","",PROGRAMA_DETALLE!Q499)</f>
        <v/>
      </c>
      <c r="C1199" s="84" t="str">
        <f>IF(PROGRAMA_DETALLE!A499="","","Tintorería")</f>
        <v/>
      </c>
      <c r="D1199" s="94" t="str">
        <f>IF(PROGRAMA_DETALLE!AB499="","",PROGRAMA_DETALLE!AB499)</f>
        <v/>
      </c>
      <c r="E1199" s="84" t="str">
        <f>IF(PROGRAMA_DETALLE!A499="","","Teñido "&amp;PROGRAMA_DETALLE!D499&amp;" "&amp;PROGRAMA_DETALLE!B499)</f>
        <v/>
      </c>
      <c r="F1199" s="95" t="str">
        <f>IF(PROGRAMA_DETALLE!Z499=0,"",PROGRAMA_DETALLE!Z499)</f>
        <v/>
      </c>
      <c r="G1199" s="95">
        <f>IF(PROGRAMA_DETALLE!AC499="PAGADO",PROGRAMA_DETALLE!Z499,0)</f>
        <v>0</v>
      </c>
      <c r="H1199" s="95">
        <f>IF(OR(PROGRAMA_DETALLE!AC499="PENDIENTE",PROGRAMA_DETALLE!AC499="PARCIAL"),PROGRAMA_DETALLE!Z499,0)</f>
        <v>0</v>
      </c>
      <c r="I1199" s="94" t="str">
        <f>IF(PROGRAMA_DETALLE!AC499="","",PROGRAMA_DETALLE!AC499)</f>
        <v/>
      </c>
    </row>
    <row r="1200" ht="15.75" customHeight="1">
      <c r="A1200" s="96" t="s">
        <v>236</v>
      </c>
      <c r="B1200" s="93" t="str">
        <f>IF(PROGRAMA_DETALLE!Q500="","",PROGRAMA_DETALLE!Q500)</f>
        <v/>
      </c>
      <c r="C1200" s="84" t="str">
        <f>IF(PROGRAMA_DETALLE!A500="","","Tintorería")</f>
        <v/>
      </c>
      <c r="D1200" s="94" t="str">
        <f>IF(PROGRAMA_DETALLE!AB500="","",PROGRAMA_DETALLE!AB500)</f>
        <v/>
      </c>
      <c r="E1200" s="84" t="str">
        <f>IF(PROGRAMA_DETALLE!A500="","","Teñido "&amp;PROGRAMA_DETALLE!D500&amp;" "&amp;PROGRAMA_DETALLE!B500)</f>
        <v/>
      </c>
      <c r="F1200" s="95" t="str">
        <f>IF(PROGRAMA_DETALLE!Z500=0,"",PROGRAMA_DETALLE!Z500)</f>
        <v/>
      </c>
      <c r="G1200" s="95">
        <f>IF(PROGRAMA_DETALLE!AC500="PAGADO",PROGRAMA_DETALLE!Z500,0)</f>
        <v>0</v>
      </c>
      <c r="H1200" s="95">
        <f>IF(OR(PROGRAMA_DETALLE!AC500="PENDIENTE",PROGRAMA_DETALLE!AC500="PARCIAL"),PROGRAMA_DETALLE!Z500,0)</f>
        <v>0</v>
      </c>
      <c r="I1200" s="94" t="str">
        <f>IF(PROGRAMA_DETALLE!AC500="","",PROGRAMA_DETALLE!AC500)</f>
        <v/>
      </c>
    </row>
    <row r="1201" ht="15.75" customHeight="1">
      <c r="A1201" s="96" t="s">
        <v>236</v>
      </c>
      <c r="B1201" s="93" t="str">
        <f>IF(PROGRAMA_DETALLE!Q501="","",PROGRAMA_DETALLE!Q501)</f>
        <v/>
      </c>
      <c r="C1201" s="84" t="str">
        <f>IF(PROGRAMA_DETALLE!A501="","","Tintorería")</f>
        <v/>
      </c>
      <c r="D1201" s="94" t="str">
        <f>IF(PROGRAMA_DETALLE!AB501="","",PROGRAMA_DETALLE!AB501)</f>
        <v/>
      </c>
      <c r="E1201" s="84" t="str">
        <f>IF(PROGRAMA_DETALLE!A501="","","Teñido "&amp;PROGRAMA_DETALLE!D501&amp;" "&amp;PROGRAMA_DETALLE!B501)</f>
        <v/>
      </c>
      <c r="F1201" s="95" t="str">
        <f>IF(PROGRAMA_DETALLE!Z501=0,"",PROGRAMA_DETALLE!Z501)</f>
        <v/>
      </c>
      <c r="G1201" s="95">
        <f>IF(PROGRAMA_DETALLE!AC501="PAGADO",PROGRAMA_DETALLE!Z501,0)</f>
        <v>0</v>
      </c>
      <c r="H1201" s="95">
        <f>IF(OR(PROGRAMA_DETALLE!AC501="PENDIENTE",PROGRAMA_DETALLE!AC501="PARCIAL"),PROGRAMA_DETALLE!Z501,0)</f>
        <v>0</v>
      </c>
      <c r="I1201" s="94" t="str">
        <f>IF(PROGRAMA_DETALLE!AC501="","",PROGRAMA_DETALLE!AC501)</f>
        <v/>
      </c>
    </row>
    <row r="1202" ht="15.75" customHeight="1">
      <c r="A1202" s="96" t="s">
        <v>236</v>
      </c>
      <c r="B1202" s="93" t="str">
        <f>IF(PROGRAMA_DETALLE!Q502="","",PROGRAMA_DETALLE!Q502)</f>
        <v/>
      </c>
      <c r="C1202" s="84" t="str">
        <f>IF(PROGRAMA_DETALLE!A502="","","Tintorería")</f>
        <v/>
      </c>
      <c r="D1202" s="94" t="str">
        <f>IF(PROGRAMA_DETALLE!AB502="","",PROGRAMA_DETALLE!AB502)</f>
        <v/>
      </c>
      <c r="E1202" s="84" t="str">
        <f>IF(PROGRAMA_DETALLE!A502="","","Teñido "&amp;PROGRAMA_DETALLE!D502&amp;" "&amp;PROGRAMA_DETALLE!B502)</f>
        <v/>
      </c>
      <c r="F1202" s="95" t="str">
        <f>IF(PROGRAMA_DETALLE!Z502=0,"",PROGRAMA_DETALLE!Z502)</f>
        <v/>
      </c>
      <c r="G1202" s="95">
        <f>IF(PROGRAMA_DETALLE!AC502="PAGADO",PROGRAMA_DETALLE!Z502,0)</f>
        <v>0</v>
      </c>
      <c r="H1202" s="95">
        <f>IF(OR(PROGRAMA_DETALLE!AC502="PENDIENTE",PROGRAMA_DETALLE!AC502="PARCIAL"),PROGRAMA_DETALLE!Z502,0)</f>
        <v>0</v>
      </c>
      <c r="I1202" s="94" t="str">
        <f>IF(PROGRAMA_DETALLE!AC502="","",PROGRAMA_DETALLE!AC502)</f>
        <v/>
      </c>
    </row>
    <row r="1203" ht="15.75" customHeight="1">
      <c r="A1203" s="96" t="s">
        <v>236</v>
      </c>
      <c r="B1203" s="93" t="str">
        <f>IF(PROGRAMA_DETALLE!Q503="","",PROGRAMA_DETALLE!Q503)</f>
        <v/>
      </c>
      <c r="C1203" s="84" t="str">
        <f>IF(PROGRAMA_DETALLE!A503="","","Tintorería")</f>
        <v/>
      </c>
      <c r="D1203" s="94" t="str">
        <f>IF(PROGRAMA_DETALLE!AB503="","",PROGRAMA_DETALLE!AB503)</f>
        <v/>
      </c>
      <c r="E1203" s="84" t="str">
        <f>IF(PROGRAMA_DETALLE!A503="","","Teñido "&amp;PROGRAMA_DETALLE!D503&amp;" "&amp;PROGRAMA_DETALLE!B503)</f>
        <v/>
      </c>
      <c r="F1203" s="95" t="str">
        <f>IF(PROGRAMA_DETALLE!Z503=0,"",PROGRAMA_DETALLE!Z503)</f>
        <v/>
      </c>
      <c r="G1203" s="95">
        <f>IF(PROGRAMA_DETALLE!AC503="PAGADO",PROGRAMA_DETALLE!Z503,0)</f>
        <v>0</v>
      </c>
      <c r="H1203" s="95">
        <f>IF(OR(PROGRAMA_DETALLE!AC503="PENDIENTE",PROGRAMA_DETALLE!AC503="PARCIAL"),PROGRAMA_DETALLE!Z503,0)</f>
        <v>0</v>
      </c>
      <c r="I1203" s="94" t="str">
        <f>IF(PROGRAMA_DETALLE!AC503="","",PROGRAMA_DETALLE!AC503)</f>
        <v/>
      </c>
    </row>
  </sheetData>
  <autoFilter ref="$A$3:$I$1203"/>
  <mergeCells count="2">
    <mergeCell ref="A1:I1"/>
    <mergeCell ref="A2:I2"/>
  </mergeCells>
  <conditionalFormatting sqref="I4:I1203">
    <cfRule type="expression" dxfId="4" priority="1">
      <formula>I4="PAGADO"</formula>
    </cfRule>
  </conditionalFormatting>
  <conditionalFormatting sqref="I4:I1203">
    <cfRule type="expression" dxfId="6" priority="2">
      <formula>I4="PENDIENTE"</formula>
    </cfRule>
  </conditionalFormatting>
  <conditionalFormatting sqref="I4:I1203">
    <cfRule type="expression" dxfId="1" priority="3">
      <formula>I4="PARCIAL"</formula>
    </cfRule>
  </conditionalFormatting>
  <conditionalFormatting sqref="I4:I1203">
    <cfRule type="expression" dxfId="5" priority="4">
      <formula>I4="ANULADO"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18.0"/>
    <col customWidth="1" min="3" max="8" width="14.0"/>
    <col customWidth="1" min="9" max="9" width="11.0"/>
    <col customWidth="1" min="10" max="11" width="14.0"/>
    <col customWidth="1" min="12" max="26" width="8.71"/>
  </cols>
  <sheetData>
    <row r="1" ht="27.75" customHeight="1">
      <c r="A1" s="62" t="s">
        <v>306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307</v>
      </c>
    </row>
    <row r="3" ht="27.75" customHeight="1">
      <c r="A3" s="97" t="s">
        <v>62</v>
      </c>
      <c r="B3" s="97" t="s">
        <v>5</v>
      </c>
      <c r="C3" s="97" t="s">
        <v>308</v>
      </c>
      <c r="D3" s="97" t="s">
        <v>309</v>
      </c>
      <c r="E3" s="97" t="s">
        <v>310</v>
      </c>
      <c r="F3" s="97" t="s">
        <v>311</v>
      </c>
      <c r="G3" s="97" t="s">
        <v>312</v>
      </c>
      <c r="H3" s="97" t="s">
        <v>313</v>
      </c>
      <c r="I3" s="97" t="s">
        <v>314</v>
      </c>
      <c r="J3" s="97" t="s">
        <v>315</v>
      </c>
      <c r="K3" s="97" t="s">
        <v>10</v>
      </c>
    </row>
    <row r="4">
      <c r="A4" s="98" t="str">
        <f>IF(PROGRAMAS!A4="","",PROGRAMAS!A4)</f>
        <v>PIQUE-001</v>
      </c>
      <c r="B4" s="99" t="str">
        <f>IF(PROGRAMAS!D4="","",PROGRAMAS!D4)</f>
        <v>Hilo 30/1 PC</v>
      </c>
      <c r="C4" s="12">
        <f>IF(PROGRAMAS!M4=0,"",PROGRAMAS!M4)</f>
        <v>1000</v>
      </c>
      <c r="D4" s="78">
        <f>IF(PROGRAMAS!N4=0,"",PROGRAMAS!N4)</f>
        <v>10500</v>
      </c>
      <c r="E4" s="78">
        <f>IFERROR(SUMIFS(PROGRAMA_DETALLE!$M$4:$M$503,PROGRAMA_DETALLE!$A$4:$A$503,A4),0)</f>
        <v>1775</v>
      </c>
      <c r="F4" s="78">
        <f>IFERROR(SUMIFS(PROGRAMA_DETALLE!$Z$4:$Z$503,PROGRAMA_DETALLE!$A$4:$A$503,A4),0)</f>
        <v>6629.175</v>
      </c>
      <c r="G4" s="100">
        <f>IF(PROGRAMAS!AE4=0,"",PROGRAMAS!AE4)</f>
        <v>19171.175</v>
      </c>
      <c r="H4" s="12">
        <f>IF(PROGRAMAS!W4=0,"",PROGRAMAS!W4)</f>
        <v>890</v>
      </c>
      <c r="I4" s="101">
        <f t="shared" ref="I4:I103" si="1">IFERROR((C4-H4)/C4,0)</f>
        <v>0.11</v>
      </c>
      <c r="J4" s="25">
        <f t="shared" ref="J4:J103" si="2">IFERROR(G4/H4,0)</f>
        <v>21.54064607</v>
      </c>
      <c r="K4" s="45" t="str">
        <f>IF(PROGRAMAS!I4="","",PROGRAMAS!I4)</f>
        <v>CERRADO</v>
      </c>
    </row>
    <row r="5">
      <c r="A5" s="98" t="str">
        <f>IF(PROGRAMAS!A5="","",PROGRAMAS!A5)</f>
        <v>FULL LYCRA 50/1-001</v>
      </c>
      <c r="B5" s="99" t="str">
        <f>IF(PROGRAMAS!D5="","",PROGRAMAS!D5)</f>
        <v>hilo 50/1 cotton +lycra 4%</v>
      </c>
      <c r="C5" s="12">
        <f>IF(PROGRAMAS!M5=0,"",PROGRAMAS!M5)</f>
        <v>500</v>
      </c>
      <c r="D5" s="78">
        <f>IF(PROGRAMAS!N5=0,"",PROGRAMAS!N5)</f>
        <v>9625</v>
      </c>
      <c r="E5" s="78">
        <f>IFERROR(SUMIFS(PROGRAMA_DETALLE!$M$4:$M$503,PROGRAMA_DETALLE!$A$4:$A$503,A5),0)</f>
        <v>0</v>
      </c>
      <c r="F5" s="78">
        <f>IFERROR(SUMIFS(PROGRAMA_DETALLE!$Z$4:$Z$503,PROGRAMA_DETALLE!$A$4:$A$503,A5),0)</f>
        <v>0</v>
      </c>
      <c r="G5" s="100">
        <f>IF(PROGRAMAS!AE5=0,"",PROGRAMAS!AE5)</f>
        <v>9625</v>
      </c>
      <c r="H5" s="12" t="str">
        <f>IF(PROGRAMAS!W5=0,"",PROGRAMAS!W5)</f>
        <v/>
      </c>
      <c r="I5" s="101">
        <f t="shared" si="1"/>
        <v>1</v>
      </c>
      <c r="J5" s="25">
        <f t="shared" si="2"/>
        <v>0</v>
      </c>
      <c r="K5" s="45" t="str">
        <f>IF(PROGRAMAS!I5="","",PROGRAMAS!I5)</f>
        <v>EN TEJEDURÍA</v>
      </c>
    </row>
    <row r="6">
      <c r="A6" s="98" t="str">
        <f>IF(PROGRAMAS!A6="","",PROGRAMAS!A6)</f>
        <v>frecnh terry - 001</v>
      </c>
      <c r="B6" s="99" t="str">
        <f>IF(PROGRAMAS!D6="","",PROGRAMAS!D6)</f>
        <v>Hilo 30/1 PC</v>
      </c>
      <c r="C6" s="12">
        <f>IF(PROGRAMAS!M6=0,"",PROGRAMAS!M6)</f>
        <v>3000</v>
      </c>
      <c r="D6" s="78">
        <f>IF(PROGRAMAS!N6=0,"",PROGRAMAS!N6)</f>
        <v>31050</v>
      </c>
      <c r="E6" s="78">
        <f>IFERROR(SUMIFS(PROGRAMA_DETALLE!$M$4:$M$503,PROGRAMA_DETALLE!$A$4:$A$503,A6),0)</f>
        <v>0</v>
      </c>
      <c r="F6" s="78">
        <f>IFERROR(SUMIFS(PROGRAMA_DETALLE!$Z$4:$Z$503,PROGRAMA_DETALLE!$A$4:$A$503,A6),0)</f>
        <v>0</v>
      </c>
      <c r="G6" s="100">
        <f>IF(PROGRAMAS!AE6=0,"",PROGRAMAS!AE6)</f>
        <v>31050</v>
      </c>
      <c r="H6" s="12" t="str">
        <f>IF(PROGRAMAS!W6=0,"",PROGRAMAS!W6)</f>
        <v/>
      </c>
      <c r="I6" s="101">
        <f t="shared" si="1"/>
        <v>1</v>
      </c>
      <c r="J6" s="25">
        <f t="shared" si="2"/>
        <v>0</v>
      </c>
      <c r="K6" s="45" t="str">
        <f>IF(PROGRAMAS!I6="","",PROGRAMAS!I6)</f>
        <v>EN TEJEDURÍA</v>
      </c>
    </row>
    <row r="7">
      <c r="A7" s="98" t="str">
        <f>IF(PROGRAMAS!A7="","",PROGRAMAS!A7)</f>
        <v>jersey algodon - 001</v>
      </c>
      <c r="B7" s="99" t="str">
        <f>IF(PROGRAMAS!D7="","",PROGRAMAS!D7)</f>
        <v>Hilo 30/1 ALGODON</v>
      </c>
      <c r="C7" s="12">
        <f>IF(PROGRAMAS!M7=0,"",PROGRAMAS!M7)</f>
        <v>660</v>
      </c>
      <c r="D7" s="78">
        <f>IF(PROGRAMAS!N7=0,"",PROGRAMAS!N7)</f>
        <v>9108</v>
      </c>
      <c r="E7" s="78">
        <f>IFERROR(SUMIFS(PROGRAMA_DETALLE!$M$4:$M$503,PROGRAMA_DETALLE!$A$4:$A$503,A7),0)</f>
        <v>0</v>
      </c>
      <c r="F7" s="78">
        <f>IFERROR(SUMIFS(PROGRAMA_DETALLE!$Z$4:$Z$503,PROGRAMA_DETALLE!$A$4:$A$503,A7),0)</f>
        <v>0</v>
      </c>
      <c r="G7" s="100">
        <f>IF(PROGRAMAS!AE7=0,"",PROGRAMAS!AE7)</f>
        <v>9108</v>
      </c>
      <c r="H7" s="12" t="str">
        <f>IF(PROGRAMAS!W7=0,"",PROGRAMAS!W7)</f>
        <v/>
      </c>
      <c r="I7" s="101">
        <f t="shared" si="1"/>
        <v>1</v>
      </c>
      <c r="J7" s="25">
        <f t="shared" si="2"/>
        <v>0</v>
      </c>
      <c r="K7" s="45" t="str">
        <f>IF(PROGRAMAS!I7="","",PROGRAMAS!I7)</f>
        <v>EN TINTORERÍA</v>
      </c>
    </row>
    <row r="8">
      <c r="A8" s="98" t="str">
        <f>IF(PROGRAMAS!A8="","",PROGRAMAS!A8)</f>
        <v>rib 1x1- jersey algodon -001</v>
      </c>
      <c r="B8" s="99" t="str">
        <f>IF(PROGRAMAS!D8="","",PROGRAMAS!D8)</f>
        <v>Hilo 30/1 ALGODON</v>
      </c>
      <c r="C8" s="12" t="str">
        <f>IF(PROGRAMAS!M8=0,"",PROGRAMAS!M8)</f>
        <v/>
      </c>
      <c r="D8" s="78" t="str">
        <f>IF(PROGRAMAS!N8=0,"",PROGRAMAS!N8)</f>
        <v/>
      </c>
      <c r="E8" s="78">
        <f>IFERROR(SUMIFS(PROGRAMA_DETALLE!$M$4:$M$503,PROGRAMA_DETALLE!$A$4:$A$503,A8),0)</f>
        <v>0</v>
      </c>
      <c r="F8" s="78">
        <f>IFERROR(SUMIFS(PROGRAMA_DETALLE!$Z$4:$Z$503,PROGRAMA_DETALLE!$A$4:$A$503,A8),0)</f>
        <v>0</v>
      </c>
      <c r="G8" s="100" t="str">
        <f>IF(PROGRAMAS!AE8=0,"",PROGRAMAS!AE8)</f>
        <v/>
      </c>
      <c r="H8" s="12" t="str">
        <f>IF(PROGRAMAS!W8=0,"",PROGRAMAS!W8)</f>
        <v/>
      </c>
      <c r="I8" s="101">
        <f t="shared" si="1"/>
        <v>0</v>
      </c>
      <c r="J8" s="25">
        <f t="shared" si="2"/>
        <v>0</v>
      </c>
      <c r="K8" s="45" t="str">
        <f>IF(PROGRAMAS!I8="","",PROGRAMAS!I8)</f>
        <v>EN TINTORERÍA</v>
      </c>
    </row>
    <row r="9">
      <c r="A9" s="98" t="str">
        <f>IF(PROGRAMAS!A9="","",PROGRAMAS!A9)</f>
        <v/>
      </c>
      <c r="B9" s="99" t="str">
        <f>IF(PROGRAMAS!D9="","",PROGRAMAS!D9)</f>
        <v/>
      </c>
      <c r="C9" s="12" t="str">
        <f>IF(PROGRAMAS!M9=0,"",PROGRAMAS!M9)</f>
        <v/>
      </c>
      <c r="D9" s="78" t="str">
        <f>IF(PROGRAMAS!N9=0,"",PROGRAMAS!N9)</f>
        <v/>
      </c>
      <c r="E9" s="78">
        <f>IFERROR(SUMIFS(PROGRAMA_DETALLE!$M$4:$M$503,PROGRAMA_DETALLE!$A$4:$A$503,A9),0)</f>
        <v>0</v>
      </c>
      <c r="F9" s="78">
        <f>IFERROR(SUMIFS(PROGRAMA_DETALLE!$Z$4:$Z$503,PROGRAMA_DETALLE!$A$4:$A$503,A9),0)</f>
        <v>0</v>
      </c>
      <c r="G9" s="100" t="str">
        <f>IF(PROGRAMAS!AE9=0,"",PROGRAMAS!AE9)</f>
        <v/>
      </c>
      <c r="H9" s="12" t="str">
        <f>IF(PROGRAMAS!W9=0,"",PROGRAMAS!W9)</f>
        <v/>
      </c>
      <c r="I9" s="101">
        <f t="shared" si="1"/>
        <v>0</v>
      </c>
      <c r="J9" s="25">
        <f t="shared" si="2"/>
        <v>0</v>
      </c>
      <c r="K9" s="45" t="str">
        <f>IF(PROGRAMAS!I9="","",PROGRAMAS!I9)</f>
        <v/>
      </c>
    </row>
    <row r="10">
      <c r="A10" s="98" t="str">
        <f>IF(PROGRAMAS!A10="","",PROGRAMAS!A10)</f>
        <v/>
      </c>
      <c r="B10" s="99" t="str">
        <f>IF(PROGRAMAS!D10="","",PROGRAMAS!D10)</f>
        <v/>
      </c>
      <c r="C10" s="12" t="str">
        <f>IF(PROGRAMAS!M10=0,"",PROGRAMAS!M10)</f>
        <v/>
      </c>
      <c r="D10" s="78" t="str">
        <f>IF(PROGRAMAS!N10=0,"",PROGRAMAS!N10)</f>
        <v/>
      </c>
      <c r="E10" s="78">
        <f>IFERROR(SUMIFS(PROGRAMA_DETALLE!$M$4:$M$503,PROGRAMA_DETALLE!$A$4:$A$503,A10),0)</f>
        <v>0</v>
      </c>
      <c r="F10" s="78">
        <f>IFERROR(SUMIFS(PROGRAMA_DETALLE!$Z$4:$Z$503,PROGRAMA_DETALLE!$A$4:$A$503,A10),0)</f>
        <v>0</v>
      </c>
      <c r="G10" s="100" t="str">
        <f>IF(PROGRAMAS!AE10=0,"",PROGRAMAS!AE10)</f>
        <v/>
      </c>
      <c r="H10" s="12" t="str">
        <f>IF(PROGRAMAS!W10=0,"",PROGRAMAS!W10)</f>
        <v/>
      </c>
      <c r="I10" s="101">
        <f t="shared" si="1"/>
        <v>0</v>
      </c>
      <c r="J10" s="25">
        <f t="shared" si="2"/>
        <v>0</v>
      </c>
      <c r="K10" s="45" t="str">
        <f>IF(PROGRAMAS!I10="","",PROGRAMAS!I10)</f>
        <v/>
      </c>
    </row>
    <row r="11">
      <c r="A11" s="98" t="str">
        <f>IF(PROGRAMAS!A11="","",PROGRAMAS!A11)</f>
        <v/>
      </c>
      <c r="B11" s="99" t="str">
        <f>IF(PROGRAMAS!D11="","",PROGRAMAS!D11)</f>
        <v/>
      </c>
      <c r="C11" s="12" t="str">
        <f>IF(PROGRAMAS!M11=0,"",PROGRAMAS!M11)</f>
        <v/>
      </c>
      <c r="D11" s="78" t="str">
        <f>IF(PROGRAMAS!N11=0,"",PROGRAMAS!N11)</f>
        <v/>
      </c>
      <c r="E11" s="78">
        <f>IFERROR(SUMIFS(PROGRAMA_DETALLE!$M$4:$M$503,PROGRAMA_DETALLE!$A$4:$A$503,A11),0)</f>
        <v>0</v>
      </c>
      <c r="F11" s="78">
        <f>IFERROR(SUMIFS(PROGRAMA_DETALLE!$Z$4:$Z$503,PROGRAMA_DETALLE!$A$4:$A$503,A11),0)</f>
        <v>0</v>
      </c>
      <c r="G11" s="100" t="str">
        <f>IF(PROGRAMAS!AE11=0,"",PROGRAMAS!AE11)</f>
        <v/>
      </c>
      <c r="H11" s="12" t="str">
        <f>IF(PROGRAMAS!W11=0,"",PROGRAMAS!W11)</f>
        <v/>
      </c>
      <c r="I11" s="101">
        <f t="shared" si="1"/>
        <v>0</v>
      </c>
      <c r="J11" s="25">
        <f t="shared" si="2"/>
        <v>0</v>
      </c>
      <c r="K11" s="45" t="str">
        <f>IF(PROGRAMAS!I11="","",PROGRAMAS!I11)</f>
        <v/>
      </c>
    </row>
    <row r="12">
      <c r="A12" s="98" t="str">
        <f>IF(PROGRAMAS!A12="","",PROGRAMAS!A12)</f>
        <v/>
      </c>
      <c r="B12" s="99" t="str">
        <f>IF(PROGRAMAS!D12="","",PROGRAMAS!D12)</f>
        <v/>
      </c>
      <c r="C12" s="12" t="str">
        <f>IF(PROGRAMAS!M12=0,"",PROGRAMAS!M12)</f>
        <v/>
      </c>
      <c r="D12" s="78" t="str">
        <f>IF(PROGRAMAS!N12=0,"",PROGRAMAS!N12)</f>
        <v/>
      </c>
      <c r="E12" s="78">
        <f>IFERROR(SUMIFS(PROGRAMA_DETALLE!$M$4:$M$503,PROGRAMA_DETALLE!$A$4:$A$503,A12),0)</f>
        <v>0</v>
      </c>
      <c r="F12" s="78">
        <f>IFERROR(SUMIFS(PROGRAMA_DETALLE!$Z$4:$Z$503,PROGRAMA_DETALLE!$A$4:$A$503,A12),0)</f>
        <v>0</v>
      </c>
      <c r="G12" s="100" t="str">
        <f>IF(PROGRAMAS!AE12=0,"",PROGRAMAS!AE12)</f>
        <v/>
      </c>
      <c r="H12" s="12" t="str">
        <f>IF(PROGRAMAS!W12=0,"",PROGRAMAS!W12)</f>
        <v/>
      </c>
      <c r="I12" s="101">
        <f t="shared" si="1"/>
        <v>0</v>
      </c>
      <c r="J12" s="25">
        <f t="shared" si="2"/>
        <v>0</v>
      </c>
      <c r="K12" s="45" t="str">
        <f>IF(PROGRAMAS!I12="","",PROGRAMAS!I12)</f>
        <v/>
      </c>
    </row>
    <row r="13">
      <c r="A13" s="98" t="str">
        <f>IF(PROGRAMAS!A13="","",PROGRAMAS!A13)</f>
        <v/>
      </c>
      <c r="B13" s="99" t="str">
        <f>IF(PROGRAMAS!D13="","",PROGRAMAS!D13)</f>
        <v/>
      </c>
      <c r="C13" s="12" t="str">
        <f>IF(PROGRAMAS!M13=0,"",PROGRAMAS!M13)</f>
        <v/>
      </c>
      <c r="D13" s="78" t="str">
        <f>IF(PROGRAMAS!N13=0,"",PROGRAMAS!N13)</f>
        <v/>
      </c>
      <c r="E13" s="78">
        <f>IFERROR(SUMIFS(PROGRAMA_DETALLE!$M$4:$M$503,PROGRAMA_DETALLE!$A$4:$A$503,A13),0)</f>
        <v>0</v>
      </c>
      <c r="F13" s="78">
        <f>IFERROR(SUMIFS(PROGRAMA_DETALLE!$Z$4:$Z$503,PROGRAMA_DETALLE!$A$4:$A$503,A13),0)</f>
        <v>0</v>
      </c>
      <c r="G13" s="100" t="str">
        <f>IF(PROGRAMAS!AE13=0,"",PROGRAMAS!AE13)</f>
        <v/>
      </c>
      <c r="H13" s="12" t="str">
        <f>IF(PROGRAMAS!W13=0,"",PROGRAMAS!W13)</f>
        <v/>
      </c>
      <c r="I13" s="101">
        <f t="shared" si="1"/>
        <v>0</v>
      </c>
      <c r="J13" s="25">
        <f t="shared" si="2"/>
        <v>0</v>
      </c>
      <c r="K13" s="45" t="str">
        <f>IF(PROGRAMAS!I13="","",PROGRAMAS!I13)</f>
        <v/>
      </c>
    </row>
    <row r="14">
      <c r="A14" s="98" t="str">
        <f>IF(PROGRAMAS!A14="","",PROGRAMAS!A14)</f>
        <v/>
      </c>
      <c r="B14" s="99" t="str">
        <f>IF(PROGRAMAS!D14="","",PROGRAMAS!D14)</f>
        <v/>
      </c>
      <c r="C14" s="12" t="str">
        <f>IF(PROGRAMAS!M14=0,"",PROGRAMAS!M14)</f>
        <v/>
      </c>
      <c r="D14" s="78" t="str">
        <f>IF(PROGRAMAS!N14=0,"",PROGRAMAS!N14)</f>
        <v/>
      </c>
      <c r="E14" s="78">
        <f>IFERROR(SUMIFS(PROGRAMA_DETALLE!$M$4:$M$503,PROGRAMA_DETALLE!$A$4:$A$503,A14),0)</f>
        <v>0</v>
      </c>
      <c r="F14" s="78">
        <f>IFERROR(SUMIFS(PROGRAMA_DETALLE!$Z$4:$Z$503,PROGRAMA_DETALLE!$A$4:$A$503,A14),0)</f>
        <v>0</v>
      </c>
      <c r="G14" s="100" t="str">
        <f>IF(PROGRAMAS!AE14=0,"",PROGRAMAS!AE14)</f>
        <v/>
      </c>
      <c r="H14" s="12" t="str">
        <f>IF(PROGRAMAS!W14=0,"",PROGRAMAS!W14)</f>
        <v/>
      </c>
      <c r="I14" s="101">
        <f t="shared" si="1"/>
        <v>0</v>
      </c>
      <c r="J14" s="25">
        <f t="shared" si="2"/>
        <v>0</v>
      </c>
      <c r="K14" s="45" t="str">
        <f>IF(PROGRAMAS!I14="","",PROGRAMAS!I14)</f>
        <v/>
      </c>
    </row>
    <row r="15">
      <c r="A15" s="98" t="str">
        <f>IF(PROGRAMAS!A15="","",PROGRAMAS!A15)</f>
        <v/>
      </c>
      <c r="B15" s="99" t="str">
        <f>IF(PROGRAMAS!D15="","",PROGRAMAS!D15)</f>
        <v/>
      </c>
      <c r="C15" s="12" t="str">
        <f>IF(PROGRAMAS!M15=0,"",PROGRAMAS!M15)</f>
        <v/>
      </c>
      <c r="D15" s="78" t="str">
        <f>IF(PROGRAMAS!N15=0,"",PROGRAMAS!N15)</f>
        <v/>
      </c>
      <c r="E15" s="78">
        <f>IFERROR(SUMIFS(PROGRAMA_DETALLE!$M$4:$M$503,PROGRAMA_DETALLE!$A$4:$A$503,A15),0)</f>
        <v>0</v>
      </c>
      <c r="F15" s="78">
        <f>IFERROR(SUMIFS(PROGRAMA_DETALLE!$Z$4:$Z$503,PROGRAMA_DETALLE!$A$4:$A$503,A15),0)</f>
        <v>0</v>
      </c>
      <c r="G15" s="100" t="str">
        <f>IF(PROGRAMAS!AE15=0,"",PROGRAMAS!AE15)</f>
        <v/>
      </c>
      <c r="H15" s="12" t="str">
        <f>IF(PROGRAMAS!W15=0,"",PROGRAMAS!W15)</f>
        <v/>
      </c>
      <c r="I15" s="101">
        <f t="shared" si="1"/>
        <v>0</v>
      </c>
      <c r="J15" s="25">
        <f t="shared" si="2"/>
        <v>0</v>
      </c>
      <c r="K15" s="45" t="str">
        <f>IF(PROGRAMAS!I15="","",PROGRAMAS!I15)</f>
        <v/>
      </c>
    </row>
    <row r="16">
      <c r="A16" s="98" t="str">
        <f>IF(PROGRAMAS!A16="","",PROGRAMAS!A16)</f>
        <v/>
      </c>
      <c r="B16" s="99" t="str">
        <f>IF(PROGRAMAS!D16="","",PROGRAMAS!D16)</f>
        <v/>
      </c>
      <c r="C16" s="12" t="str">
        <f>IF(PROGRAMAS!M16=0,"",PROGRAMAS!M16)</f>
        <v/>
      </c>
      <c r="D16" s="78" t="str">
        <f>IF(PROGRAMAS!N16=0,"",PROGRAMAS!N16)</f>
        <v/>
      </c>
      <c r="E16" s="78">
        <f>IFERROR(SUMIFS(PROGRAMA_DETALLE!$M$4:$M$503,PROGRAMA_DETALLE!$A$4:$A$503,A16),0)</f>
        <v>0</v>
      </c>
      <c r="F16" s="78">
        <f>IFERROR(SUMIFS(PROGRAMA_DETALLE!$Z$4:$Z$503,PROGRAMA_DETALLE!$A$4:$A$503,A16),0)</f>
        <v>0</v>
      </c>
      <c r="G16" s="100" t="str">
        <f>IF(PROGRAMAS!AE16=0,"",PROGRAMAS!AE16)</f>
        <v/>
      </c>
      <c r="H16" s="12" t="str">
        <f>IF(PROGRAMAS!W16=0,"",PROGRAMAS!W16)</f>
        <v/>
      </c>
      <c r="I16" s="101">
        <f t="shared" si="1"/>
        <v>0</v>
      </c>
      <c r="J16" s="25">
        <f t="shared" si="2"/>
        <v>0</v>
      </c>
      <c r="K16" s="45" t="str">
        <f>IF(PROGRAMAS!I16="","",PROGRAMAS!I16)</f>
        <v/>
      </c>
    </row>
    <row r="17">
      <c r="A17" s="98" t="str">
        <f>IF(PROGRAMAS!A17="","",PROGRAMAS!A17)</f>
        <v/>
      </c>
      <c r="B17" s="99" t="str">
        <f>IF(PROGRAMAS!D17="","",PROGRAMAS!D17)</f>
        <v/>
      </c>
      <c r="C17" s="12" t="str">
        <f>IF(PROGRAMAS!M17=0,"",PROGRAMAS!M17)</f>
        <v/>
      </c>
      <c r="D17" s="78" t="str">
        <f>IF(PROGRAMAS!N17=0,"",PROGRAMAS!N17)</f>
        <v/>
      </c>
      <c r="E17" s="78">
        <f>IFERROR(SUMIFS(PROGRAMA_DETALLE!$M$4:$M$503,PROGRAMA_DETALLE!$A$4:$A$503,A17),0)</f>
        <v>0</v>
      </c>
      <c r="F17" s="78">
        <f>IFERROR(SUMIFS(PROGRAMA_DETALLE!$Z$4:$Z$503,PROGRAMA_DETALLE!$A$4:$A$503,A17),0)</f>
        <v>0</v>
      </c>
      <c r="G17" s="100" t="str">
        <f>IF(PROGRAMAS!AE17=0,"",PROGRAMAS!AE17)</f>
        <v/>
      </c>
      <c r="H17" s="12" t="str">
        <f>IF(PROGRAMAS!W17=0,"",PROGRAMAS!W17)</f>
        <v/>
      </c>
      <c r="I17" s="101">
        <f t="shared" si="1"/>
        <v>0</v>
      </c>
      <c r="J17" s="25">
        <f t="shared" si="2"/>
        <v>0</v>
      </c>
      <c r="K17" s="45" t="str">
        <f>IF(PROGRAMAS!I17="","",PROGRAMAS!I17)</f>
        <v/>
      </c>
    </row>
    <row r="18">
      <c r="A18" s="98" t="str">
        <f>IF(PROGRAMAS!A18="","",PROGRAMAS!A18)</f>
        <v/>
      </c>
      <c r="B18" s="99" t="str">
        <f>IF(PROGRAMAS!D18="","",PROGRAMAS!D18)</f>
        <v/>
      </c>
      <c r="C18" s="12" t="str">
        <f>IF(PROGRAMAS!M18=0,"",PROGRAMAS!M18)</f>
        <v/>
      </c>
      <c r="D18" s="78" t="str">
        <f>IF(PROGRAMAS!N18=0,"",PROGRAMAS!N18)</f>
        <v/>
      </c>
      <c r="E18" s="78">
        <f>IFERROR(SUMIFS(PROGRAMA_DETALLE!$M$4:$M$503,PROGRAMA_DETALLE!$A$4:$A$503,A18),0)</f>
        <v>0</v>
      </c>
      <c r="F18" s="78">
        <f>IFERROR(SUMIFS(PROGRAMA_DETALLE!$Z$4:$Z$503,PROGRAMA_DETALLE!$A$4:$A$503,A18),0)</f>
        <v>0</v>
      </c>
      <c r="G18" s="100" t="str">
        <f>IF(PROGRAMAS!AE18=0,"",PROGRAMAS!AE18)</f>
        <v/>
      </c>
      <c r="H18" s="12" t="str">
        <f>IF(PROGRAMAS!W18=0,"",PROGRAMAS!W18)</f>
        <v/>
      </c>
      <c r="I18" s="101">
        <f t="shared" si="1"/>
        <v>0</v>
      </c>
      <c r="J18" s="25">
        <f t="shared" si="2"/>
        <v>0</v>
      </c>
      <c r="K18" s="45" t="str">
        <f>IF(PROGRAMAS!I18="","",PROGRAMAS!I18)</f>
        <v/>
      </c>
    </row>
    <row r="19">
      <c r="A19" s="98" t="str">
        <f>IF(PROGRAMAS!A19="","",PROGRAMAS!A19)</f>
        <v/>
      </c>
      <c r="B19" s="99" t="str">
        <f>IF(PROGRAMAS!D19="","",PROGRAMAS!D19)</f>
        <v/>
      </c>
      <c r="C19" s="12" t="str">
        <f>IF(PROGRAMAS!M19=0,"",PROGRAMAS!M19)</f>
        <v/>
      </c>
      <c r="D19" s="78" t="str">
        <f>IF(PROGRAMAS!N19=0,"",PROGRAMAS!N19)</f>
        <v/>
      </c>
      <c r="E19" s="78">
        <f>IFERROR(SUMIFS(PROGRAMA_DETALLE!$M$4:$M$503,PROGRAMA_DETALLE!$A$4:$A$503,A19),0)</f>
        <v>0</v>
      </c>
      <c r="F19" s="78">
        <f>IFERROR(SUMIFS(PROGRAMA_DETALLE!$Z$4:$Z$503,PROGRAMA_DETALLE!$A$4:$A$503,A19),0)</f>
        <v>0</v>
      </c>
      <c r="G19" s="100" t="str">
        <f>IF(PROGRAMAS!AE19=0,"",PROGRAMAS!AE19)</f>
        <v/>
      </c>
      <c r="H19" s="12" t="str">
        <f>IF(PROGRAMAS!W19=0,"",PROGRAMAS!W19)</f>
        <v/>
      </c>
      <c r="I19" s="101">
        <f t="shared" si="1"/>
        <v>0</v>
      </c>
      <c r="J19" s="25">
        <f t="shared" si="2"/>
        <v>0</v>
      </c>
      <c r="K19" s="45" t="str">
        <f>IF(PROGRAMAS!I19="","",PROGRAMAS!I19)</f>
        <v/>
      </c>
    </row>
    <row r="20">
      <c r="A20" s="98" t="str">
        <f>IF(PROGRAMAS!A20="","",PROGRAMAS!A20)</f>
        <v/>
      </c>
      <c r="B20" s="99" t="str">
        <f>IF(PROGRAMAS!D20="","",PROGRAMAS!D20)</f>
        <v/>
      </c>
      <c r="C20" s="12" t="str">
        <f>IF(PROGRAMAS!M20=0,"",PROGRAMAS!M20)</f>
        <v/>
      </c>
      <c r="D20" s="78" t="str">
        <f>IF(PROGRAMAS!N20=0,"",PROGRAMAS!N20)</f>
        <v/>
      </c>
      <c r="E20" s="78">
        <f>IFERROR(SUMIFS(PROGRAMA_DETALLE!$M$4:$M$503,PROGRAMA_DETALLE!$A$4:$A$503,A20),0)</f>
        <v>0</v>
      </c>
      <c r="F20" s="78">
        <f>IFERROR(SUMIFS(PROGRAMA_DETALLE!$Z$4:$Z$503,PROGRAMA_DETALLE!$A$4:$A$503,A20),0)</f>
        <v>0</v>
      </c>
      <c r="G20" s="100" t="str">
        <f>IF(PROGRAMAS!AE20=0,"",PROGRAMAS!AE20)</f>
        <v/>
      </c>
      <c r="H20" s="12" t="str">
        <f>IF(PROGRAMAS!W20=0,"",PROGRAMAS!W20)</f>
        <v/>
      </c>
      <c r="I20" s="101">
        <f t="shared" si="1"/>
        <v>0</v>
      </c>
      <c r="J20" s="25">
        <f t="shared" si="2"/>
        <v>0</v>
      </c>
      <c r="K20" s="45" t="str">
        <f>IF(PROGRAMAS!I20="","",PROGRAMAS!I20)</f>
        <v/>
      </c>
    </row>
    <row r="21" ht="15.75" customHeight="1">
      <c r="A21" s="98" t="str">
        <f>IF(PROGRAMAS!A21="","",PROGRAMAS!A21)</f>
        <v/>
      </c>
      <c r="B21" s="99" t="str">
        <f>IF(PROGRAMAS!D21="","",PROGRAMAS!D21)</f>
        <v/>
      </c>
      <c r="C21" s="12" t="str">
        <f>IF(PROGRAMAS!M21=0,"",PROGRAMAS!M21)</f>
        <v/>
      </c>
      <c r="D21" s="78" t="str">
        <f>IF(PROGRAMAS!N21=0,"",PROGRAMAS!N21)</f>
        <v/>
      </c>
      <c r="E21" s="78">
        <f>IFERROR(SUMIFS(PROGRAMA_DETALLE!$M$4:$M$503,PROGRAMA_DETALLE!$A$4:$A$503,A21),0)</f>
        <v>0</v>
      </c>
      <c r="F21" s="78">
        <f>IFERROR(SUMIFS(PROGRAMA_DETALLE!$Z$4:$Z$503,PROGRAMA_DETALLE!$A$4:$A$503,A21),0)</f>
        <v>0</v>
      </c>
      <c r="G21" s="100" t="str">
        <f>IF(PROGRAMAS!AE21=0,"",PROGRAMAS!AE21)</f>
        <v/>
      </c>
      <c r="H21" s="12" t="str">
        <f>IF(PROGRAMAS!W21=0,"",PROGRAMAS!W21)</f>
        <v/>
      </c>
      <c r="I21" s="101">
        <f t="shared" si="1"/>
        <v>0</v>
      </c>
      <c r="J21" s="25">
        <f t="shared" si="2"/>
        <v>0</v>
      </c>
      <c r="K21" s="45" t="str">
        <f>IF(PROGRAMAS!I21="","",PROGRAMAS!I21)</f>
        <v/>
      </c>
    </row>
    <row r="22" ht="15.75" customHeight="1">
      <c r="A22" s="98" t="str">
        <f>IF(PROGRAMAS!A22="","",PROGRAMAS!A22)</f>
        <v/>
      </c>
      <c r="B22" s="99" t="str">
        <f>IF(PROGRAMAS!D22="","",PROGRAMAS!D22)</f>
        <v/>
      </c>
      <c r="C22" s="12" t="str">
        <f>IF(PROGRAMAS!M22=0,"",PROGRAMAS!M22)</f>
        <v/>
      </c>
      <c r="D22" s="78" t="str">
        <f>IF(PROGRAMAS!N22=0,"",PROGRAMAS!N22)</f>
        <v/>
      </c>
      <c r="E22" s="78">
        <f>IFERROR(SUMIFS(PROGRAMA_DETALLE!$M$4:$M$503,PROGRAMA_DETALLE!$A$4:$A$503,A22),0)</f>
        <v>0</v>
      </c>
      <c r="F22" s="78">
        <f>IFERROR(SUMIFS(PROGRAMA_DETALLE!$Z$4:$Z$503,PROGRAMA_DETALLE!$A$4:$A$503,A22),0)</f>
        <v>0</v>
      </c>
      <c r="G22" s="100" t="str">
        <f>IF(PROGRAMAS!AE22=0,"",PROGRAMAS!AE22)</f>
        <v/>
      </c>
      <c r="H22" s="12" t="str">
        <f>IF(PROGRAMAS!W22=0,"",PROGRAMAS!W22)</f>
        <v/>
      </c>
      <c r="I22" s="101">
        <f t="shared" si="1"/>
        <v>0</v>
      </c>
      <c r="J22" s="25">
        <f t="shared" si="2"/>
        <v>0</v>
      </c>
      <c r="K22" s="45" t="str">
        <f>IF(PROGRAMAS!I22="","",PROGRAMAS!I22)</f>
        <v/>
      </c>
    </row>
    <row r="23" ht="15.75" customHeight="1">
      <c r="A23" s="98" t="str">
        <f>IF(PROGRAMAS!A23="","",PROGRAMAS!A23)</f>
        <v/>
      </c>
      <c r="B23" s="99" t="str">
        <f>IF(PROGRAMAS!D23="","",PROGRAMAS!D23)</f>
        <v/>
      </c>
      <c r="C23" s="12" t="str">
        <f>IF(PROGRAMAS!M23=0,"",PROGRAMAS!M23)</f>
        <v/>
      </c>
      <c r="D23" s="78" t="str">
        <f>IF(PROGRAMAS!N23=0,"",PROGRAMAS!N23)</f>
        <v/>
      </c>
      <c r="E23" s="78">
        <f>IFERROR(SUMIFS(PROGRAMA_DETALLE!$M$4:$M$503,PROGRAMA_DETALLE!$A$4:$A$503,A23),0)</f>
        <v>0</v>
      </c>
      <c r="F23" s="78">
        <f>IFERROR(SUMIFS(PROGRAMA_DETALLE!$Z$4:$Z$503,PROGRAMA_DETALLE!$A$4:$A$503,A23),0)</f>
        <v>0</v>
      </c>
      <c r="G23" s="100" t="str">
        <f>IF(PROGRAMAS!AE23=0,"",PROGRAMAS!AE23)</f>
        <v/>
      </c>
      <c r="H23" s="12" t="str">
        <f>IF(PROGRAMAS!W23=0,"",PROGRAMAS!W23)</f>
        <v/>
      </c>
      <c r="I23" s="101">
        <f t="shared" si="1"/>
        <v>0</v>
      </c>
      <c r="J23" s="25">
        <f t="shared" si="2"/>
        <v>0</v>
      </c>
      <c r="K23" s="45" t="str">
        <f>IF(PROGRAMAS!I23="","",PROGRAMAS!I23)</f>
        <v/>
      </c>
    </row>
    <row r="24" ht="15.75" customHeight="1">
      <c r="A24" s="98" t="str">
        <f>IF(PROGRAMAS!A24="","",PROGRAMAS!A24)</f>
        <v/>
      </c>
      <c r="B24" s="99" t="str">
        <f>IF(PROGRAMAS!D24="","",PROGRAMAS!D24)</f>
        <v/>
      </c>
      <c r="C24" s="12" t="str">
        <f>IF(PROGRAMAS!M24=0,"",PROGRAMAS!M24)</f>
        <v/>
      </c>
      <c r="D24" s="78" t="str">
        <f>IF(PROGRAMAS!N24=0,"",PROGRAMAS!N24)</f>
        <v/>
      </c>
      <c r="E24" s="78">
        <f>IFERROR(SUMIFS(PROGRAMA_DETALLE!$M$4:$M$503,PROGRAMA_DETALLE!$A$4:$A$503,A24),0)</f>
        <v>0</v>
      </c>
      <c r="F24" s="78">
        <f>IFERROR(SUMIFS(PROGRAMA_DETALLE!$Z$4:$Z$503,PROGRAMA_DETALLE!$A$4:$A$503,A24),0)</f>
        <v>0</v>
      </c>
      <c r="G24" s="100" t="str">
        <f>IF(PROGRAMAS!AE24=0,"",PROGRAMAS!AE24)</f>
        <v/>
      </c>
      <c r="H24" s="12" t="str">
        <f>IF(PROGRAMAS!W24=0,"",PROGRAMAS!W24)</f>
        <v/>
      </c>
      <c r="I24" s="101">
        <f t="shared" si="1"/>
        <v>0</v>
      </c>
      <c r="J24" s="25">
        <f t="shared" si="2"/>
        <v>0</v>
      </c>
      <c r="K24" s="45" t="str">
        <f>IF(PROGRAMAS!I24="","",PROGRAMAS!I24)</f>
        <v/>
      </c>
    </row>
    <row r="25" ht="15.75" customHeight="1">
      <c r="A25" s="98" t="str">
        <f>IF(PROGRAMAS!A25="","",PROGRAMAS!A25)</f>
        <v/>
      </c>
      <c r="B25" s="99" t="str">
        <f>IF(PROGRAMAS!D25="","",PROGRAMAS!D25)</f>
        <v/>
      </c>
      <c r="C25" s="12" t="str">
        <f>IF(PROGRAMAS!M25=0,"",PROGRAMAS!M25)</f>
        <v/>
      </c>
      <c r="D25" s="78" t="str">
        <f>IF(PROGRAMAS!N25=0,"",PROGRAMAS!N25)</f>
        <v/>
      </c>
      <c r="E25" s="78">
        <f>IFERROR(SUMIFS(PROGRAMA_DETALLE!$M$4:$M$503,PROGRAMA_DETALLE!$A$4:$A$503,A25),0)</f>
        <v>0</v>
      </c>
      <c r="F25" s="78">
        <f>IFERROR(SUMIFS(PROGRAMA_DETALLE!$Z$4:$Z$503,PROGRAMA_DETALLE!$A$4:$A$503,A25),0)</f>
        <v>0</v>
      </c>
      <c r="G25" s="100" t="str">
        <f>IF(PROGRAMAS!AE25=0,"",PROGRAMAS!AE25)</f>
        <v/>
      </c>
      <c r="H25" s="12" t="str">
        <f>IF(PROGRAMAS!W25=0,"",PROGRAMAS!W25)</f>
        <v/>
      </c>
      <c r="I25" s="101">
        <f t="shared" si="1"/>
        <v>0</v>
      </c>
      <c r="J25" s="25">
        <f t="shared" si="2"/>
        <v>0</v>
      </c>
      <c r="K25" s="45" t="str">
        <f>IF(PROGRAMAS!I25="","",PROGRAMAS!I25)</f>
        <v/>
      </c>
    </row>
    <row r="26" ht="15.75" customHeight="1">
      <c r="A26" s="98" t="str">
        <f>IF(PROGRAMAS!A26="","",PROGRAMAS!A26)</f>
        <v/>
      </c>
      <c r="B26" s="99" t="str">
        <f>IF(PROGRAMAS!D26="","",PROGRAMAS!D26)</f>
        <v/>
      </c>
      <c r="C26" s="12" t="str">
        <f>IF(PROGRAMAS!M26=0,"",PROGRAMAS!M26)</f>
        <v/>
      </c>
      <c r="D26" s="78" t="str">
        <f>IF(PROGRAMAS!N26=0,"",PROGRAMAS!N26)</f>
        <v/>
      </c>
      <c r="E26" s="78">
        <f>IFERROR(SUMIFS(PROGRAMA_DETALLE!$M$4:$M$503,PROGRAMA_DETALLE!$A$4:$A$503,A26),0)</f>
        <v>0</v>
      </c>
      <c r="F26" s="78">
        <f>IFERROR(SUMIFS(PROGRAMA_DETALLE!$Z$4:$Z$503,PROGRAMA_DETALLE!$A$4:$A$503,A26),0)</f>
        <v>0</v>
      </c>
      <c r="G26" s="100" t="str">
        <f>IF(PROGRAMAS!AE26=0,"",PROGRAMAS!AE26)</f>
        <v/>
      </c>
      <c r="H26" s="12" t="str">
        <f>IF(PROGRAMAS!W26=0,"",PROGRAMAS!W26)</f>
        <v/>
      </c>
      <c r="I26" s="101">
        <f t="shared" si="1"/>
        <v>0</v>
      </c>
      <c r="J26" s="25">
        <f t="shared" si="2"/>
        <v>0</v>
      </c>
      <c r="K26" s="45" t="str">
        <f>IF(PROGRAMAS!I26="","",PROGRAMAS!I26)</f>
        <v/>
      </c>
    </row>
    <row r="27" ht="15.75" customHeight="1">
      <c r="A27" s="98" t="str">
        <f>IF(PROGRAMAS!A27="","",PROGRAMAS!A27)</f>
        <v/>
      </c>
      <c r="B27" s="99" t="str">
        <f>IF(PROGRAMAS!D27="","",PROGRAMAS!D27)</f>
        <v/>
      </c>
      <c r="C27" s="12" t="str">
        <f>IF(PROGRAMAS!M27=0,"",PROGRAMAS!M27)</f>
        <v/>
      </c>
      <c r="D27" s="78" t="str">
        <f>IF(PROGRAMAS!N27=0,"",PROGRAMAS!N27)</f>
        <v/>
      </c>
      <c r="E27" s="78">
        <f>IFERROR(SUMIFS(PROGRAMA_DETALLE!$M$4:$M$503,PROGRAMA_DETALLE!$A$4:$A$503,A27),0)</f>
        <v>0</v>
      </c>
      <c r="F27" s="78">
        <f>IFERROR(SUMIFS(PROGRAMA_DETALLE!$Z$4:$Z$503,PROGRAMA_DETALLE!$A$4:$A$503,A27),0)</f>
        <v>0</v>
      </c>
      <c r="G27" s="100" t="str">
        <f>IF(PROGRAMAS!AE27=0,"",PROGRAMAS!AE27)</f>
        <v/>
      </c>
      <c r="H27" s="12" t="str">
        <f>IF(PROGRAMAS!W27=0,"",PROGRAMAS!W27)</f>
        <v/>
      </c>
      <c r="I27" s="101">
        <f t="shared" si="1"/>
        <v>0</v>
      </c>
      <c r="J27" s="25">
        <f t="shared" si="2"/>
        <v>0</v>
      </c>
      <c r="K27" s="45" t="str">
        <f>IF(PROGRAMAS!I27="","",PROGRAMAS!I27)</f>
        <v/>
      </c>
    </row>
    <row r="28" ht="15.75" customHeight="1">
      <c r="A28" s="98" t="str">
        <f>IF(PROGRAMAS!A28="","",PROGRAMAS!A28)</f>
        <v/>
      </c>
      <c r="B28" s="99" t="str">
        <f>IF(PROGRAMAS!D28="","",PROGRAMAS!D28)</f>
        <v/>
      </c>
      <c r="C28" s="12" t="str">
        <f>IF(PROGRAMAS!M28=0,"",PROGRAMAS!M28)</f>
        <v/>
      </c>
      <c r="D28" s="78" t="str">
        <f>IF(PROGRAMAS!N28=0,"",PROGRAMAS!N28)</f>
        <v/>
      </c>
      <c r="E28" s="78">
        <f>IFERROR(SUMIFS(PROGRAMA_DETALLE!$M$4:$M$503,PROGRAMA_DETALLE!$A$4:$A$503,A28),0)</f>
        <v>0</v>
      </c>
      <c r="F28" s="78">
        <f>IFERROR(SUMIFS(PROGRAMA_DETALLE!$Z$4:$Z$503,PROGRAMA_DETALLE!$A$4:$A$503,A28),0)</f>
        <v>0</v>
      </c>
      <c r="G28" s="100" t="str">
        <f>IF(PROGRAMAS!AE28=0,"",PROGRAMAS!AE28)</f>
        <v/>
      </c>
      <c r="H28" s="12" t="str">
        <f>IF(PROGRAMAS!W28=0,"",PROGRAMAS!W28)</f>
        <v/>
      </c>
      <c r="I28" s="101">
        <f t="shared" si="1"/>
        <v>0</v>
      </c>
      <c r="J28" s="25">
        <f t="shared" si="2"/>
        <v>0</v>
      </c>
      <c r="K28" s="45" t="str">
        <f>IF(PROGRAMAS!I28="","",PROGRAMAS!I28)</f>
        <v/>
      </c>
    </row>
    <row r="29" ht="15.75" customHeight="1">
      <c r="A29" s="98" t="str">
        <f>IF(PROGRAMAS!A29="","",PROGRAMAS!A29)</f>
        <v/>
      </c>
      <c r="B29" s="99" t="str">
        <f>IF(PROGRAMAS!D29="","",PROGRAMAS!D29)</f>
        <v/>
      </c>
      <c r="C29" s="12" t="str">
        <f>IF(PROGRAMAS!M29=0,"",PROGRAMAS!M29)</f>
        <v/>
      </c>
      <c r="D29" s="78" t="str">
        <f>IF(PROGRAMAS!N29=0,"",PROGRAMAS!N29)</f>
        <v/>
      </c>
      <c r="E29" s="78">
        <f>IFERROR(SUMIFS(PROGRAMA_DETALLE!$M$4:$M$503,PROGRAMA_DETALLE!$A$4:$A$503,A29),0)</f>
        <v>0</v>
      </c>
      <c r="F29" s="78">
        <f>IFERROR(SUMIFS(PROGRAMA_DETALLE!$Z$4:$Z$503,PROGRAMA_DETALLE!$A$4:$A$503,A29),0)</f>
        <v>0</v>
      </c>
      <c r="G29" s="100" t="str">
        <f>IF(PROGRAMAS!AE29=0,"",PROGRAMAS!AE29)</f>
        <v/>
      </c>
      <c r="H29" s="12" t="str">
        <f>IF(PROGRAMAS!W29=0,"",PROGRAMAS!W29)</f>
        <v/>
      </c>
      <c r="I29" s="101">
        <f t="shared" si="1"/>
        <v>0</v>
      </c>
      <c r="J29" s="25">
        <f t="shared" si="2"/>
        <v>0</v>
      </c>
      <c r="K29" s="45" t="str">
        <f>IF(PROGRAMAS!I29="","",PROGRAMAS!I29)</f>
        <v/>
      </c>
    </row>
    <row r="30" ht="15.75" customHeight="1">
      <c r="A30" s="98" t="str">
        <f>IF(PROGRAMAS!A30="","",PROGRAMAS!A30)</f>
        <v/>
      </c>
      <c r="B30" s="99" t="str">
        <f>IF(PROGRAMAS!D30="","",PROGRAMAS!D30)</f>
        <v/>
      </c>
      <c r="C30" s="12" t="str">
        <f>IF(PROGRAMAS!M30=0,"",PROGRAMAS!M30)</f>
        <v/>
      </c>
      <c r="D30" s="78" t="str">
        <f>IF(PROGRAMAS!N30=0,"",PROGRAMAS!N30)</f>
        <v/>
      </c>
      <c r="E30" s="78">
        <f>IFERROR(SUMIFS(PROGRAMA_DETALLE!$M$4:$M$503,PROGRAMA_DETALLE!$A$4:$A$503,A30),0)</f>
        <v>0</v>
      </c>
      <c r="F30" s="78">
        <f>IFERROR(SUMIFS(PROGRAMA_DETALLE!$Z$4:$Z$503,PROGRAMA_DETALLE!$A$4:$A$503,A30),0)</f>
        <v>0</v>
      </c>
      <c r="G30" s="100" t="str">
        <f>IF(PROGRAMAS!AE30=0,"",PROGRAMAS!AE30)</f>
        <v/>
      </c>
      <c r="H30" s="12" t="str">
        <f>IF(PROGRAMAS!W30=0,"",PROGRAMAS!W30)</f>
        <v/>
      </c>
      <c r="I30" s="101">
        <f t="shared" si="1"/>
        <v>0</v>
      </c>
      <c r="J30" s="25">
        <f t="shared" si="2"/>
        <v>0</v>
      </c>
      <c r="K30" s="45" t="str">
        <f>IF(PROGRAMAS!I30="","",PROGRAMAS!I30)</f>
        <v/>
      </c>
    </row>
    <row r="31" ht="15.75" customHeight="1">
      <c r="A31" s="98" t="str">
        <f>IF(PROGRAMAS!A31="","",PROGRAMAS!A31)</f>
        <v/>
      </c>
      <c r="B31" s="99" t="str">
        <f>IF(PROGRAMAS!D31="","",PROGRAMAS!D31)</f>
        <v/>
      </c>
      <c r="C31" s="12" t="str">
        <f>IF(PROGRAMAS!M31=0,"",PROGRAMAS!M31)</f>
        <v/>
      </c>
      <c r="D31" s="78" t="str">
        <f>IF(PROGRAMAS!N31=0,"",PROGRAMAS!N31)</f>
        <v/>
      </c>
      <c r="E31" s="78">
        <f>IFERROR(SUMIFS(PROGRAMA_DETALLE!$M$4:$M$503,PROGRAMA_DETALLE!$A$4:$A$503,A31),0)</f>
        <v>0</v>
      </c>
      <c r="F31" s="78">
        <f>IFERROR(SUMIFS(PROGRAMA_DETALLE!$Z$4:$Z$503,PROGRAMA_DETALLE!$A$4:$A$503,A31),0)</f>
        <v>0</v>
      </c>
      <c r="G31" s="100" t="str">
        <f>IF(PROGRAMAS!AE31=0,"",PROGRAMAS!AE31)</f>
        <v/>
      </c>
      <c r="H31" s="12" t="str">
        <f>IF(PROGRAMAS!W31=0,"",PROGRAMAS!W31)</f>
        <v/>
      </c>
      <c r="I31" s="101">
        <f t="shared" si="1"/>
        <v>0</v>
      </c>
      <c r="J31" s="25">
        <f t="shared" si="2"/>
        <v>0</v>
      </c>
      <c r="K31" s="45" t="str">
        <f>IF(PROGRAMAS!I31="","",PROGRAMAS!I31)</f>
        <v/>
      </c>
    </row>
    <row r="32" ht="15.75" customHeight="1">
      <c r="A32" s="98" t="str">
        <f>IF(PROGRAMAS!A32="","",PROGRAMAS!A32)</f>
        <v/>
      </c>
      <c r="B32" s="99" t="str">
        <f>IF(PROGRAMAS!D32="","",PROGRAMAS!D32)</f>
        <v/>
      </c>
      <c r="C32" s="12" t="str">
        <f>IF(PROGRAMAS!M32=0,"",PROGRAMAS!M32)</f>
        <v/>
      </c>
      <c r="D32" s="78" t="str">
        <f>IF(PROGRAMAS!N32=0,"",PROGRAMAS!N32)</f>
        <v/>
      </c>
      <c r="E32" s="78">
        <f>IFERROR(SUMIFS(PROGRAMA_DETALLE!$M$4:$M$503,PROGRAMA_DETALLE!$A$4:$A$503,A32),0)</f>
        <v>0</v>
      </c>
      <c r="F32" s="78">
        <f>IFERROR(SUMIFS(PROGRAMA_DETALLE!$Z$4:$Z$503,PROGRAMA_DETALLE!$A$4:$A$503,A32),0)</f>
        <v>0</v>
      </c>
      <c r="G32" s="100" t="str">
        <f>IF(PROGRAMAS!AE32=0,"",PROGRAMAS!AE32)</f>
        <v/>
      </c>
      <c r="H32" s="12" t="str">
        <f>IF(PROGRAMAS!W32=0,"",PROGRAMAS!W32)</f>
        <v/>
      </c>
      <c r="I32" s="101">
        <f t="shared" si="1"/>
        <v>0</v>
      </c>
      <c r="J32" s="25">
        <f t="shared" si="2"/>
        <v>0</v>
      </c>
      <c r="K32" s="45" t="str">
        <f>IF(PROGRAMAS!I32="","",PROGRAMAS!I32)</f>
        <v/>
      </c>
    </row>
    <row r="33" ht="15.75" customHeight="1">
      <c r="A33" s="98" t="str">
        <f>IF(PROGRAMAS!A33="","",PROGRAMAS!A33)</f>
        <v/>
      </c>
      <c r="B33" s="99" t="str">
        <f>IF(PROGRAMAS!D33="","",PROGRAMAS!D33)</f>
        <v/>
      </c>
      <c r="C33" s="12" t="str">
        <f>IF(PROGRAMAS!M33=0,"",PROGRAMAS!M33)</f>
        <v/>
      </c>
      <c r="D33" s="78" t="str">
        <f>IF(PROGRAMAS!N33=0,"",PROGRAMAS!N33)</f>
        <v/>
      </c>
      <c r="E33" s="78">
        <f>IFERROR(SUMIFS(PROGRAMA_DETALLE!$M$4:$M$503,PROGRAMA_DETALLE!$A$4:$A$503,A33),0)</f>
        <v>0</v>
      </c>
      <c r="F33" s="78">
        <f>IFERROR(SUMIFS(PROGRAMA_DETALLE!$Z$4:$Z$503,PROGRAMA_DETALLE!$A$4:$A$503,A33),0)</f>
        <v>0</v>
      </c>
      <c r="G33" s="100" t="str">
        <f>IF(PROGRAMAS!AE33=0,"",PROGRAMAS!AE33)</f>
        <v/>
      </c>
      <c r="H33" s="12" t="str">
        <f>IF(PROGRAMAS!W33=0,"",PROGRAMAS!W33)</f>
        <v/>
      </c>
      <c r="I33" s="101">
        <f t="shared" si="1"/>
        <v>0</v>
      </c>
      <c r="J33" s="25">
        <f t="shared" si="2"/>
        <v>0</v>
      </c>
      <c r="K33" s="45" t="str">
        <f>IF(PROGRAMAS!I33="","",PROGRAMAS!I33)</f>
        <v/>
      </c>
    </row>
    <row r="34" ht="15.75" customHeight="1">
      <c r="A34" s="98" t="str">
        <f>IF(PROGRAMAS!A34="","",PROGRAMAS!A34)</f>
        <v/>
      </c>
      <c r="B34" s="99" t="str">
        <f>IF(PROGRAMAS!D34="","",PROGRAMAS!D34)</f>
        <v/>
      </c>
      <c r="C34" s="12" t="str">
        <f>IF(PROGRAMAS!M34=0,"",PROGRAMAS!M34)</f>
        <v/>
      </c>
      <c r="D34" s="78" t="str">
        <f>IF(PROGRAMAS!N34=0,"",PROGRAMAS!N34)</f>
        <v/>
      </c>
      <c r="E34" s="78">
        <f>IFERROR(SUMIFS(PROGRAMA_DETALLE!$M$4:$M$503,PROGRAMA_DETALLE!$A$4:$A$503,A34),0)</f>
        <v>0</v>
      </c>
      <c r="F34" s="78">
        <f>IFERROR(SUMIFS(PROGRAMA_DETALLE!$Z$4:$Z$503,PROGRAMA_DETALLE!$A$4:$A$503,A34),0)</f>
        <v>0</v>
      </c>
      <c r="G34" s="100" t="str">
        <f>IF(PROGRAMAS!AE34=0,"",PROGRAMAS!AE34)</f>
        <v/>
      </c>
      <c r="H34" s="12" t="str">
        <f>IF(PROGRAMAS!W34=0,"",PROGRAMAS!W34)</f>
        <v/>
      </c>
      <c r="I34" s="101">
        <f t="shared" si="1"/>
        <v>0</v>
      </c>
      <c r="J34" s="25">
        <f t="shared" si="2"/>
        <v>0</v>
      </c>
      <c r="K34" s="45" t="str">
        <f>IF(PROGRAMAS!I34="","",PROGRAMAS!I34)</f>
        <v/>
      </c>
    </row>
    <row r="35" ht="15.75" customHeight="1">
      <c r="A35" s="98" t="str">
        <f>IF(PROGRAMAS!A35="","",PROGRAMAS!A35)</f>
        <v/>
      </c>
      <c r="B35" s="99" t="str">
        <f>IF(PROGRAMAS!D35="","",PROGRAMAS!D35)</f>
        <v/>
      </c>
      <c r="C35" s="12" t="str">
        <f>IF(PROGRAMAS!M35=0,"",PROGRAMAS!M35)</f>
        <v/>
      </c>
      <c r="D35" s="78" t="str">
        <f>IF(PROGRAMAS!N35=0,"",PROGRAMAS!N35)</f>
        <v/>
      </c>
      <c r="E35" s="78">
        <f>IFERROR(SUMIFS(PROGRAMA_DETALLE!$M$4:$M$503,PROGRAMA_DETALLE!$A$4:$A$503,A35),0)</f>
        <v>0</v>
      </c>
      <c r="F35" s="78">
        <f>IFERROR(SUMIFS(PROGRAMA_DETALLE!$Z$4:$Z$503,PROGRAMA_DETALLE!$A$4:$A$503,A35),0)</f>
        <v>0</v>
      </c>
      <c r="G35" s="100" t="str">
        <f>IF(PROGRAMAS!AE35=0,"",PROGRAMAS!AE35)</f>
        <v/>
      </c>
      <c r="H35" s="12" t="str">
        <f>IF(PROGRAMAS!W35=0,"",PROGRAMAS!W35)</f>
        <v/>
      </c>
      <c r="I35" s="101">
        <f t="shared" si="1"/>
        <v>0</v>
      </c>
      <c r="J35" s="25">
        <f t="shared" si="2"/>
        <v>0</v>
      </c>
      <c r="K35" s="45" t="str">
        <f>IF(PROGRAMAS!I35="","",PROGRAMAS!I35)</f>
        <v/>
      </c>
    </row>
    <row r="36" ht="15.75" customHeight="1">
      <c r="A36" s="98" t="str">
        <f>IF(PROGRAMAS!A36="","",PROGRAMAS!A36)</f>
        <v/>
      </c>
      <c r="B36" s="99" t="str">
        <f>IF(PROGRAMAS!D36="","",PROGRAMAS!D36)</f>
        <v/>
      </c>
      <c r="C36" s="12" t="str">
        <f>IF(PROGRAMAS!M36=0,"",PROGRAMAS!M36)</f>
        <v/>
      </c>
      <c r="D36" s="78" t="str">
        <f>IF(PROGRAMAS!N36=0,"",PROGRAMAS!N36)</f>
        <v/>
      </c>
      <c r="E36" s="78">
        <f>IFERROR(SUMIFS(PROGRAMA_DETALLE!$M$4:$M$503,PROGRAMA_DETALLE!$A$4:$A$503,A36),0)</f>
        <v>0</v>
      </c>
      <c r="F36" s="78">
        <f>IFERROR(SUMIFS(PROGRAMA_DETALLE!$Z$4:$Z$503,PROGRAMA_DETALLE!$A$4:$A$503,A36),0)</f>
        <v>0</v>
      </c>
      <c r="G36" s="100" t="str">
        <f>IF(PROGRAMAS!AE36=0,"",PROGRAMAS!AE36)</f>
        <v/>
      </c>
      <c r="H36" s="12" t="str">
        <f>IF(PROGRAMAS!W36=0,"",PROGRAMAS!W36)</f>
        <v/>
      </c>
      <c r="I36" s="101">
        <f t="shared" si="1"/>
        <v>0</v>
      </c>
      <c r="J36" s="25">
        <f t="shared" si="2"/>
        <v>0</v>
      </c>
      <c r="K36" s="45" t="str">
        <f>IF(PROGRAMAS!I36="","",PROGRAMAS!I36)</f>
        <v/>
      </c>
    </row>
    <row r="37" ht="15.75" customHeight="1">
      <c r="A37" s="98" t="str">
        <f>IF(PROGRAMAS!A37="","",PROGRAMAS!A37)</f>
        <v/>
      </c>
      <c r="B37" s="99" t="str">
        <f>IF(PROGRAMAS!D37="","",PROGRAMAS!D37)</f>
        <v/>
      </c>
      <c r="C37" s="12" t="str">
        <f>IF(PROGRAMAS!M37=0,"",PROGRAMAS!M37)</f>
        <v/>
      </c>
      <c r="D37" s="78" t="str">
        <f>IF(PROGRAMAS!N37=0,"",PROGRAMAS!N37)</f>
        <v/>
      </c>
      <c r="E37" s="78">
        <f>IFERROR(SUMIFS(PROGRAMA_DETALLE!$M$4:$M$503,PROGRAMA_DETALLE!$A$4:$A$503,A37),0)</f>
        <v>0</v>
      </c>
      <c r="F37" s="78">
        <f>IFERROR(SUMIFS(PROGRAMA_DETALLE!$Z$4:$Z$503,PROGRAMA_DETALLE!$A$4:$A$503,A37),0)</f>
        <v>0</v>
      </c>
      <c r="G37" s="100" t="str">
        <f>IF(PROGRAMAS!AE37=0,"",PROGRAMAS!AE37)</f>
        <v/>
      </c>
      <c r="H37" s="12" t="str">
        <f>IF(PROGRAMAS!W37=0,"",PROGRAMAS!W37)</f>
        <v/>
      </c>
      <c r="I37" s="101">
        <f t="shared" si="1"/>
        <v>0</v>
      </c>
      <c r="J37" s="25">
        <f t="shared" si="2"/>
        <v>0</v>
      </c>
      <c r="K37" s="45" t="str">
        <f>IF(PROGRAMAS!I37="","",PROGRAMAS!I37)</f>
        <v/>
      </c>
    </row>
    <row r="38" ht="15.75" customHeight="1">
      <c r="A38" s="98" t="str">
        <f>IF(PROGRAMAS!A38="","",PROGRAMAS!A38)</f>
        <v/>
      </c>
      <c r="B38" s="99" t="str">
        <f>IF(PROGRAMAS!D38="","",PROGRAMAS!D38)</f>
        <v/>
      </c>
      <c r="C38" s="12" t="str">
        <f>IF(PROGRAMAS!M38=0,"",PROGRAMAS!M38)</f>
        <v/>
      </c>
      <c r="D38" s="78" t="str">
        <f>IF(PROGRAMAS!N38=0,"",PROGRAMAS!N38)</f>
        <v/>
      </c>
      <c r="E38" s="78">
        <f>IFERROR(SUMIFS(PROGRAMA_DETALLE!$M$4:$M$503,PROGRAMA_DETALLE!$A$4:$A$503,A38),0)</f>
        <v>0</v>
      </c>
      <c r="F38" s="78">
        <f>IFERROR(SUMIFS(PROGRAMA_DETALLE!$Z$4:$Z$503,PROGRAMA_DETALLE!$A$4:$A$503,A38),0)</f>
        <v>0</v>
      </c>
      <c r="G38" s="100" t="str">
        <f>IF(PROGRAMAS!AE38=0,"",PROGRAMAS!AE38)</f>
        <v/>
      </c>
      <c r="H38" s="12" t="str">
        <f>IF(PROGRAMAS!W38=0,"",PROGRAMAS!W38)</f>
        <v/>
      </c>
      <c r="I38" s="101">
        <f t="shared" si="1"/>
        <v>0</v>
      </c>
      <c r="J38" s="25">
        <f t="shared" si="2"/>
        <v>0</v>
      </c>
      <c r="K38" s="45" t="str">
        <f>IF(PROGRAMAS!I38="","",PROGRAMAS!I38)</f>
        <v/>
      </c>
    </row>
    <row r="39" ht="15.75" customHeight="1">
      <c r="A39" s="98" t="str">
        <f>IF(PROGRAMAS!A39="","",PROGRAMAS!A39)</f>
        <v/>
      </c>
      <c r="B39" s="99" t="str">
        <f>IF(PROGRAMAS!D39="","",PROGRAMAS!D39)</f>
        <v/>
      </c>
      <c r="C39" s="12" t="str">
        <f>IF(PROGRAMAS!M39=0,"",PROGRAMAS!M39)</f>
        <v/>
      </c>
      <c r="D39" s="78" t="str">
        <f>IF(PROGRAMAS!N39=0,"",PROGRAMAS!N39)</f>
        <v/>
      </c>
      <c r="E39" s="78">
        <f>IFERROR(SUMIFS(PROGRAMA_DETALLE!$M$4:$M$503,PROGRAMA_DETALLE!$A$4:$A$503,A39),0)</f>
        <v>0</v>
      </c>
      <c r="F39" s="78">
        <f>IFERROR(SUMIFS(PROGRAMA_DETALLE!$Z$4:$Z$503,PROGRAMA_DETALLE!$A$4:$A$503,A39),0)</f>
        <v>0</v>
      </c>
      <c r="G39" s="100" t="str">
        <f>IF(PROGRAMAS!AE39=0,"",PROGRAMAS!AE39)</f>
        <v/>
      </c>
      <c r="H39" s="12" t="str">
        <f>IF(PROGRAMAS!W39=0,"",PROGRAMAS!W39)</f>
        <v/>
      </c>
      <c r="I39" s="101">
        <f t="shared" si="1"/>
        <v>0</v>
      </c>
      <c r="J39" s="25">
        <f t="shared" si="2"/>
        <v>0</v>
      </c>
      <c r="K39" s="45" t="str">
        <f>IF(PROGRAMAS!I39="","",PROGRAMAS!I39)</f>
        <v/>
      </c>
    </row>
    <row r="40" ht="15.75" customHeight="1">
      <c r="A40" s="98" t="str">
        <f>IF(PROGRAMAS!A40="","",PROGRAMAS!A40)</f>
        <v/>
      </c>
      <c r="B40" s="99" t="str">
        <f>IF(PROGRAMAS!D40="","",PROGRAMAS!D40)</f>
        <v/>
      </c>
      <c r="C40" s="12" t="str">
        <f>IF(PROGRAMAS!M40=0,"",PROGRAMAS!M40)</f>
        <v/>
      </c>
      <c r="D40" s="78" t="str">
        <f>IF(PROGRAMAS!N40=0,"",PROGRAMAS!N40)</f>
        <v/>
      </c>
      <c r="E40" s="78">
        <f>IFERROR(SUMIFS(PROGRAMA_DETALLE!$M$4:$M$503,PROGRAMA_DETALLE!$A$4:$A$503,A40),0)</f>
        <v>0</v>
      </c>
      <c r="F40" s="78">
        <f>IFERROR(SUMIFS(PROGRAMA_DETALLE!$Z$4:$Z$503,PROGRAMA_DETALLE!$A$4:$A$503,A40),0)</f>
        <v>0</v>
      </c>
      <c r="G40" s="100" t="str">
        <f>IF(PROGRAMAS!AE40=0,"",PROGRAMAS!AE40)</f>
        <v/>
      </c>
      <c r="H40" s="12" t="str">
        <f>IF(PROGRAMAS!W40=0,"",PROGRAMAS!W40)</f>
        <v/>
      </c>
      <c r="I40" s="101">
        <f t="shared" si="1"/>
        <v>0</v>
      </c>
      <c r="J40" s="25">
        <f t="shared" si="2"/>
        <v>0</v>
      </c>
      <c r="K40" s="45" t="str">
        <f>IF(PROGRAMAS!I40="","",PROGRAMAS!I40)</f>
        <v/>
      </c>
    </row>
    <row r="41" ht="15.75" customHeight="1">
      <c r="A41" s="98" t="str">
        <f>IF(PROGRAMAS!A41="","",PROGRAMAS!A41)</f>
        <v/>
      </c>
      <c r="B41" s="99" t="str">
        <f>IF(PROGRAMAS!D41="","",PROGRAMAS!D41)</f>
        <v/>
      </c>
      <c r="C41" s="12" t="str">
        <f>IF(PROGRAMAS!M41=0,"",PROGRAMAS!M41)</f>
        <v/>
      </c>
      <c r="D41" s="78" t="str">
        <f>IF(PROGRAMAS!N41=0,"",PROGRAMAS!N41)</f>
        <v/>
      </c>
      <c r="E41" s="78">
        <f>IFERROR(SUMIFS(PROGRAMA_DETALLE!$M$4:$M$503,PROGRAMA_DETALLE!$A$4:$A$503,A41),0)</f>
        <v>0</v>
      </c>
      <c r="F41" s="78">
        <f>IFERROR(SUMIFS(PROGRAMA_DETALLE!$Z$4:$Z$503,PROGRAMA_DETALLE!$A$4:$A$503,A41),0)</f>
        <v>0</v>
      </c>
      <c r="G41" s="100" t="str">
        <f>IF(PROGRAMAS!AE41=0,"",PROGRAMAS!AE41)</f>
        <v/>
      </c>
      <c r="H41" s="12" t="str">
        <f>IF(PROGRAMAS!W41=0,"",PROGRAMAS!W41)</f>
        <v/>
      </c>
      <c r="I41" s="101">
        <f t="shared" si="1"/>
        <v>0</v>
      </c>
      <c r="J41" s="25">
        <f t="shared" si="2"/>
        <v>0</v>
      </c>
      <c r="K41" s="45" t="str">
        <f>IF(PROGRAMAS!I41="","",PROGRAMAS!I41)</f>
        <v/>
      </c>
    </row>
    <row r="42" ht="15.75" customHeight="1">
      <c r="A42" s="98" t="str">
        <f>IF(PROGRAMAS!A42="","",PROGRAMAS!A42)</f>
        <v/>
      </c>
      <c r="B42" s="99" t="str">
        <f>IF(PROGRAMAS!D42="","",PROGRAMAS!D42)</f>
        <v/>
      </c>
      <c r="C42" s="12" t="str">
        <f>IF(PROGRAMAS!M42=0,"",PROGRAMAS!M42)</f>
        <v/>
      </c>
      <c r="D42" s="78" t="str">
        <f>IF(PROGRAMAS!N42=0,"",PROGRAMAS!N42)</f>
        <v/>
      </c>
      <c r="E42" s="78">
        <f>IFERROR(SUMIFS(PROGRAMA_DETALLE!$M$4:$M$503,PROGRAMA_DETALLE!$A$4:$A$503,A42),0)</f>
        <v>0</v>
      </c>
      <c r="F42" s="78">
        <f>IFERROR(SUMIFS(PROGRAMA_DETALLE!$Z$4:$Z$503,PROGRAMA_DETALLE!$A$4:$A$503,A42),0)</f>
        <v>0</v>
      </c>
      <c r="G42" s="100" t="str">
        <f>IF(PROGRAMAS!AE42=0,"",PROGRAMAS!AE42)</f>
        <v/>
      </c>
      <c r="H42" s="12" t="str">
        <f>IF(PROGRAMAS!W42=0,"",PROGRAMAS!W42)</f>
        <v/>
      </c>
      <c r="I42" s="101">
        <f t="shared" si="1"/>
        <v>0</v>
      </c>
      <c r="J42" s="25">
        <f t="shared" si="2"/>
        <v>0</v>
      </c>
      <c r="K42" s="45" t="str">
        <f>IF(PROGRAMAS!I42="","",PROGRAMAS!I42)</f>
        <v/>
      </c>
    </row>
    <row r="43" ht="15.75" customHeight="1">
      <c r="A43" s="98" t="str">
        <f>IF(PROGRAMAS!A43="","",PROGRAMAS!A43)</f>
        <v/>
      </c>
      <c r="B43" s="99" t="str">
        <f>IF(PROGRAMAS!D43="","",PROGRAMAS!D43)</f>
        <v/>
      </c>
      <c r="C43" s="12" t="str">
        <f>IF(PROGRAMAS!M43=0,"",PROGRAMAS!M43)</f>
        <v/>
      </c>
      <c r="D43" s="78" t="str">
        <f>IF(PROGRAMAS!N43=0,"",PROGRAMAS!N43)</f>
        <v/>
      </c>
      <c r="E43" s="78">
        <f>IFERROR(SUMIFS(PROGRAMA_DETALLE!$M$4:$M$503,PROGRAMA_DETALLE!$A$4:$A$503,A43),0)</f>
        <v>0</v>
      </c>
      <c r="F43" s="78">
        <f>IFERROR(SUMIFS(PROGRAMA_DETALLE!$Z$4:$Z$503,PROGRAMA_DETALLE!$A$4:$A$503,A43),0)</f>
        <v>0</v>
      </c>
      <c r="G43" s="100" t="str">
        <f>IF(PROGRAMAS!AE43=0,"",PROGRAMAS!AE43)</f>
        <v/>
      </c>
      <c r="H43" s="12" t="str">
        <f>IF(PROGRAMAS!W43=0,"",PROGRAMAS!W43)</f>
        <v/>
      </c>
      <c r="I43" s="101">
        <f t="shared" si="1"/>
        <v>0</v>
      </c>
      <c r="J43" s="25">
        <f t="shared" si="2"/>
        <v>0</v>
      </c>
      <c r="K43" s="45" t="str">
        <f>IF(PROGRAMAS!I43="","",PROGRAMAS!I43)</f>
        <v/>
      </c>
    </row>
    <row r="44" ht="15.75" customHeight="1">
      <c r="A44" s="98" t="str">
        <f>IF(PROGRAMAS!A44="","",PROGRAMAS!A44)</f>
        <v/>
      </c>
      <c r="B44" s="99" t="str">
        <f>IF(PROGRAMAS!D44="","",PROGRAMAS!D44)</f>
        <v/>
      </c>
      <c r="C44" s="12" t="str">
        <f>IF(PROGRAMAS!M44=0,"",PROGRAMAS!M44)</f>
        <v/>
      </c>
      <c r="D44" s="78" t="str">
        <f>IF(PROGRAMAS!N44=0,"",PROGRAMAS!N44)</f>
        <v/>
      </c>
      <c r="E44" s="78">
        <f>IFERROR(SUMIFS(PROGRAMA_DETALLE!$M$4:$M$503,PROGRAMA_DETALLE!$A$4:$A$503,A44),0)</f>
        <v>0</v>
      </c>
      <c r="F44" s="78">
        <f>IFERROR(SUMIFS(PROGRAMA_DETALLE!$Z$4:$Z$503,PROGRAMA_DETALLE!$A$4:$A$503,A44),0)</f>
        <v>0</v>
      </c>
      <c r="G44" s="100" t="str">
        <f>IF(PROGRAMAS!AE44=0,"",PROGRAMAS!AE44)</f>
        <v/>
      </c>
      <c r="H44" s="12" t="str">
        <f>IF(PROGRAMAS!W44=0,"",PROGRAMAS!W44)</f>
        <v/>
      </c>
      <c r="I44" s="101">
        <f t="shared" si="1"/>
        <v>0</v>
      </c>
      <c r="J44" s="25">
        <f t="shared" si="2"/>
        <v>0</v>
      </c>
      <c r="K44" s="45" t="str">
        <f>IF(PROGRAMAS!I44="","",PROGRAMAS!I44)</f>
        <v/>
      </c>
    </row>
    <row r="45" ht="15.75" customHeight="1">
      <c r="A45" s="98" t="str">
        <f>IF(PROGRAMAS!A45="","",PROGRAMAS!A45)</f>
        <v/>
      </c>
      <c r="B45" s="99" t="str">
        <f>IF(PROGRAMAS!D45="","",PROGRAMAS!D45)</f>
        <v/>
      </c>
      <c r="C45" s="12" t="str">
        <f>IF(PROGRAMAS!M45=0,"",PROGRAMAS!M45)</f>
        <v/>
      </c>
      <c r="D45" s="78" t="str">
        <f>IF(PROGRAMAS!N45=0,"",PROGRAMAS!N45)</f>
        <v/>
      </c>
      <c r="E45" s="78">
        <f>IFERROR(SUMIFS(PROGRAMA_DETALLE!$M$4:$M$503,PROGRAMA_DETALLE!$A$4:$A$503,A45),0)</f>
        <v>0</v>
      </c>
      <c r="F45" s="78">
        <f>IFERROR(SUMIFS(PROGRAMA_DETALLE!$Z$4:$Z$503,PROGRAMA_DETALLE!$A$4:$A$503,A45),0)</f>
        <v>0</v>
      </c>
      <c r="G45" s="100" t="str">
        <f>IF(PROGRAMAS!AE45=0,"",PROGRAMAS!AE45)</f>
        <v/>
      </c>
      <c r="H45" s="12" t="str">
        <f>IF(PROGRAMAS!W45=0,"",PROGRAMAS!W45)</f>
        <v/>
      </c>
      <c r="I45" s="101">
        <f t="shared" si="1"/>
        <v>0</v>
      </c>
      <c r="J45" s="25">
        <f t="shared" si="2"/>
        <v>0</v>
      </c>
      <c r="K45" s="45" t="str">
        <f>IF(PROGRAMAS!I45="","",PROGRAMAS!I45)</f>
        <v/>
      </c>
    </row>
    <row r="46" ht="15.75" customHeight="1">
      <c r="A46" s="98" t="str">
        <f>IF(PROGRAMAS!A46="","",PROGRAMAS!A46)</f>
        <v/>
      </c>
      <c r="B46" s="99" t="str">
        <f>IF(PROGRAMAS!D46="","",PROGRAMAS!D46)</f>
        <v/>
      </c>
      <c r="C46" s="12" t="str">
        <f>IF(PROGRAMAS!M46=0,"",PROGRAMAS!M46)</f>
        <v/>
      </c>
      <c r="D46" s="78" t="str">
        <f>IF(PROGRAMAS!N46=0,"",PROGRAMAS!N46)</f>
        <v/>
      </c>
      <c r="E46" s="78">
        <f>IFERROR(SUMIFS(PROGRAMA_DETALLE!$M$4:$M$503,PROGRAMA_DETALLE!$A$4:$A$503,A46),0)</f>
        <v>0</v>
      </c>
      <c r="F46" s="78">
        <f>IFERROR(SUMIFS(PROGRAMA_DETALLE!$Z$4:$Z$503,PROGRAMA_DETALLE!$A$4:$A$503,A46),0)</f>
        <v>0</v>
      </c>
      <c r="G46" s="100" t="str">
        <f>IF(PROGRAMAS!AE46=0,"",PROGRAMAS!AE46)</f>
        <v/>
      </c>
      <c r="H46" s="12" t="str">
        <f>IF(PROGRAMAS!W46=0,"",PROGRAMAS!W46)</f>
        <v/>
      </c>
      <c r="I46" s="101">
        <f t="shared" si="1"/>
        <v>0</v>
      </c>
      <c r="J46" s="25">
        <f t="shared" si="2"/>
        <v>0</v>
      </c>
      <c r="K46" s="45" t="str">
        <f>IF(PROGRAMAS!I46="","",PROGRAMAS!I46)</f>
        <v/>
      </c>
    </row>
    <row r="47" ht="15.75" customHeight="1">
      <c r="A47" s="98" t="str">
        <f>IF(PROGRAMAS!A47="","",PROGRAMAS!A47)</f>
        <v/>
      </c>
      <c r="B47" s="99" t="str">
        <f>IF(PROGRAMAS!D47="","",PROGRAMAS!D47)</f>
        <v/>
      </c>
      <c r="C47" s="12" t="str">
        <f>IF(PROGRAMAS!M47=0,"",PROGRAMAS!M47)</f>
        <v/>
      </c>
      <c r="D47" s="78" t="str">
        <f>IF(PROGRAMAS!N47=0,"",PROGRAMAS!N47)</f>
        <v/>
      </c>
      <c r="E47" s="78">
        <f>IFERROR(SUMIFS(PROGRAMA_DETALLE!$M$4:$M$503,PROGRAMA_DETALLE!$A$4:$A$503,A47),0)</f>
        <v>0</v>
      </c>
      <c r="F47" s="78">
        <f>IFERROR(SUMIFS(PROGRAMA_DETALLE!$Z$4:$Z$503,PROGRAMA_DETALLE!$A$4:$A$503,A47),0)</f>
        <v>0</v>
      </c>
      <c r="G47" s="100" t="str">
        <f>IF(PROGRAMAS!AE47=0,"",PROGRAMAS!AE47)</f>
        <v/>
      </c>
      <c r="H47" s="12" t="str">
        <f>IF(PROGRAMAS!W47=0,"",PROGRAMAS!W47)</f>
        <v/>
      </c>
      <c r="I47" s="101">
        <f t="shared" si="1"/>
        <v>0</v>
      </c>
      <c r="J47" s="25">
        <f t="shared" si="2"/>
        <v>0</v>
      </c>
      <c r="K47" s="45" t="str">
        <f>IF(PROGRAMAS!I47="","",PROGRAMAS!I47)</f>
        <v/>
      </c>
    </row>
    <row r="48" ht="15.75" customHeight="1">
      <c r="A48" s="98" t="str">
        <f>IF(PROGRAMAS!A48="","",PROGRAMAS!A48)</f>
        <v/>
      </c>
      <c r="B48" s="99" t="str">
        <f>IF(PROGRAMAS!D48="","",PROGRAMAS!D48)</f>
        <v/>
      </c>
      <c r="C48" s="12" t="str">
        <f>IF(PROGRAMAS!M48=0,"",PROGRAMAS!M48)</f>
        <v/>
      </c>
      <c r="D48" s="78" t="str">
        <f>IF(PROGRAMAS!N48=0,"",PROGRAMAS!N48)</f>
        <v/>
      </c>
      <c r="E48" s="78">
        <f>IFERROR(SUMIFS(PROGRAMA_DETALLE!$M$4:$M$503,PROGRAMA_DETALLE!$A$4:$A$503,A48),0)</f>
        <v>0</v>
      </c>
      <c r="F48" s="78">
        <f>IFERROR(SUMIFS(PROGRAMA_DETALLE!$Z$4:$Z$503,PROGRAMA_DETALLE!$A$4:$A$503,A48),0)</f>
        <v>0</v>
      </c>
      <c r="G48" s="100" t="str">
        <f>IF(PROGRAMAS!AE48=0,"",PROGRAMAS!AE48)</f>
        <v/>
      </c>
      <c r="H48" s="12" t="str">
        <f>IF(PROGRAMAS!W48=0,"",PROGRAMAS!W48)</f>
        <v/>
      </c>
      <c r="I48" s="101">
        <f t="shared" si="1"/>
        <v>0</v>
      </c>
      <c r="J48" s="25">
        <f t="shared" si="2"/>
        <v>0</v>
      </c>
      <c r="K48" s="45" t="str">
        <f>IF(PROGRAMAS!I48="","",PROGRAMAS!I48)</f>
        <v/>
      </c>
    </row>
    <row r="49" ht="15.75" customHeight="1">
      <c r="A49" s="98" t="str">
        <f>IF(PROGRAMAS!A49="","",PROGRAMAS!A49)</f>
        <v/>
      </c>
      <c r="B49" s="99" t="str">
        <f>IF(PROGRAMAS!D49="","",PROGRAMAS!D49)</f>
        <v/>
      </c>
      <c r="C49" s="12" t="str">
        <f>IF(PROGRAMAS!M49=0,"",PROGRAMAS!M49)</f>
        <v/>
      </c>
      <c r="D49" s="78" t="str">
        <f>IF(PROGRAMAS!N49=0,"",PROGRAMAS!N49)</f>
        <v/>
      </c>
      <c r="E49" s="78">
        <f>IFERROR(SUMIFS(PROGRAMA_DETALLE!$M$4:$M$503,PROGRAMA_DETALLE!$A$4:$A$503,A49),0)</f>
        <v>0</v>
      </c>
      <c r="F49" s="78">
        <f>IFERROR(SUMIFS(PROGRAMA_DETALLE!$Z$4:$Z$503,PROGRAMA_DETALLE!$A$4:$A$503,A49),0)</f>
        <v>0</v>
      </c>
      <c r="G49" s="100" t="str">
        <f>IF(PROGRAMAS!AE49=0,"",PROGRAMAS!AE49)</f>
        <v/>
      </c>
      <c r="H49" s="12" t="str">
        <f>IF(PROGRAMAS!W49=0,"",PROGRAMAS!W49)</f>
        <v/>
      </c>
      <c r="I49" s="101">
        <f t="shared" si="1"/>
        <v>0</v>
      </c>
      <c r="J49" s="25">
        <f t="shared" si="2"/>
        <v>0</v>
      </c>
      <c r="K49" s="45" t="str">
        <f>IF(PROGRAMAS!I49="","",PROGRAMAS!I49)</f>
        <v/>
      </c>
    </row>
    <row r="50" ht="15.75" customHeight="1">
      <c r="A50" s="98" t="str">
        <f>IF(PROGRAMAS!A50="","",PROGRAMAS!A50)</f>
        <v/>
      </c>
      <c r="B50" s="99" t="str">
        <f>IF(PROGRAMAS!D50="","",PROGRAMAS!D50)</f>
        <v/>
      </c>
      <c r="C50" s="12" t="str">
        <f>IF(PROGRAMAS!M50=0,"",PROGRAMAS!M50)</f>
        <v/>
      </c>
      <c r="D50" s="78" t="str">
        <f>IF(PROGRAMAS!N50=0,"",PROGRAMAS!N50)</f>
        <v/>
      </c>
      <c r="E50" s="78">
        <f>IFERROR(SUMIFS(PROGRAMA_DETALLE!$M$4:$M$503,PROGRAMA_DETALLE!$A$4:$A$503,A50),0)</f>
        <v>0</v>
      </c>
      <c r="F50" s="78">
        <f>IFERROR(SUMIFS(PROGRAMA_DETALLE!$Z$4:$Z$503,PROGRAMA_DETALLE!$A$4:$A$503,A50),0)</f>
        <v>0</v>
      </c>
      <c r="G50" s="100" t="str">
        <f>IF(PROGRAMAS!AE50=0,"",PROGRAMAS!AE50)</f>
        <v/>
      </c>
      <c r="H50" s="12" t="str">
        <f>IF(PROGRAMAS!W50=0,"",PROGRAMAS!W50)</f>
        <v/>
      </c>
      <c r="I50" s="101">
        <f t="shared" si="1"/>
        <v>0</v>
      </c>
      <c r="J50" s="25">
        <f t="shared" si="2"/>
        <v>0</v>
      </c>
      <c r="K50" s="45" t="str">
        <f>IF(PROGRAMAS!I50="","",PROGRAMAS!I50)</f>
        <v/>
      </c>
    </row>
    <row r="51" ht="15.75" customHeight="1">
      <c r="A51" s="98" t="str">
        <f>IF(PROGRAMAS!A51="","",PROGRAMAS!A51)</f>
        <v/>
      </c>
      <c r="B51" s="99" t="str">
        <f>IF(PROGRAMAS!D51="","",PROGRAMAS!D51)</f>
        <v/>
      </c>
      <c r="C51" s="12" t="str">
        <f>IF(PROGRAMAS!M51=0,"",PROGRAMAS!M51)</f>
        <v/>
      </c>
      <c r="D51" s="78" t="str">
        <f>IF(PROGRAMAS!N51=0,"",PROGRAMAS!N51)</f>
        <v/>
      </c>
      <c r="E51" s="78">
        <f>IFERROR(SUMIFS(PROGRAMA_DETALLE!$M$4:$M$503,PROGRAMA_DETALLE!$A$4:$A$503,A51),0)</f>
        <v>0</v>
      </c>
      <c r="F51" s="78">
        <f>IFERROR(SUMIFS(PROGRAMA_DETALLE!$Z$4:$Z$503,PROGRAMA_DETALLE!$A$4:$A$503,A51),0)</f>
        <v>0</v>
      </c>
      <c r="G51" s="100" t="str">
        <f>IF(PROGRAMAS!AE51=0,"",PROGRAMAS!AE51)</f>
        <v/>
      </c>
      <c r="H51" s="12" t="str">
        <f>IF(PROGRAMAS!W51=0,"",PROGRAMAS!W51)</f>
        <v/>
      </c>
      <c r="I51" s="101">
        <f t="shared" si="1"/>
        <v>0</v>
      </c>
      <c r="J51" s="25">
        <f t="shared" si="2"/>
        <v>0</v>
      </c>
      <c r="K51" s="45" t="str">
        <f>IF(PROGRAMAS!I51="","",PROGRAMAS!I51)</f>
        <v/>
      </c>
    </row>
    <row r="52" ht="15.75" customHeight="1">
      <c r="A52" s="98" t="str">
        <f>IF(PROGRAMAS!A52="","",PROGRAMAS!A52)</f>
        <v/>
      </c>
      <c r="B52" s="99" t="str">
        <f>IF(PROGRAMAS!D52="","",PROGRAMAS!D52)</f>
        <v/>
      </c>
      <c r="C52" s="12" t="str">
        <f>IF(PROGRAMAS!M52=0,"",PROGRAMAS!M52)</f>
        <v/>
      </c>
      <c r="D52" s="78" t="str">
        <f>IF(PROGRAMAS!N52=0,"",PROGRAMAS!N52)</f>
        <v/>
      </c>
      <c r="E52" s="78">
        <f>IFERROR(SUMIFS(PROGRAMA_DETALLE!$M$4:$M$503,PROGRAMA_DETALLE!$A$4:$A$503,A52),0)</f>
        <v>0</v>
      </c>
      <c r="F52" s="78">
        <f>IFERROR(SUMIFS(PROGRAMA_DETALLE!$Z$4:$Z$503,PROGRAMA_DETALLE!$A$4:$A$503,A52),0)</f>
        <v>0</v>
      </c>
      <c r="G52" s="100" t="str">
        <f>IF(PROGRAMAS!AE52=0,"",PROGRAMAS!AE52)</f>
        <v/>
      </c>
      <c r="H52" s="12" t="str">
        <f>IF(PROGRAMAS!W52=0,"",PROGRAMAS!W52)</f>
        <v/>
      </c>
      <c r="I52" s="101">
        <f t="shared" si="1"/>
        <v>0</v>
      </c>
      <c r="J52" s="25">
        <f t="shared" si="2"/>
        <v>0</v>
      </c>
      <c r="K52" s="45" t="str">
        <f>IF(PROGRAMAS!I52="","",PROGRAMAS!I52)</f>
        <v/>
      </c>
    </row>
    <row r="53" ht="15.75" customHeight="1">
      <c r="A53" s="98" t="str">
        <f>IF(PROGRAMAS!A53="","",PROGRAMAS!A53)</f>
        <v/>
      </c>
      <c r="B53" s="99" t="str">
        <f>IF(PROGRAMAS!D53="","",PROGRAMAS!D53)</f>
        <v/>
      </c>
      <c r="C53" s="12" t="str">
        <f>IF(PROGRAMAS!M53=0,"",PROGRAMAS!M53)</f>
        <v/>
      </c>
      <c r="D53" s="78" t="str">
        <f>IF(PROGRAMAS!N53=0,"",PROGRAMAS!N53)</f>
        <v/>
      </c>
      <c r="E53" s="78">
        <f>IFERROR(SUMIFS(PROGRAMA_DETALLE!$M$4:$M$503,PROGRAMA_DETALLE!$A$4:$A$503,A53),0)</f>
        <v>0</v>
      </c>
      <c r="F53" s="78">
        <f>IFERROR(SUMIFS(PROGRAMA_DETALLE!$Z$4:$Z$503,PROGRAMA_DETALLE!$A$4:$A$503,A53),0)</f>
        <v>0</v>
      </c>
      <c r="G53" s="100" t="str">
        <f>IF(PROGRAMAS!AE53=0,"",PROGRAMAS!AE53)</f>
        <v/>
      </c>
      <c r="H53" s="12" t="str">
        <f>IF(PROGRAMAS!W53=0,"",PROGRAMAS!W53)</f>
        <v/>
      </c>
      <c r="I53" s="101">
        <f t="shared" si="1"/>
        <v>0</v>
      </c>
      <c r="J53" s="25">
        <f t="shared" si="2"/>
        <v>0</v>
      </c>
      <c r="K53" s="45" t="str">
        <f>IF(PROGRAMAS!I53="","",PROGRAMAS!I53)</f>
        <v/>
      </c>
    </row>
    <row r="54" ht="15.75" customHeight="1">
      <c r="A54" s="98" t="str">
        <f>IF(PROGRAMAS!A54="","",PROGRAMAS!A54)</f>
        <v/>
      </c>
      <c r="B54" s="99" t="str">
        <f>IF(PROGRAMAS!D54="","",PROGRAMAS!D54)</f>
        <v/>
      </c>
      <c r="C54" s="12" t="str">
        <f>IF(PROGRAMAS!M54=0,"",PROGRAMAS!M54)</f>
        <v/>
      </c>
      <c r="D54" s="78" t="str">
        <f>IF(PROGRAMAS!N54=0,"",PROGRAMAS!N54)</f>
        <v/>
      </c>
      <c r="E54" s="78">
        <f>IFERROR(SUMIFS(PROGRAMA_DETALLE!$M$4:$M$503,PROGRAMA_DETALLE!$A$4:$A$503,A54),0)</f>
        <v>0</v>
      </c>
      <c r="F54" s="78">
        <f>IFERROR(SUMIFS(PROGRAMA_DETALLE!$Z$4:$Z$503,PROGRAMA_DETALLE!$A$4:$A$503,A54),0)</f>
        <v>0</v>
      </c>
      <c r="G54" s="100" t="str">
        <f>IF(PROGRAMAS!AE54=0,"",PROGRAMAS!AE54)</f>
        <v/>
      </c>
      <c r="H54" s="12" t="str">
        <f>IF(PROGRAMAS!W54=0,"",PROGRAMAS!W54)</f>
        <v/>
      </c>
      <c r="I54" s="101">
        <f t="shared" si="1"/>
        <v>0</v>
      </c>
      <c r="J54" s="25">
        <f t="shared" si="2"/>
        <v>0</v>
      </c>
      <c r="K54" s="45" t="str">
        <f>IF(PROGRAMAS!I54="","",PROGRAMAS!I54)</f>
        <v/>
      </c>
    </row>
    <row r="55" ht="15.75" customHeight="1">
      <c r="A55" s="98" t="str">
        <f>IF(PROGRAMAS!A55="","",PROGRAMAS!A55)</f>
        <v/>
      </c>
      <c r="B55" s="99" t="str">
        <f>IF(PROGRAMAS!D55="","",PROGRAMAS!D55)</f>
        <v/>
      </c>
      <c r="C55" s="12" t="str">
        <f>IF(PROGRAMAS!M55=0,"",PROGRAMAS!M55)</f>
        <v/>
      </c>
      <c r="D55" s="78" t="str">
        <f>IF(PROGRAMAS!N55=0,"",PROGRAMAS!N55)</f>
        <v/>
      </c>
      <c r="E55" s="78">
        <f>IFERROR(SUMIFS(PROGRAMA_DETALLE!$M$4:$M$503,PROGRAMA_DETALLE!$A$4:$A$503,A55),0)</f>
        <v>0</v>
      </c>
      <c r="F55" s="78">
        <f>IFERROR(SUMIFS(PROGRAMA_DETALLE!$Z$4:$Z$503,PROGRAMA_DETALLE!$A$4:$A$503,A55),0)</f>
        <v>0</v>
      </c>
      <c r="G55" s="100" t="str">
        <f>IF(PROGRAMAS!AE55=0,"",PROGRAMAS!AE55)</f>
        <v/>
      </c>
      <c r="H55" s="12" t="str">
        <f>IF(PROGRAMAS!W55=0,"",PROGRAMAS!W55)</f>
        <v/>
      </c>
      <c r="I55" s="101">
        <f t="shared" si="1"/>
        <v>0</v>
      </c>
      <c r="J55" s="25">
        <f t="shared" si="2"/>
        <v>0</v>
      </c>
      <c r="K55" s="45" t="str">
        <f>IF(PROGRAMAS!I55="","",PROGRAMAS!I55)</f>
        <v/>
      </c>
    </row>
    <row r="56" ht="15.75" customHeight="1">
      <c r="A56" s="98" t="str">
        <f>IF(PROGRAMAS!A56="","",PROGRAMAS!A56)</f>
        <v/>
      </c>
      <c r="B56" s="99" t="str">
        <f>IF(PROGRAMAS!D56="","",PROGRAMAS!D56)</f>
        <v/>
      </c>
      <c r="C56" s="12" t="str">
        <f>IF(PROGRAMAS!M56=0,"",PROGRAMAS!M56)</f>
        <v/>
      </c>
      <c r="D56" s="78" t="str">
        <f>IF(PROGRAMAS!N56=0,"",PROGRAMAS!N56)</f>
        <v/>
      </c>
      <c r="E56" s="78">
        <f>IFERROR(SUMIFS(PROGRAMA_DETALLE!$M$4:$M$503,PROGRAMA_DETALLE!$A$4:$A$503,A56),0)</f>
        <v>0</v>
      </c>
      <c r="F56" s="78">
        <f>IFERROR(SUMIFS(PROGRAMA_DETALLE!$Z$4:$Z$503,PROGRAMA_DETALLE!$A$4:$A$503,A56),0)</f>
        <v>0</v>
      </c>
      <c r="G56" s="100" t="str">
        <f>IF(PROGRAMAS!AE56=0,"",PROGRAMAS!AE56)</f>
        <v/>
      </c>
      <c r="H56" s="12" t="str">
        <f>IF(PROGRAMAS!W56=0,"",PROGRAMAS!W56)</f>
        <v/>
      </c>
      <c r="I56" s="101">
        <f t="shared" si="1"/>
        <v>0</v>
      </c>
      <c r="J56" s="25">
        <f t="shared" si="2"/>
        <v>0</v>
      </c>
      <c r="K56" s="45" t="str">
        <f>IF(PROGRAMAS!I56="","",PROGRAMAS!I56)</f>
        <v/>
      </c>
    </row>
    <row r="57" ht="15.75" customHeight="1">
      <c r="A57" s="98" t="str">
        <f>IF(PROGRAMAS!A57="","",PROGRAMAS!A57)</f>
        <v/>
      </c>
      <c r="B57" s="99" t="str">
        <f>IF(PROGRAMAS!D57="","",PROGRAMAS!D57)</f>
        <v/>
      </c>
      <c r="C57" s="12" t="str">
        <f>IF(PROGRAMAS!M57=0,"",PROGRAMAS!M57)</f>
        <v/>
      </c>
      <c r="D57" s="78" t="str">
        <f>IF(PROGRAMAS!N57=0,"",PROGRAMAS!N57)</f>
        <v/>
      </c>
      <c r="E57" s="78">
        <f>IFERROR(SUMIFS(PROGRAMA_DETALLE!$M$4:$M$503,PROGRAMA_DETALLE!$A$4:$A$503,A57),0)</f>
        <v>0</v>
      </c>
      <c r="F57" s="78">
        <f>IFERROR(SUMIFS(PROGRAMA_DETALLE!$Z$4:$Z$503,PROGRAMA_DETALLE!$A$4:$A$503,A57),0)</f>
        <v>0</v>
      </c>
      <c r="G57" s="100" t="str">
        <f>IF(PROGRAMAS!AE57=0,"",PROGRAMAS!AE57)</f>
        <v/>
      </c>
      <c r="H57" s="12" t="str">
        <f>IF(PROGRAMAS!W57=0,"",PROGRAMAS!W57)</f>
        <v/>
      </c>
      <c r="I57" s="101">
        <f t="shared" si="1"/>
        <v>0</v>
      </c>
      <c r="J57" s="25">
        <f t="shared" si="2"/>
        <v>0</v>
      </c>
      <c r="K57" s="45" t="str">
        <f>IF(PROGRAMAS!I57="","",PROGRAMAS!I57)</f>
        <v/>
      </c>
    </row>
    <row r="58" ht="15.75" customHeight="1">
      <c r="A58" s="98" t="str">
        <f>IF(PROGRAMAS!A58="","",PROGRAMAS!A58)</f>
        <v/>
      </c>
      <c r="B58" s="99" t="str">
        <f>IF(PROGRAMAS!D58="","",PROGRAMAS!D58)</f>
        <v/>
      </c>
      <c r="C58" s="12" t="str">
        <f>IF(PROGRAMAS!M58=0,"",PROGRAMAS!M58)</f>
        <v/>
      </c>
      <c r="D58" s="78" t="str">
        <f>IF(PROGRAMAS!N58=0,"",PROGRAMAS!N58)</f>
        <v/>
      </c>
      <c r="E58" s="78">
        <f>IFERROR(SUMIFS(PROGRAMA_DETALLE!$M$4:$M$503,PROGRAMA_DETALLE!$A$4:$A$503,A58),0)</f>
        <v>0</v>
      </c>
      <c r="F58" s="78">
        <f>IFERROR(SUMIFS(PROGRAMA_DETALLE!$Z$4:$Z$503,PROGRAMA_DETALLE!$A$4:$A$503,A58),0)</f>
        <v>0</v>
      </c>
      <c r="G58" s="100" t="str">
        <f>IF(PROGRAMAS!AE58=0,"",PROGRAMAS!AE58)</f>
        <v/>
      </c>
      <c r="H58" s="12" t="str">
        <f>IF(PROGRAMAS!W58=0,"",PROGRAMAS!W58)</f>
        <v/>
      </c>
      <c r="I58" s="101">
        <f t="shared" si="1"/>
        <v>0</v>
      </c>
      <c r="J58" s="25">
        <f t="shared" si="2"/>
        <v>0</v>
      </c>
      <c r="K58" s="45" t="str">
        <f>IF(PROGRAMAS!I58="","",PROGRAMAS!I58)</f>
        <v/>
      </c>
    </row>
    <row r="59" ht="15.75" customHeight="1">
      <c r="A59" s="98" t="str">
        <f>IF(PROGRAMAS!A59="","",PROGRAMAS!A59)</f>
        <v/>
      </c>
      <c r="B59" s="99" t="str">
        <f>IF(PROGRAMAS!D59="","",PROGRAMAS!D59)</f>
        <v/>
      </c>
      <c r="C59" s="12" t="str">
        <f>IF(PROGRAMAS!M59=0,"",PROGRAMAS!M59)</f>
        <v/>
      </c>
      <c r="D59" s="78" t="str">
        <f>IF(PROGRAMAS!N59=0,"",PROGRAMAS!N59)</f>
        <v/>
      </c>
      <c r="E59" s="78">
        <f>IFERROR(SUMIFS(PROGRAMA_DETALLE!$M$4:$M$503,PROGRAMA_DETALLE!$A$4:$A$503,A59),0)</f>
        <v>0</v>
      </c>
      <c r="F59" s="78">
        <f>IFERROR(SUMIFS(PROGRAMA_DETALLE!$Z$4:$Z$503,PROGRAMA_DETALLE!$A$4:$A$503,A59),0)</f>
        <v>0</v>
      </c>
      <c r="G59" s="100" t="str">
        <f>IF(PROGRAMAS!AE59=0,"",PROGRAMAS!AE59)</f>
        <v/>
      </c>
      <c r="H59" s="12" t="str">
        <f>IF(PROGRAMAS!W59=0,"",PROGRAMAS!W59)</f>
        <v/>
      </c>
      <c r="I59" s="101">
        <f t="shared" si="1"/>
        <v>0</v>
      </c>
      <c r="J59" s="25">
        <f t="shared" si="2"/>
        <v>0</v>
      </c>
      <c r="K59" s="45" t="str">
        <f>IF(PROGRAMAS!I59="","",PROGRAMAS!I59)</f>
        <v/>
      </c>
    </row>
    <row r="60" ht="15.75" customHeight="1">
      <c r="A60" s="98" t="str">
        <f>IF(PROGRAMAS!A60="","",PROGRAMAS!A60)</f>
        <v/>
      </c>
      <c r="B60" s="99" t="str">
        <f>IF(PROGRAMAS!D60="","",PROGRAMAS!D60)</f>
        <v/>
      </c>
      <c r="C60" s="12" t="str">
        <f>IF(PROGRAMAS!M60=0,"",PROGRAMAS!M60)</f>
        <v/>
      </c>
      <c r="D60" s="78" t="str">
        <f>IF(PROGRAMAS!N60=0,"",PROGRAMAS!N60)</f>
        <v/>
      </c>
      <c r="E60" s="78">
        <f>IFERROR(SUMIFS(PROGRAMA_DETALLE!$M$4:$M$503,PROGRAMA_DETALLE!$A$4:$A$503,A60),0)</f>
        <v>0</v>
      </c>
      <c r="F60" s="78">
        <f>IFERROR(SUMIFS(PROGRAMA_DETALLE!$Z$4:$Z$503,PROGRAMA_DETALLE!$A$4:$A$503,A60),0)</f>
        <v>0</v>
      </c>
      <c r="G60" s="100" t="str">
        <f>IF(PROGRAMAS!AE60=0,"",PROGRAMAS!AE60)</f>
        <v/>
      </c>
      <c r="H60" s="12" t="str">
        <f>IF(PROGRAMAS!W60=0,"",PROGRAMAS!W60)</f>
        <v/>
      </c>
      <c r="I60" s="101">
        <f t="shared" si="1"/>
        <v>0</v>
      </c>
      <c r="J60" s="25">
        <f t="shared" si="2"/>
        <v>0</v>
      </c>
      <c r="K60" s="45" t="str">
        <f>IF(PROGRAMAS!I60="","",PROGRAMAS!I60)</f>
        <v/>
      </c>
    </row>
    <row r="61" ht="15.75" customHeight="1">
      <c r="A61" s="98" t="str">
        <f>IF(PROGRAMAS!A61="","",PROGRAMAS!A61)</f>
        <v/>
      </c>
      <c r="B61" s="99" t="str">
        <f>IF(PROGRAMAS!D61="","",PROGRAMAS!D61)</f>
        <v/>
      </c>
      <c r="C61" s="12" t="str">
        <f>IF(PROGRAMAS!M61=0,"",PROGRAMAS!M61)</f>
        <v/>
      </c>
      <c r="D61" s="78" t="str">
        <f>IF(PROGRAMAS!N61=0,"",PROGRAMAS!N61)</f>
        <v/>
      </c>
      <c r="E61" s="78">
        <f>IFERROR(SUMIFS(PROGRAMA_DETALLE!$M$4:$M$503,PROGRAMA_DETALLE!$A$4:$A$503,A61),0)</f>
        <v>0</v>
      </c>
      <c r="F61" s="78">
        <f>IFERROR(SUMIFS(PROGRAMA_DETALLE!$Z$4:$Z$503,PROGRAMA_DETALLE!$A$4:$A$503,A61),0)</f>
        <v>0</v>
      </c>
      <c r="G61" s="100" t="str">
        <f>IF(PROGRAMAS!AE61=0,"",PROGRAMAS!AE61)</f>
        <v/>
      </c>
      <c r="H61" s="12" t="str">
        <f>IF(PROGRAMAS!W61=0,"",PROGRAMAS!W61)</f>
        <v/>
      </c>
      <c r="I61" s="101">
        <f t="shared" si="1"/>
        <v>0</v>
      </c>
      <c r="J61" s="25">
        <f t="shared" si="2"/>
        <v>0</v>
      </c>
      <c r="K61" s="45" t="str">
        <f>IF(PROGRAMAS!I61="","",PROGRAMAS!I61)</f>
        <v/>
      </c>
    </row>
    <row r="62" ht="15.75" customHeight="1">
      <c r="A62" s="98" t="str">
        <f>IF(PROGRAMAS!A62="","",PROGRAMAS!A62)</f>
        <v/>
      </c>
      <c r="B62" s="99" t="str">
        <f>IF(PROGRAMAS!D62="","",PROGRAMAS!D62)</f>
        <v/>
      </c>
      <c r="C62" s="12" t="str">
        <f>IF(PROGRAMAS!M62=0,"",PROGRAMAS!M62)</f>
        <v/>
      </c>
      <c r="D62" s="78" t="str">
        <f>IF(PROGRAMAS!N62=0,"",PROGRAMAS!N62)</f>
        <v/>
      </c>
      <c r="E62" s="78">
        <f>IFERROR(SUMIFS(PROGRAMA_DETALLE!$M$4:$M$503,PROGRAMA_DETALLE!$A$4:$A$503,A62),0)</f>
        <v>0</v>
      </c>
      <c r="F62" s="78">
        <f>IFERROR(SUMIFS(PROGRAMA_DETALLE!$Z$4:$Z$503,PROGRAMA_DETALLE!$A$4:$A$503,A62),0)</f>
        <v>0</v>
      </c>
      <c r="G62" s="100" t="str">
        <f>IF(PROGRAMAS!AE62=0,"",PROGRAMAS!AE62)</f>
        <v/>
      </c>
      <c r="H62" s="12" t="str">
        <f>IF(PROGRAMAS!W62=0,"",PROGRAMAS!W62)</f>
        <v/>
      </c>
      <c r="I62" s="101">
        <f t="shared" si="1"/>
        <v>0</v>
      </c>
      <c r="J62" s="25">
        <f t="shared" si="2"/>
        <v>0</v>
      </c>
      <c r="K62" s="45" t="str">
        <f>IF(PROGRAMAS!I62="","",PROGRAMAS!I62)</f>
        <v/>
      </c>
    </row>
    <row r="63" ht="15.75" customHeight="1">
      <c r="A63" s="98" t="str">
        <f>IF(PROGRAMAS!A63="","",PROGRAMAS!A63)</f>
        <v/>
      </c>
      <c r="B63" s="99" t="str">
        <f>IF(PROGRAMAS!D63="","",PROGRAMAS!D63)</f>
        <v/>
      </c>
      <c r="C63" s="12" t="str">
        <f>IF(PROGRAMAS!M63=0,"",PROGRAMAS!M63)</f>
        <v/>
      </c>
      <c r="D63" s="78" t="str">
        <f>IF(PROGRAMAS!N63=0,"",PROGRAMAS!N63)</f>
        <v/>
      </c>
      <c r="E63" s="78">
        <f>IFERROR(SUMIFS(PROGRAMA_DETALLE!$M$4:$M$503,PROGRAMA_DETALLE!$A$4:$A$503,A63),0)</f>
        <v>0</v>
      </c>
      <c r="F63" s="78">
        <f>IFERROR(SUMIFS(PROGRAMA_DETALLE!$Z$4:$Z$503,PROGRAMA_DETALLE!$A$4:$A$503,A63),0)</f>
        <v>0</v>
      </c>
      <c r="G63" s="100" t="str">
        <f>IF(PROGRAMAS!AE63=0,"",PROGRAMAS!AE63)</f>
        <v/>
      </c>
      <c r="H63" s="12" t="str">
        <f>IF(PROGRAMAS!W63=0,"",PROGRAMAS!W63)</f>
        <v/>
      </c>
      <c r="I63" s="101">
        <f t="shared" si="1"/>
        <v>0</v>
      </c>
      <c r="J63" s="25">
        <f t="shared" si="2"/>
        <v>0</v>
      </c>
      <c r="K63" s="45" t="str">
        <f>IF(PROGRAMAS!I63="","",PROGRAMAS!I63)</f>
        <v/>
      </c>
    </row>
    <row r="64" ht="15.75" customHeight="1">
      <c r="A64" s="98" t="str">
        <f>IF(PROGRAMAS!A64="","",PROGRAMAS!A64)</f>
        <v/>
      </c>
      <c r="B64" s="99" t="str">
        <f>IF(PROGRAMAS!D64="","",PROGRAMAS!D64)</f>
        <v/>
      </c>
      <c r="C64" s="12" t="str">
        <f>IF(PROGRAMAS!M64=0,"",PROGRAMAS!M64)</f>
        <v/>
      </c>
      <c r="D64" s="78" t="str">
        <f>IF(PROGRAMAS!N64=0,"",PROGRAMAS!N64)</f>
        <v/>
      </c>
      <c r="E64" s="78">
        <f>IFERROR(SUMIFS(PROGRAMA_DETALLE!$M$4:$M$503,PROGRAMA_DETALLE!$A$4:$A$503,A64),0)</f>
        <v>0</v>
      </c>
      <c r="F64" s="78">
        <f>IFERROR(SUMIFS(PROGRAMA_DETALLE!$Z$4:$Z$503,PROGRAMA_DETALLE!$A$4:$A$503,A64),0)</f>
        <v>0</v>
      </c>
      <c r="G64" s="100" t="str">
        <f>IF(PROGRAMAS!AE64=0,"",PROGRAMAS!AE64)</f>
        <v/>
      </c>
      <c r="H64" s="12" t="str">
        <f>IF(PROGRAMAS!W64=0,"",PROGRAMAS!W64)</f>
        <v/>
      </c>
      <c r="I64" s="101">
        <f t="shared" si="1"/>
        <v>0</v>
      </c>
      <c r="J64" s="25">
        <f t="shared" si="2"/>
        <v>0</v>
      </c>
      <c r="K64" s="45" t="str">
        <f>IF(PROGRAMAS!I64="","",PROGRAMAS!I64)</f>
        <v/>
      </c>
    </row>
    <row r="65" ht="15.75" customHeight="1">
      <c r="A65" s="98" t="str">
        <f>IF(PROGRAMAS!A65="","",PROGRAMAS!A65)</f>
        <v/>
      </c>
      <c r="B65" s="99" t="str">
        <f>IF(PROGRAMAS!D65="","",PROGRAMAS!D65)</f>
        <v/>
      </c>
      <c r="C65" s="12" t="str">
        <f>IF(PROGRAMAS!M65=0,"",PROGRAMAS!M65)</f>
        <v/>
      </c>
      <c r="D65" s="78" t="str">
        <f>IF(PROGRAMAS!N65=0,"",PROGRAMAS!N65)</f>
        <v/>
      </c>
      <c r="E65" s="78">
        <f>IFERROR(SUMIFS(PROGRAMA_DETALLE!$M$4:$M$503,PROGRAMA_DETALLE!$A$4:$A$503,A65),0)</f>
        <v>0</v>
      </c>
      <c r="F65" s="78">
        <f>IFERROR(SUMIFS(PROGRAMA_DETALLE!$Z$4:$Z$503,PROGRAMA_DETALLE!$A$4:$A$503,A65),0)</f>
        <v>0</v>
      </c>
      <c r="G65" s="100" t="str">
        <f>IF(PROGRAMAS!AE65=0,"",PROGRAMAS!AE65)</f>
        <v/>
      </c>
      <c r="H65" s="12" t="str">
        <f>IF(PROGRAMAS!W65=0,"",PROGRAMAS!W65)</f>
        <v/>
      </c>
      <c r="I65" s="101">
        <f t="shared" si="1"/>
        <v>0</v>
      </c>
      <c r="J65" s="25">
        <f t="shared" si="2"/>
        <v>0</v>
      </c>
      <c r="K65" s="45" t="str">
        <f>IF(PROGRAMAS!I65="","",PROGRAMAS!I65)</f>
        <v/>
      </c>
    </row>
    <row r="66" ht="15.75" customHeight="1">
      <c r="A66" s="98" t="str">
        <f>IF(PROGRAMAS!A66="","",PROGRAMAS!A66)</f>
        <v/>
      </c>
      <c r="B66" s="99" t="str">
        <f>IF(PROGRAMAS!D66="","",PROGRAMAS!D66)</f>
        <v/>
      </c>
      <c r="C66" s="12" t="str">
        <f>IF(PROGRAMAS!M66=0,"",PROGRAMAS!M66)</f>
        <v/>
      </c>
      <c r="D66" s="78" t="str">
        <f>IF(PROGRAMAS!N66=0,"",PROGRAMAS!N66)</f>
        <v/>
      </c>
      <c r="E66" s="78">
        <f>IFERROR(SUMIFS(PROGRAMA_DETALLE!$M$4:$M$503,PROGRAMA_DETALLE!$A$4:$A$503,A66),0)</f>
        <v>0</v>
      </c>
      <c r="F66" s="78">
        <f>IFERROR(SUMIFS(PROGRAMA_DETALLE!$Z$4:$Z$503,PROGRAMA_DETALLE!$A$4:$A$503,A66),0)</f>
        <v>0</v>
      </c>
      <c r="G66" s="100" t="str">
        <f>IF(PROGRAMAS!AE66=0,"",PROGRAMAS!AE66)</f>
        <v/>
      </c>
      <c r="H66" s="12" t="str">
        <f>IF(PROGRAMAS!W66=0,"",PROGRAMAS!W66)</f>
        <v/>
      </c>
      <c r="I66" s="101">
        <f t="shared" si="1"/>
        <v>0</v>
      </c>
      <c r="J66" s="25">
        <f t="shared" si="2"/>
        <v>0</v>
      </c>
      <c r="K66" s="45" t="str">
        <f>IF(PROGRAMAS!I66="","",PROGRAMAS!I66)</f>
        <v/>
      </c>
    </row>
    <row r="67" ht="15.75" customHeight="1">
      <c r="A67" s="98" t="str">
        <f>IF(PROGRAMAS!A67="","",PROGRAMAS!A67)</f>
        <v/>
      </c>
      <c r="B67" s="99" t="str">
        <f>IF(PROGRAMAS!D67="","",PROGRAMAS!D67)</f>
        <v/>
      </c>
      <c r="C67" s="12" t="str">
        <f>IF(PROGRAMAS!M67=0,"",PROGRAMAS!M67)</f>
        <v/>
      </c>
      <c r="D67" s="78" t="str">
        <f>IF(PROGRAMAS!N67=0,"",PROGRAMAS!N67)</f>
        <v/>
      </c>
      <c r="E67" s="78">
        <f>IFERROR(SUMIFS(PROGRAMA_DETALLE!$M$4:$M$503,PROGRAMA_DETALLE!$A$4:$A$503,A67),0)</f>
        <v>0</v>
      </c>
      <c r="F67" s="78">
        <f>IFERROR(SUMIFS(PROGRAMA_DETALLE!$Z$4:$Z$503,PROGRAMA_DETALLE!$A$4:$A$503,A67),0)</f>
        <v>0</v>
      </c>
      <c r="G67" s="100" t="str">
        <f>IF(PROGRAMAS!AE67=0,"",PROGRAMAS!AE67)</f>
        <v/>
      </c>
      <c r="H67" s="12" t="str">
        <f>IF(PROGRAMAS!W67=0,"",PROGRAMAS!W67)</f>
        <v/>
      </c>
      <c r="I67" s="101">
        <f t="shared" si="1"/>
        <v>0</v>
      </c>
      <c r="J67" s="25">
        <f t="shared" si="2"/>
        <v>0</v>
      </c>
      <c r="K67" s="45" t="str">
        <f>IF(PROGRAMAS!I67="","",PROGRAMAS!I67)</f>
        <v/>
      </c>
    </row>
    <row r="68" ht="15.75" customHeight="1">
      <c r="A68" s="98" t="str">
        <f>IF(PROGRAMAS!A68="","",PROGRAMAS!A68)</f>
        <v/>
      </c>
      <c r="B68" s="99" t="str">
        <f>IF(PROGRAMAS!D68="","",PROGRAMAS!D68)</f>
        <v/>
      </c>
      <c r="C68" s="12" t="str">
        <f>IF(PROGRAMAS!M68=0,"",PROGRAMAS!M68)</f>
        <v/>
      </c>
      <c r="D68" s="78" t="str">
        <f>IF(PROGRAMAS!N68=0,"",PROGRAMAS!N68)</f>
        <v/>
      </c>
      <c r="E68" s="78">
        <f>IFERROR(SUMIFS(PROGRAMA_DETALLE!$M$4:$M$503,PROGRAMA_DETALLE!$A$4:$A$503,A68),0)</f>
        <v>0</v>
      </c>
      <c r="F68" s="78">
        <f>IFERROR(SUMIFS(PROGRAMA_DETALLE!$Z$4:$Z$503,PROGRAMA_DETALLE!$A$4:$A$503,A68),0)</f>
        <v>0</v>
      </c>
      <c r="G68" s="100" t="str">
        <f>IF(PROGRAMAS!AE68=0,"",PROGRAMAS!AE68)</f>
        <v/>
      </c>
      <c r="H68" s="12" t="str">
        <f>IF(PROGRAMAS!W68=0,"",PROGRAMAS!W68)</f>
        <v/>
      </c>
      <c r="I68" s="101">
        <f t="shared" si="1"/>
        <v>0</v>
      </c>
      <c r="J68" s="25">
        <f t="shared" si="2"/>
        <v>0</v>
      </c>
      <c r="K68" s="45" t="str">
        <f>IF(PROGRAMAS!I68="","",PROGRAMAS!I68)</f>
        <v/>
      </c>
    </row>
    <row r="69" ht="15.75" customHeight="1">
      <c r="A69" s="98" t="str">
        <f>IF(PROGRAMAS!A69="","",PROGRAMAS!A69)</f>
        <v/>
      </c>
      <c r="B69" s="99" t="str">
        <f>IF(PROGRAMAS!D69="","",PROGRAMAS!D69)</f>
        <v/>
      </c>
      <c r="C69" s="12" t="str">
        <f>IF(PROGRAMAS!M69=0,"",PROGRAMAS!M69)</f>
        <v/>
      </c>
      <c r="D69" s="78" t="str">
        <f>IF(PROGRAMAS!N69=0,"",PROGRAMAS!N69)</f>
        <v/>
      </c>
      <c r="E69" s="78">
        <f>IFERROR(SUMIFS(PROGRAMA_DETALLE!$M$4:$M$503,PROGRAMA_DETALLE!$A$4:$A$503,A69),0)</f>
        <v>0</v>
      </c>
      <c r="F69" s="78">
        <f>IFERROR(SUMIFS(PROGRAMA_DETALLE!$Z$4:$Z$503,PROGRAMA_DETALLE!$A$4:$A$503,A69),0)</f>
        <v>0</v>
      </c>
      <c r="G69" s="100" t="str">
        <f>IF(PROGRAMAS!AE69=0,"",PROGRAMAS!AE69)</f>
        <v/>
      </c>
      <c r="H69" s="12" t="str">
        <f>IF(PROGRAMAS!W69=0,"",PROGRAMAS!W69)</f>
        <v/>
      </c>
      <c r="I69" s="101">
        <f t="shared" si="1"/>
        <v>0</v>
      </c>
      <c r="J69" s="25">
        <f t="shared" si="2"/>
        <v>0</v>
      </c>
      <c r="K69" s="45" t="str">
        <f>IF(PROGRAMAS!I69="","",PROGRAMAS!I69)</f>
        <v/>
      </c>
    </row>
    <row r="70" ht="15.75" customHeight="1">
      <c r="A70" s="98" t="str">
        <f>IF(PROGRAMAS!A70="","",PROGRAMAS!A70)</f>
        <v/>
      </c>
      <c r="B70" s="99" t="str">
        <f>IF(PROGRAMAS!D70="","",PROGRAMAS!D70)</f>
        <v/>
      </c>
      <c r="C70" s="12" t="str">
        <f>IF(PROGRAMAS!M70=0,"",PROGRAMAS!M70)</f>
        <v/>
      </c>
      <c r="D70" s="78" t="str">
        <f>IF(PROGRAMAS!N70=0,"",PROGRAMAS!N70)</f>
        <v/>
      </c>
      <c r="E70" s="78">
        <f>IFERROR(SUMIFS(PROGRAMA_DETALLE!$M$4:$M$503,PROGRAMA_DETALLE!$A$4:$A$503,A70),0)</f>
        <v>0</v>
      </c>
      <c r="F70" s="78">
        <f>IFERROR(SUMIFS(PROGRAMA_DETALLE!$Z$4:$Z$503,PROGRAMA_DETALLE!$A$4:$A$503,A70),0)</f>
        <v>0</v>
      </c>
      <c r="G70" s="100" t="str">
        <f>IF(PROGRAMAS!AE70=0,"",PROGRAMAS!AE70)</f>
        <v/>
      </c>
      <c r="H70" s="12" t="str">
        <f>IF(PROGRAMAS!W70=0,"",PROGRAMAS!W70)</f>
        <v/>
      </c>
      <c r="I70" s="101">
        <f t="shared" si="1"/>
        <v>0</v>
      </c>
      <c r="J70" s="25">
        <f t="shared" si="2"/>
        <v>0</v>
      </c>
      <c r="K70" s="45" t="str">
        <f>IF(PROGRAMAS!I70="","",PROGRAMAS!I70)</f>
        <v/>
      </c>
    </row>
    <row r="71" ht="15.75" customHeight="1">
      <c r="A71" s="98" t="str">
        <f>IF(PROGRAMAS!A71="","",PROGRAMAS!A71)</f>
        <v/>
      </c>
      <c r="B71" s="99" t="str">
        <f>IF(PROGRAMAS!D71="","",PROGRAMAS!D71)</f>
        <v/>
      </c>
      <c r="C71" s="12" t="str">
        <f>IF(PROGRAMAS!M71=0,"",PROGRAMAS!M71)</f>
        <v/>
      </c>
      <c r="D71" s="78" t="str">
        <f>IF(PROGRAMAS!N71=0,"",PROGRAMAS!N71)</f>
        <v/>
      </c>
      <c r="E71" s="78">
        <f>IFERROR(SUMIFS(PROGRAMA_DETALLE!$M$4:$M$503,PROGRAMA_DETALLE!$A$4:$A$503,A71),0)</f>
        <v>0</v>
      </c>
      <c r="F71" s="78">
        <f>IFERROR(SUMIFS(PROGRAMA_DETALLE!$Z$4:$Z$503,PROGRAMA_DETALLE!$A$4:$A$503,A71),0)</f>
        <v>0</v>
      </c>
      <c r="G71" s="100" t="str">
        <f>IF(PROGRAMAS!AE71=0,"",PROGRAMAS!AE71)</f>
        <v/>
      </c>
      <c r="H71" s="12" t="str">
        <f>IF(PROGRAMAS!W71=0,"",PROGRAMAS!W71)</f>
        <v/>
      </c>
      <c r="I71" s="101">
        <f t="shared" si="1"/>
        <v>0</v>
      </c>
      <c r="J71" s="25">
        <f t="shared" si="2"/>
        <v>0</v>
      </c>
      <c r="K71" s="45" t="str">
        <f>IF(PROGRAMAS!I71="","",PROGRAMAS!I71)</f>
        <v/>
      </c>
    </row>
    <row r="72" ht="15.75" customHeight="1">
      <c r="A72" s="98" t="str">
        <f>IF(PROGRAMAS!A72="","",PROGRAMAS!A72)</f>
        <v/>
      </c>
      <c r="B72" s="99" t="str">
        <f>IF(PROGRAMAS!D72="","",PROGRAMAS!D72)</f>
        <v/>
      </c>
      <c r="C72" s="12" t="str">
        <f>IF(PROGRAMAS!M72=0,"",PROGRAMAS!M72)</f>
        <v/>
      </c>
      <c r="D72" s="78" t="str">
        <f>IF(PROGRAMAS!N72=0,"",PROGRAMAS!N72)</f>
        <v/>
      </c>
      <c r="E72" s="78">
        <f>IFERROR(SUMIFS(PROGRAMA_DETALLE!$M$4:$M$503,PROGRAMA_DETALLE!$A$4:$A$503,A72),0)</f>
        <v>0</v>
      </c>
      <c r="F72" s="78">
        <f>IFERROR(SUMIFS(PROGRAMA_DETALLE!$Z$4:$Z$503,PROGRAMA_DETALLE!$A$4:$A$503,A72),0)</f>
        <v>0</v>
      </c>
      <c r="G72" s="100" t="str">
        <f>IF(PROGRAMAS!AE72=0,"",PROGRAMAS!AE72)</f>
        <v/>
      </c>
      <c r="H72" s="12" t="str">
        <f>IF(PROGRAMAS!W72=0,"",PROGRAMAS!W72)</f>
        <v/>
      </c>
      <c r="I72" s="101">
        <f t="shared" si="1"/>
        <v>0</v>
      </c>
      <c r="J72" s="25">
        <f t="shared" si="2"/>
        <v>0</v>
      </c>
      <c r="K72" s="45" t="str">
        <f>IF(PROGRAMAS!I72="","",PROGRAMAS!I72)</f>
        <v/>
      </c>
    </row>
    <row r="73" ht="15.75" customHeight="1">
      <c r="A73" s="98" t="str">
        <f>IF(PROGRAMAS!A73="","",PROGRAMAS!A73)</f>
        <v/>
      </c>
      <c r="B73" s="99" t="str">
        <f>IF(PROGRAMAS!D73="","",PROGRAMAS!D73)</f>
        <v/>
      </c>
      <c r="C73" s="12" t="str">
        <f>IF(PROGRAMAS!M73=0,"",PROGRAMAS!M73)</f>
        <v/>
      </c>
      <c r="D73" s="78" t="str">
        <f>IF(PROGRAMAS!N73=0,"",PROGRAMAS!N73)</f>
        <v/>
      </c>
      <c r="E73" s="78">
        <f>IFERROR(SUMIFS(PROGRAMA_DETALLE!$M$4:$M$503,PROGRAMA_DETALLE!$A$4:$A$503,A73),0)</f>
        <v>0</v>
      </c>
      <c r="F73" s="78">
        <f>IFERROR(SUMIFS(PROGRAMA_DETALLE!$Z$4:$Z$503,PROGRAMA_DETALLE!$A$4:$A$503,A73),0)</f>
        <v>0</v>
      </c>
      <c r="G73" s="100" t="str">
        <f>IF(PROGRAMAS!AE73=0,"",PROGRAMAS!AE73)</f>
        <v/>
      </c>
      <c r="H73" s="12" t="str">
        <f>IF(PROGRAMAS!W73=0,"",PROGRAMAS!W73)</f>
        <v/>
      </c>
      <c r="I73" s="101">
        <f t="shared" si="1"/>
        <v>0</v>
      </c>
      <c r="J73" s="25">
        <f t="shared" si="2"/>
        <v>0</v>
      </c>
      <c r="K73" s="45" t="str">
        <f>IF(PROGRAMAS!I73="","",PROGRAMAS!I73)</f>
        <v/>
      </c>
    </row>
    <row r="74" ht="15.75" customHeight="1">
      <c r="A74" s="98" t="str">
        <f>IF(PROGRAMAS!A74="","",PROGRAMAS!A74)</f>
        <v/>
      </c>
      <c r="B74" s="99" t="str">
        <f>IF(PROGRAMAS!D74="","",PROGRAMAS!D74)</f>
        <v/>
      </c>
      <c r="C74" s="12" t="str">
        <f>IF(PROGRAMAS!M74=0,"",PROGRAMAS!M74)</f>
        <v/>
      </c>
      <c r="D74" s="78" t="str">
        <f>IF(PROGRAMAS!N74=0,"",PROGRAMAS!N74)</f>
        <v/>
      </c>
      <c r="E74" s="78">
        <f>IFERROR(SUMIFS(PROGRAMA_DETALLE!$M$4:$M$503,PROGRAMA_DETALLE!$A$4:$A$503,A74),0)</f>
        <v>0</v>
      </c>
      <c r="F74" s="78">
        <f>IFERROR(SUMIFS(PROGRAMA_DETALLE!$Z$4:$Z$503,PROGRAMA_DETALLE!$A$4:$A$503,A74),0)</f>
        <v>0</v>
      </c>
      <c r="G74" s="100" t="str">
        <f>IF(PROGRAMAS!AE74=0,"",PROGRAMAS!AE74)</f>
        <v/>
      </c>
      <c r="H74" s="12" t="str">
        <f>IF(PROGRAMAS!W74=0,"",PROGRAMAS!W74)</f>
        <v/>
      </c>
      <c r="I74" s="101">
        <f t="shared" si="1"/>
        <v>0</v>
      </c>
      <c r="J74" s="25">
        <f t="shared" si="2"/>
        <v>0</v>
      </c>
      <c r="K74" s="45" t="str">
        <f>IF(PROGRAMAS!I74="","",PROGRAMAS!I74)</f>
        <v/>
      </c>
    </row>
    <row r="75" ht="15.75" customHeight="1">
      <c r="A75" s="98" t="str">
        <f>IF(PROGRAMAS!A75="","",PROGRAMAS!A75)</f>
        <v/>
      </c>
      <c r="B75" s="99" t="str">
        <f>IF(PROGRAMAS!D75="","",PROGRAMAS!D75)</f>
        <v/>
      </c>
      <c r="C75" s="12" t="str">
        <f>IF(PROGRAMAS!M75=0,"",PROGRAMAS!M75)</f>
        <v/>
      </c>
      <c r="D75" s="78" t="str">
        <f>IF(PROGRAMAS!N75=0,"",PROGRAMAS!N75)</f>
        <v/>
      </c>
      <c r="E75" s="78">
        <f>IFERROR(SUMIFS(PROGRAMA_DETALLE!$M$4:$M$503,PROGRAMA_DETALLE!$A$4:$A$503,A75),0)</f>
        <v>0</v>
      </c>
      <c r="F75" s="78">
        <f>IFERROR(SUMIFS(PROGRAMA_DETALLE!$Z$4:$Z$503,PROGRAMA_DETALLE!$A$4:$A$503,A75),0)</f>
        <v>0</v>
      </c>
      <c r="G75" s="100" t="str">
        <f>IF(PROGRAMAS!AE75=0,"",PROGRAMAS!AE75)</f>
        <v/>
      </c>
      <c r="H75" s="12" t="str">
        <f>IF(PROGRAMAS!W75=0,"",PROGRAMAS!W75)</f>
        <v/>
      </c>
      <c r="I75" s="101">
        <f t="shared" si="1"/>
        <v>0</v>
      </c>
      <c r="J75" s="25">
        <f t="shared" si="2"/>
        <v>0</v>
      </c>
      <c r="K75" s="45" t="str">
        <f>IF(PROGRAMAS!I75="","",PROGRAMAS!I75)</f>
        <v/>
      </c>
    </row>
    <row r="76" ht="15.75" customHeight="1">
      <c r="A76" s="98" t="str">
        <f>IF(PROGRAMAS!A76="","",PROGRAMAS!A76)</f>
        <v/>
      </c>
      <c r="B76" s="99" t="str">
        <f>IF(PROGRAMAS!D76="","",PROGRAMAS!D76)</f>
        <v/>
      </c>
      <c r="C76" s="12" t="str">
        <f>IF(PROGRAMAS!M76=0,"",PROGRAMAS!M76)</f>
        <v/>
      </c>
      <c r="D76" s="78" t="str">
        <f>IF(PROGRAMAS!N76=0,"",PROGRAMAS!N76)</f>
        <v/>
      </c>
      <c r="E76" s="78">
        <f>IFERROR(SUMIFS(PROGRAMA_DETALLE!$M$4:$M$503,PROGRAMA_DETALLE!$A$4:$A$503,A76),0)</f>
        <v>0</v>
      </c>
      <c r="F76" s="78">
        <f>IFERROR(SUMIFS(PROGRAMA_DETALLE!$Z$4:$Z$503,PROGRAMA_DETALLE!$A$4:$A$503,A76),0)</f>
        <v>0</v>
      </c>
      <c r="G76" s="100" t="str">
        <f>IF(PROGRAMAS!AE76=0,"",PROGRAMAS!AE76)</f>
        <v/>
      </c>
      <c r="H76" s="12" t="str">
        <f>IF(PROGRAMAS!W76=0,"",PROGRAMAS!W76)</f>
        <v/>
      </c>
      <c r="I76" s="101">
        <f t="shared" si="1"/>
        <v>0</v>
      </c>
      <c r="J76" s="25">
        <f t="shared" si="2"/>
        <v>0</v>
      </c>
      <c r="K76" s="45" t="str">
        <f>IF(PROGRAMAS!I76="","",PROGRAMAS!I76)</f>
        <v/>
      </c>
    </row>
    <row r="77" ht="15.75" customHeight="1">
      <c r="A77" s="98" t="str">
        <f>IF(PROGRAMAS!A77="","",PROGRAMAS!A77)</f>
        <v/>
      </c>
      <c r="B77" s="99" t="str">
        <f>IF(PROGRAMAS!D77="","",PROGRAMAS!D77)</f>
        <v/>
      </c>
      <c r="C77" s="12" t="str">
        <f>IF(PROGRAMAS!M77=0,"",PROGRAMAS!M77)</f>
        <v/>
      </c>
      <c r="D77" s="78" t="str">
        <f>IF(PROGRAMAS!N77=0,"",PROGRAMAS!N77)</f>
        <v/>
      </c>
      <c r="E77" s="78">
        <f>IFERROR(SUMIFS(PROGRAMA_DETALLE!$M$4:$M$503,PROGRAMA_DETALLE!$A$4:$A$503,A77),0)</f>
        <v>0</v>
      </c>
      <c r="F77" s="78">
        <f>IFERROR(SUMIFS(PROGRAMA_DETALLE!$Z$4:$Z$503,PROGRAMA_DETALLE!$A$4:$A$503,A77),0)</f>
        <v>0</v>
      </c>
      <c r="G77" s="100" t="str">
        <f>IF(PROGRAMAS!AE77=0,"",PROGRAMAS!AE77)</f>
        <v/>
      </c>
      <c r="H77" s="12" t="str">
        <f>IF(PROGRAMAS!W77=0,"",PROGRAMAS!W77)</f>
        <v/>
      </c>
      <c r="I77" s="101">
        <f t="shared" si="1"/>
        <v>0</v>
      </c>
      <c r="J77" s="25">
        <f t="shared" si="2"/>
        <v>0</v>
      </c>
      <c r="K77" s="45" t="str">
        <f>IF(PROGRAMAS!I77="","",PROGRAMAS!I77)</f>
        <v/>
      </c>
    </row>
    <row r="78" ht="15.75" customHeight="1">
      <c r="A78" s="98" t="str">
        <f>IF(PROGRAMAS!A78="","",PROGRAMAS!A78)</f>
        <v/>
      </c>
      <c r="B78" s="99" t="str">
        <f>IF(PROGRAMAS!D78="","",PROGRAMAS!D78)</f>
        <v/>
      </c>
      <c r="C78" s="12" t="str">
        <f>IF(PROGRAMAS!M78=0,"",PROGRAMAS!M78)</f>
        <v/>
      </c>
      <c r="D78" s="78" t="str">
        <f>IF(PROGRAMAS!N78=0,"",PROGRAMAS!N78)</f>
        <v/>
      </c>
      <c r="E78" s="78">
        <f>IFERROR(SUMIFS(PROGRAMA_DETALLE!$M$4:$M$503,PROGRAMA_DETALLE!$A$4:$A$503,A78),0)</f>
        <v>0</v>
      </c>
      <c r="F78" s="78">
        <f>IFERROR(SUMIFS(PROGRAMA_DETALLE!$Z$4:$Z$503,PROGRAMA_DETALLE!$A$4:$A$503,A78),0)</f>
        <v>0</v>
      </c>
      <c r="G78" s="100" t="str">
        <f>IF(PROGRAMAS!AE78=0,"",PROGRAMAS!AE78)</f>
        <v/>
      </c>
      <c r="H78" s="12" t="str">
        <f>IF(PROGRAMAS!W78=0,"",PROGRAMAS!W78)</f>
        <v/>
      </c>
      <c r="I78" s="101">
        <f t="shared" si="1"/>
        <v>0</v>
      </c>
      <c r="J78" s="25">
        <f t="shared" si="2"/>
        <v>0</v>
      </c>
      <c r="K78" s="45" t="str">
        <f>IF(PROGRAMAS!I78="","",PROGRAMAS!I78)</f>
        <v/>
      </c>
    </row>
    <row r="79" ht="15.75" customHeight="1">
      <c r="A79" s="98" t="str">
        <f>IF(PROGRAMAS!A79="","",PROGRAMAS!A79)</f>
        <v/>
      </c>
      <c r="B79" s="99" t="str">
        <f>IF(PROGRAMAS!D79="","",PROGRAMAS!D79)</f>
        <v/>
      </c>
      <c r="C79" s="12" t="str">
        <f>IF(PROGRAMAS!M79=0,"",PROGRAMAS!M79)</f>
        <v/>
      </c>
      <c r="D79" s="78" t="str">
        <f>IF(PROGRAMAS!N79=0,"",PROGRAMAS!N79)</f>
        <v/>
      </c>
      <c r="E79" s="78">
        <f>IFERROR(SUMIFS(PROGRAMA_DETALLE!$M$4:$M$503,PROGRAMA_DETALLE!$A$4:$A$503,A79),0)</f>
        <v>0</v>
      </c>
      <c r="F79" s="78">
        <f>IFERROR(SUMIFS(PROGRAMA_DETALLE!$Z$4:$Z$503,PROGRAMA_DETALLE!$A$4:$A$503,A79),0)</f>
        <v>0</v>
      </c>
      <c r="G79" s="100" t="str">
        <f>IF(PROGRAMAS!AE79=0,"",PROGRAMAS!AE79)</f>
        <v/>
      </c>
      <c r="H79" s="12" t="str">
        <f>IF(PROGRAMAS!W79=0,"",PROGRAMAS!W79)</f>
        <v/>
      </c>
      <c r="I79" s="101">
        <f t="shared" si="1"/>
        <v>0</v>
      </c>
      <c r="J79" s="25">
        <f t="shared" si="2"/>
        <v>0</v>
      </c>
      <c r="K79" s="45" t="str">
        <f>IF(PROGRAMAS!I79="","",PROGRAMAS!I79)</f>
        <v/>
      </c>
    </row>
    <row r="80" ht="15.75" customHeight="1">
      <c r="A80" s="98" t="str">
        <f>IF(PROGRAMAS!A80="","",PROGRAMAS!A80)</f>
        <v/>
      </c>
      <c r="B80" s="99" t="str">
        <f>IF(PROGRAMAS!D80="","",PROGRAMAS!D80)</f>
        <v/>
      </c>
      <c r="C80" s="12" t="str">
        <f>IF(PROGRAMAS!M80=0,"",PROGRAMAS!M80)</f>
        <v/>
      </c>
      <c r="D80" s="78" t="str">
        <f>IF(PROGRAMAS!N80=0,"",PROGRAMAS!N80)</f>
        <v/>
      </c>
      <c r="E80" s="78">
        <f>IFERROR(SUMIFS(PROGRAMA_DETALLE!$M$4:$M$503,PROGRAMA_DETALLE!$A$4:$A$503,A80),0)</f>
        <v>0</v>
      </c>
      <c r="F80" s="78">
        <f>IFERROR(SUMIFS(PROGRAMA_DETALLE!$Z$4:$Z$503,PROGRAMA_DETALLE!$A$4:$A$503,A80),0)</f>
        <v>0</v>
      </c>
      <c r="G80" s="100" t="str">
        <f>IF(PROGRAMAS!AE80=0,"",PROGRAMAS!AE80)</f>
        <v/>
      </c>
      <c r="H80" s="12" t="str">
        <f>IF(PROGRAMAS!W80=0,"",PROGRAMAS!W80)</f>
        <v/>
      </c>
      <c r="I80" s="101">
        <f t="shared" si="1"/>
        <v>0</v>
      </c>
      <c r="J80" s="25">
        <f t="shared" si="2"/>
        <v>0</v>
      </c>
      <c r="K80" s="45" t="str">
        <f>IF(PROGRAMAS!I80="","",PROGRAMAS!I80)</f>
        <v/>
      </c>
    </row>
    <row r="81" ht="15.75" customHeight="1">
      <c r="A81" s="98" t="str">
        <f>IF(PROGRAMAS!A81="","",PROGRAMAS!A81)</f>
        <v/>
      </c>
      <c r="B81" s="99" t="str">
        <f>IF(PROGRAMAS!D81="","",PROGRAMAS!D81)</f>
        <v/>
      </c>
      <c r="C81" s="12" t="str">
        <f>IF(PROGRAMAS!M81=0,"",PROGRAMAS!M81)</f>
        <v/>
      </c>
      <c r="D81" s="78" t="str">
        <f>IF(PROGRAMAS!N81=0,"",PROGRAMAS!N81)</f>
        <v/>
      </c>
      <c r="E81" s="78">
        <f>IFERROR(SUMIFS(PROGRAMA_DETALLE!$M$4:$M$503,PROGRAMA_DETALLE!$A$4:$A$503,A81),0)</f>
        <v>0</v>
      </c>
      <c r="F81" s="78">
        <f>IFERROR(SUMIFS(PROGRAMA_DETALLE!$Z$4:$Z$503,PROGRAMA_DETALLE!$A$4:$A$503,A81),0)</f>
        <v>0</v>
      </c>
      <c r="G81" s="100" t="str">
        <f>IF(PROGRAMAS!AE81=0,"",PROGRAMAS!AE81)</f>
        <v/>
      </c>
      <c r="H81" s="12" t="str">
        <f>IF(PROGRAMAS!W81=0,"",PROGRAMAS!W81)</f>
        <v/>
      </c>
      <c r="I81" s="101">
        <f t="shared" si="1"/>
        <v>0</v>
      </c>
      <c r="J81" s="25">
        <f t="shared" si="2"/>
        <v>0</v>
      </c>
      <c r="K81" s="45" t="str">
        <f>IF(PROGRAMAS!I81="","",PROGRAMAS!I81)</f>
        <v/>
      </c>
    </row>
    <row r="82" ht="15.75" customHeight="1">
      <c r="A82" s="98" t="str">
        <f>IF(PROGRAMAS!A82="","",PROGRAMAS!A82)</f>
        <v/>
      </c>
      <c r="B82" s="99" t="str">
        <f>IF(PROGRAMAS!D82="","",PROGRAMAS!D82)</f>
        <v/>
      </c>
      <c r="C82" s="12" t="str">
        <f>IF(PROGRAMAS!M82=0,"",PROGRAMAS!M82)</f>
        <v/>
      </c>
      <c r="D82" s="78" t="str">
        <f>IF(PROGRAMAS!N82=0,"",PROGRAMAS!N82)</f>
        <v/>
      </c>
      <c r="E82" s="78">
        <f>IFERROR(SUMIFS(PROGRAMA_DETALLE!$M$4:$M$503,PROGRAMA_DETALLE!$A$4:$A$503,A82),0)</f>
        <v>0</v>
      </c>
      <c r="F82" s="78">
        <f>IFERROR(SUMIFS(PROGRAMA_DETALLE!$Z$4:$Z$503,PROGRAMA_DETALLE!$A$4:$A$503,A82),0)</f>
        <v>0</v>
      </c>
      <c r="G82" s="100" t="str">
        <f>IF(PROGRAMAS!AE82=0,"",PROGRAMAS!AE82)</f>
        <v/>
      </c>
      <c r="H82" s="12" t="str">
        <f>IF(PROGRAMAS!W82=0,"",PROGRAMAS!W82)</f>
        <v/>
      </c>
      <c r="I82" s="101">
        <f t="shared" si="1"/>
        <v>0</v>
      </c>
      <c r="J82" s="25">
        <f t="shared" si="2"/>
        <v>0</v>
      </c>
      <c r="K82" s="45" t="str">
        <f>IF(PROGRAMAS!I82="","",PROGRAMAS!I82)</f>
        <v/>
      </c>
    </row>
    <row r="83" ht="15.75" customHeight="1">
      <c r="A83" s="98" t="str">
        <f>IF(PROGRAMAS!A83="","",PROGRAMAS!A83)</f>
        <v/>
      </c>
      <c r="B83" s="99" t="str">
        <f>IF(PROGRAMAS!D83="","",PROGRAMAS!D83)</f>
        <v/>
      </c>
      <c r="C83" s="12" t="str">
        <f>IF(PROGRAMAS!M83=0,"",PROGRAMAS!M83)</f>
        <v/>
      </c>
      <c r="D83" s="78" t="str">
        <f>IF(PROGRAMAS!N83=0,"",PROGRAMAS!N83)</f>
        <v/>
      </c>
      <c r="E83" s="78">
        <f>IFERROR(SUMIFS(PROGRAMA_DETALLE!$M$4:$M$503,PROGRAMA_DETALLE!$A$4:$A$503,A83),0)</f>
        <v>0</v>
      </c>
      <c r="F83" s="78">
        <f>IFERROR(SUMIFS(PROGRAMA_DETALLE!$Z$4:$Z$503,PROGRAMA_DETALLE!$A$4:$A$503,A83),0)</f>
        <v>0</v>
      </c>
      <c r="G83" s="100" t="str">
        <f>IF(PROGRAMAS!AE83=0,"",PROGRAMAS!AE83)</f>
        <v/>
      </c>
      <c r="H83" s="12" t="str">
        <f>IF(PROGRAMAS!W83=0,"",PROGRAMAS!W83)</f>
        <v/>
      </c>
      <c r="I83" s="101">
        <f t="shared" si="1"/>
        <v>0</v>
      </c>
      <c r="J83" s="25">
        <f t="shared" si="2"/>
        <v>0</v>
      </c>
      <c r="K83" s="45" t="str">
        <f>IF(PROGRAMAS!I83="","",PROGRAMAS!I83)</f>
        <v/>
      </c>
    </row>
    <row r="84" ht="15.75" customHeight="1">
      <c r="A84" s="98" t="str">
        <f>IF(PROGRAMAS!A84="","",PROGRAMAS!A84)</f>
        <v/>
      </c>
      <c r="B84" s="99" t="str">
        <f>IF(PROGRAMAS!D84="","",PROGRAMAS!D84)</f>
        <v/>
      </c>
      <c r="C84" s="12" t="str">
        <f>IF(PROGRAMAS!M84=0,"",PROGRAMAS!M84)</f>
        <v/>
      </c>
      <c r="D84" s="78" t="str">
        <f>IF(PROGRAMAS!N84=0,"",PROGRAMAS!N84)</f>
        <v/>
      </c>
      <c r="E84" s="78">
        <f>IFERROR(SUMIFS(PROGRAMA_DETALLE!$M$4:$M$503,PROGRAMA_DETALLE!$A$4:$A$503,A84),0)</f>
        <v>0</v>
      </c>
      <c r="F84" s="78">
        <f>IFERROR(SUMIFS(PROGRAMA_DETALLE!$Z$4:$Z$503,PROGRAMA_DETALLE!$A$4:$A$503,A84),0)</f>
        <v>0</v>
      </c>
      <c r="G84" s="100" t="str">
        <f>IF(PROGRAMAS!AE84=0,"",PROGRAMAS!AE84)</f>
        <v/>
      </c>
      <c r="H84" s="12" t="str">
        <f>IF(PROGRAMAS!W84=0,"",PROGRAMAS!W84)</f>
        <v/>
      </c>
      <c r="I84" s="101">
        <f t="shared" si="1"/>
        <v>0</v>
      </c>
      <c r="J84" s="25">
        <f t="shared" si="2"/>
        <v>0</v>
      </c>
      <c r="K84" s="45" t="str">
        <f>IF(PROGRAMAS!I84="","",PROGRAMAS!I84)</f>
        <v/>
      </c>
    </row>
    <row r="85" ht="15.75" customHeight="1">
      <c r="A85" s="98" t="str">
        <f>IF(PROGRAMAS!A85="","",PROGRAMAS!A85)</f>
        <v/>
      </c>
      <c r="B85" s="99" t="str">
        <f>IF(PROGRAMAS!D85="","",PROGRAMAS!D85)</f>
        <v/>
      </c>
      <c r="C85" s="12" t="str">
        <f>IF(PROGRAMAS!M85=0,"",PROGRAMAS!M85)</f>
        <v/>
      </c>
      <c r="D85" s="78" t="str">
        <f>IF(PROGRAMAS!N85=0,"",PROGRAMAS!N85)</f>
        <v/>
      </c>
      <c r="E85" s="78">
        <f>IFERROR(SUMIFS(PROGRAMA_DETALLE!$M$4:$M$503,PROGRAMA_DETALLE!$A$4:$A$503,A85),0)</f>
        <v>0</v>
      </c>
      <c r="F85" s="78">
        <f>IFERROR(SUMIFS(PROGRAMA_DETALLE!$Z$4:$Z$503,PROGRAMA_DETALLE!$A$4:$A$503,A85),0)</f>
        <v>0</v>
      </c>
      <c r="G85" s="100" t="str">
        <f>IF(PROGRAMAS!AE85=0,"",PROGRAMAS!AE85)</f>
        <v/>
      </c>
      <c r="H85" s="12" t="str">
        <f>IF(PROGRAMAS!W85=0,"",PROGRAMAS!W85)</f>
        <v/>
      </c>
      <c r="I85" s="101">
        <f t="shared" si="1"/>
        <v>0</v>
      </c>
      <c r="J85" s="25">
        <f t="shared" si="2"/>
        <v>0</v>
      </c>
      <c r="K85" s="45" t="str">
        <f>IF(PROGRAMAS!I85="","",PROGRAMAS!I85)</f>
        <v/>
      </c>
    </row>
    <row r="86" ht="15.75" customHeight="1">
      <c r="A86" s="98" t="str">
        <f>IF(PROGRAMAS!A86="","",PROGRAMAS!A86)</f>
        <v/>
      </c>
      <c r="B86" s="99" t="str">
        <f>IF(PROGRAMAS!D86="","",PROGRAMAS!D86)</f>
        <v/>
      </c>
      <c r="C86" s="12" t="str">
        <f>IF(PROGRAMAS!M86=0,"",PROGRAMAS!M86)</f>
        <v/>
      </c>
      <c r="D86" s="78" t="str">
        <f>IF(PROGRAMAS!N86=0,"",PROGRAMAS!N86)</f>
        <v/>
      </c>
      <c r="E86" s="78">
        <f>IFERROR(SUMIFS(PROGRAMA_DETALLE!$M$4:$M$503,PROGRAMA_DETALLE!$A$4:$A$503,A86),0)</f>
        <v>0</v>
      </c>
      <c r="F86" s="78">
        <f>IFERROR(SUMIFS(PROGRAMA_DETALLE!$Z$4:$Z$503,PROGRAMA_DETALLE!$A$4:$A$503,A86),0)</f>
        <v>0</v>
      </c>
      <c r="G86" s="100" t="str">
        <f>IF(PROGRAMAS!AE86=0,"",PROGRAMAS!AE86)</f>
        <v/>
      </c>
      <c r="H86" s="12" t="str">
        <f>IF(PROGRAMAS!W86=0,"",PROGRAMAS!W86)</f>
        <v/>
      </c>
      <c r="I86" s="101">
        <f t="shared" si="1"/>
        <v>0</v>
      </c>
      <c r="J86" s="25">
        <f t="shared" si="2"/>
        <v>0</v>
      </c>
      <c r="K86" s="45" t="str">
        <f>IF(PROGRAMAS!I86="","",PROGRAMAS!I86)</f>
        <v/>
      </c>
    </row>
    <row r="87" ht="15.75" customHeight="1">
      <c r="A87" s="98" t="str">
        <f>IF(PROGRAMAS!A87="","",PROGRAMAS!A87)</f>
        <v/>
      </c>
      <c r="B87" s="99" t="str">
        <f>IF(PROGRAMAS!D87="","",PROGRAMAS!D87)</f>
        <v/>
      </c>
      <c r="C87" s="12" t="str">
        <f>IF(PROGRAMAS!M87=0,"",PROGRAMAS!M87)</f>
        <v/>
      </c>
      <c r="D87" s="78" t="str">
        <f>IF(PROGRAMAS!N87=0,"",PROGRAMAS!N87)</f>
        <v/>
      </c>
      <c r="E87" s="78">
        <f>IFERROR(SUMIFS(PROGRAMA_DETALLE!$M$4:$M$503,PROGRAMA_DETALLE!$A$4:$A$503,A87),0)</f>
        <v>0</v>
      </c>
      <c r="F87" s="78">
        <f>IFERROR(SUMIFS(PROGRAMA_DETALLE!$Z$4:$Z$503,PROGRAMA_DETALLE!$A$4:$A$503,A87),0)</f>
        <v>0</v>
      </c>
      <c r="G87" s="100" t="str">
        <f>IF(PROGRAMAS!AE87=0,"",PROGRAMAS!AE87)</f>
        <v/>
      </c>
      <c r="H87" s="12" t="str">
        <f>IF(PROGRAMAS!W87=0,"",PROGRAMAS!W87)</f>
        <v/>
      </c>
      <c r="I87" s="101">
        <f t="shared" si="1"/>
        <v>0</v>
      </c>
      <c r="J87" s="25">
        <f t="shared" si="2"/>
        <v>0</v>
      </c>
      <c r="K87" s="45" t="str">
        <f>IF(PROGRAMAS!I87="","",PROGRAMAS!I87)</f>
        <v/>
      </c>
    </row>
    <row r="88" ht="15.75" customHeight="1">
      <c r="A88" s="98" t="str">
        <f>IF(PROGRAMAS!A88="","",PROGRAMAS!A88)</f>
        <v/>
      </c>
      <c r="B88" s="99" t="str">
        <f>IF(PROGRAMAS!D88="","",PROGRAMAS!D88)</f>
        <v/>
      </c>
      <c r="C88" s="12" t="str">
        <f>IF(PROGRAMAS!M88=0,"",PROGRAMAS!M88)</f>
        <v/>
      </c>
      <c r="D88" s="78" t="str">
        <f>IF(PROGRAMAS!N88=0,"",PROGRAMAS!N88)</f>
        <v/>
      </c>
      <c r="E88" s="78">
        <f>IFERROR(SUMIFS(PROGRAMA_DETALLE!$M$4:$M$503,PROGRAMA_DETALLE!$A$4:$A$503,A88),0)</f>
        <v>0</v>
      </c>
      <c r="F88" s="78">
        <f>IFERROR(SUMIFS(PROGRAMA_DETALLE!$Z$4:$Z$503,PROGRAMA_DETALLE!$A$4:$A$503,A88),0)</f>
        <v>0</v>
      </c>
      <c r="G88" s="100" t="str">
        <f>IF(PROGRAMAS!AE88=0,"",PROGRAMAS!AE88)</f>
        <v/>
      </c>
      <c r="H88" s="12" t="str">
        <f>IF(PROGRAMAS!W88=0,"",PROGRAMAS!W88)</f>
        <v/>
      </c>
      <c r="I88" s="101">
        <f t="shared" si="1"/>
        <v>0</v>
      </c>
      <c r="J88" s="25">
        <f t="shared" si="2"/>
        <v>0</v>
      </c>
      <c r="K88" s="45" t="str">
        <f>IF(PROGRAMAS!I88="","",PROGRAMAS!I88)</f>
        <v/>
      </c>
    </row>
    <row r="89" ht="15.75" customHeight="1">
      <c r="A89" s="98" t="str">
        <f>IF(PROGRAMAS!A89="","",PROGRAMAS!A89)</f>
        <v/>
      </c>
      <c r="B89" s="99" t="str">
        <f>IF(PROGRAMAS!D89="","",PROGRAMAS!D89)</f>
        <v/>
      </c>
      <c r="C89" s="12" t="str">
        <f>IF(PROGRAMAS!M89=0,"",PROGRAMAS!M89)</f>
        <v/>
      </c>
      <c r="D89" s="78" t="str">
        <f>IF(PROGRAMAS!N89=0,"",PROGRAMAS!N89)</f>
        <v/>
      </c>
      <c r="E89" s="78">
        <f>IFERROR(SUMIFS(PROGRAMA_DETALLE!$M$4:$M$503,PROGRAMA_DETALLE!$A$4:$A$503,A89),0)</f>
        <v>0</v>
      </c>
      <c r="F89" s="78">
        <f>IFERROR(SUMIFS(PROGRAMA_DETALLE!$Z$4:$Z$503,PROGRAMA_DETALLE!$A$4:$A$503,A89),0)</f>
        <v>0</v>
      </c>
      <c r="G89" s="100" t="str">
        <f>IF(PROGRAMAS!AE89=0,"",PROGRAMAS!AE89)</f>
        <v/>
      </c>
      <c r="H89" s="12" t="str">
        <f>IF(PROGRAMAS!W89=0,"",PROGRAMAS!W89)</f>
        <v/>
      </c>
      <c r="I89" s="101">
        <f t="shared" si="1"/>
        <v>0</v>
      </c>
      <c r="J89" s="25">
        <f t="shared" si="2"/>
        <v>0</v>
      </c>
      <c r="K89" s="45" t="str">
        <f>IF(PROGRAMAS!I89="","",PROGRAMAS!I89)</f>
        <v/>
      </c>
    </row>
    <row r="90" ht="15.75" customHeight="1">
      <c r="A90" s="98" t="str">
        <f>IF(PROGRAMAS!A90="","",PROGRAMAS!A90)</f>
        <v/>
      </c>
      <c r="B90" s="99" t="str">
        <f>IF(PROGRAMAS!D90="","",PROGRAMAS!D90)</f>
        <v/>
      </c>
      <c r="C90" s="12" t="str">
        <f>IF(PROGRAMAS!M90=0,"",PROGRAMAS!M90)</f>
        <v/>
      </c>
      <c r="D90" s="78" t="str">
        <f>IF(PROGRAMAS!N90=0,"",PROGRAMAS!N90)</f>
        <v/>
      </c>
      <c r="E90" s="78">
        <f>IFERROR(SUMIFS(PROGRAMA_DETALLE!$M$4:$M$503,PROGRAMA_DETALLE!$A$4:$A$503,A90),0)</f>
        <v>0</v>
      </c>
      <c r="F90" s="78">
        <f>IFERROR(SUMIFS(PROGRAMA_DETALLE!$Z$4:$Z$503,PROGRAMA_DETALLE!$A$4:$A$503,A90),0)</f>
        <v>0</v>
      </c>
      <c r="G90" s="100" t="str">
        <f>IF(PROGRAMAS!AE90=0,"",PROGRAMAS!AE90)</f>
        <v/>
      </c>
      <c r="H90" s="12" t="str">
        <f>IF(PROGRAMAS!W90=0,"",PROGRAMAS!W90)</f>
        <v/>
      </c>
      <c r="I90" s="101">
        <f t="shared" si="1"/>
        <v>0</v>
      </c>
      <c r="J90" s="25">
        <f t="shared" si="2"/>
        <v>0</v>
      </c>
      <c r="K90" s="45" t="str">
        <f>IF(PROGRAMAS!I90="","",PROGRAMAS!I90)</f>
        <v/>
      </c>
    </row>
    <row r="91" ht="15.75" customHeight="1">
      <c r="A91" s="98" t="str">
        <f>IF(PROGRAMAS!A91="","",PROGRAMAS!A91)</f>
        <v/>
      </c>
      <c r="B91" s="99" t="str">
        <f>IF(PROGRAMAS!D91="","",PROGRAMAS!D91)</f>
        <v/>
      </c>
      <c r="C91" s="12" t="str">
        <f>IF(PROGRAMAS!M91=0,"",PROGRAMAS!M91)</f>
        <v/>
      </c>
      <c r="D91" s="78" t="str">
        <f>IF(PROGRAMAS!N91=0,"",PROGRAMAS!N91)</f>
        <v/>
      </c>
      <c r="E91" s="78">
        <f>IFERROR(SUMIFS(PROGRAMA_DETALLE!$M$4:$M$503,PROGRAMA_DETALLE!$A$4:$A$503,A91),0)</f>
        <v>0</v>
      </c>
      <c r="F91" s="78">
        <f>IFERROR(SUMIFS(PROGRAMA_DETALLE!$Z$4:$Z$503,PROGRAMA_DETALLE!$A$4:$A$503,A91),0)</f>
        <v>0</v>
      </c>
      <c r="G91" s="100" t="str">
        <f>IF(PROGRAMAS!AE91=0,"",PROGRAMAS!AE91)</f>
        <v/>
      </c>
      <c r="H91" s="12" t="str">
        <f>IF(PROGRAMAS!W91=0,"",PROGRAMAS!W91)</f>
        <v/>
      </c>
      <c r="I91" s="101">
        <f t="shared" si="1"/>
        <v>0</v>
      </c>
      <c r="J91" s="25">
        <f t="shared" si="2"/>
        <v>0</v>
      </c>
      <c r="K91" s="45" t="str">
        <f>IF(PROGRAMAS!I91="","",PROGRAMAS!I91)</f>
        <v/>
      </c>
    </row>
    <row r="92" ht="15.75" customHeight="1">
      <c r="A92" s="98" t="str">
        <f>IF(PROGRAMAS!A92="","",PROGRAMAS!A92)</f>
        <v/>
      </c>
      <c r="B92" s="99" t="str">
        <f>IF(PROGRAMAS!D92="","",PROGRAMAS!D92)</f>
        <v/>
      </c>
      <c r="C92" s="12" t="str">
        <f>IF(PROGRAMAS!M92=0,"",PROGRAMAS!M92)</f>
        <v/>
      </c>
      <c r="D92" s="78" t="str">
        <f>IF(PROGRAMAS!N92=0,"",PROGRAMAS!N92)</f>
        <v/>
      </c>
      <c r="E92" s="78">
        <f>IFERROR(SUMIFS(PROGRAMA_DETALLE!$M$4:$M$503,PROGRAMA_DETALLE!$A$4:$A$503,A92),0)</f>
        <v>0</v>
      </c>
      <c r="F92" s="78">
        <f>IFERROR(SUMIFS(PROGRAMA_DETALLE!$Z$4:$Z$503,PROGRAMA_DETALLE!$A$4:$A$503,A92),0)</f>
        <v>0</v>
      </c>
      <c r="G92" s="100" t="str">
        <f>IF(PROGRAMAS!AE92=0,"",PROGRAMAS!AE92)</f>
        <v/>
      </c>
      <c r="H92" s="12" t="str">
        <f>IF(PROGRAMAS!W92=0,"",PROGRAMAS!W92)</f>
        <v/>
      </c>
      <c r="I92" s="101">
        <f t="shared" si="1"/>
        <v>0</v>
      </c>
      <c r="J92" s="25">
        <f t="shared" si="2"/>
        <v>0</v>
      </c>
      <c r="K92" s="45" t="str">
        <f>IF(PROGRAMAS!I92="","",PROGRAMAS!I92)</f>
        <v/>
      </c>
    </row>
    <row r="93" ht="15.75" customHeight="1">
      <c r="A93" s="98" t="str">
        <f>IF(PROGRAMAS!A93="","",PROGRAMAS!A93)</f>
        <v/>
      </c>
      <c r="B93" s="99" t="str">
        <f>IF(PROGRAMAS!D93="","",PROGRAMAS!D93)</f>
        <v/>
      </c>
      <c r="C93" s="12" t="str">
        <f>IF(PROGRAMAS!M93=0,"",PROGRAMAS!M93)</f>
        <v/>
      </c>
      <c r="D93" s="78" t="str">
        <f>IF(PROGRAMAS!N93=0,"",PROGRAMAS!N93)</f>
        <v/>
      </c>
      <c r="E93" s="78">
        <f>IFERROR(SUMIFS(PROGRAMA_DETALLE!$M$4:$M$503,PROGRAMA_DETALLE!$A$4:$A$503,A93),0)</f>
        <v>0</v>
      </c>
      <c r="F93" s="78">
        <f>IFERROR(SUMIFS(PROGRAMA_DETALLE!$Z$4:$Z$503,PROGRAMA_DETALLE!$A$4:$A$503,A93),0)</f>
        <v>0</v>
      </c>
      <c r="G93" s="100" t="str">
        <f>IF(PROGRAMAS!AE93=0,"",PROGRAMAS!AE93)</f>
        <v/>
      </c>
      <c r="H93" s="12" t="str">
        <f>IF(PROGRAMAS!W93=0,"",PROGRAMAS!W93)</f>
        <v/>
      </c>
      <c r="I93" s="101">
        <f t="shared" si="1"/>
        <v>0</v>
      </c>
      <c r="J93" s="25">
        <f t="shared" si="2"/>
        <v>0</v>
      </c>
      <c r="K93" s="45" t="str">
        <f>IF(PROGRAMAS!I93="","",PROGRAMAS!I93)</f>
        <v/>
      </c>
    </row>
    <row r="94" ht="15.75" customHeight="1">
      <c r="A94" s="98" t="str">
        <f>IF(PROGRAMAS!A94="","",PROGRAMAS!A94)</f>
        <v/>
      </c>
      <c r="B94" s="99" t="str">
        <f>IF(PROGRAMAS!D94="","",PROGRAMAS!D94)</f>
        <v/>
      </c>
      <c r="C94" s="12" t="str">
        <f>IF(PROGRAMAS!M94=0,"",PROGRAMAS!M94)</f>
        <v/>
      </c>
      <c r="D94" s="78" t="str">
        <f>IF(PROGRAMAS!N94=0,"",PROGRAMAS!N94)</f>
        <v/>
      </c>
      <c r="E94" s="78">
        <f>IFERROR(SUMIFS(PROGRAMA_DETALLE!$M$4:$M$503,PROGRAMA_DETALLE!$A$4:$A$503,A94),0)</f>
        <v>0</v>
      </c>
      <c r="F94" s="78">
        <f>IFERROR(SUMIFS(PROGRAMA_DETALLE!$Z$4:$Z$503,PROGRAMA_DETALLE!$A$4:$A$503,A94),0)</f>
        <v>0</v>
      </c>
      <c r="G94" s="100" t="str">
        <f>IF(PROGRAMAS!AE94=0,"",PROGRAMAS!AE94)</f>
        <v/>
      </c>
      <c r="H94" s="12" t="str">
        <f>IF(PROGRAMAS!W94=0,"",PROGRAMAS!W94)</f>
        <v/>
      </c>
      <c r="I94" s="101">
        <f t="shared" si="1"/>
        <v>0</v>
      </c>
      <c r="J94" s="25">
        <f t="shared" si="2"/>
        <v>0</v>
      </c>
      <c r="K94" s="45" t="str">
        <f>IF(PROGRAMAS!I94="","",PROGRAMAS!I94)</f>
        <v/>
      </c>
    </row>
    <row r="95" ht="15.75" customHeight="1">
      <c r="A95" s="98" t="str">
        <f>IF(PROGRAMAS!A95="","",PROGRAMAS!A95)</f>
        <v/>
      </c>
      <c r="B95" s="99" t="str">
        <f>IF(PROGRAMAS!D95="","",PROGRAMAS!D95)</f>
        <v/>
      </c>
      <c r="C95" s="12" t="str">
        <f>IF(PROGRAMAS!M95=0,"",PROGRAMAS!M95)</f>
        <v/>
      </c>
      <c r="D95" s="78" t="str">
        <f>IF(PROGRAMAS!N95=0,"",PROGRAMAS!N95)</f>
        <v/>
      </c>
      <c r="E95" s="78">
        <f>IFERROR(SUMIFS(PROGRAMA_DETALLE!$M$4:$M$503,PROGRAMA_DETALLE!$A$4:$A$503,A95),0)</f>
        <v>0</v>
      </c>
      <c r="F95" s="78">
        <f>IFERROR(SUMIFS(PROGRAMA_DETALLE!$Z$4:$Z$503,PROGRAMA_DETALLE!$A$4:$A$503,A95),0)</f>
        <v>0</v>
      </c>
      <c r="G95" s="100" t="str">
        <f>IF(PROGRAMAS!AE95=0,"",PROGRAMAS!AE95)</f>
        <v/>
      </c>
      <c r="H95" s="12" t="str">
        <f>IF(PROGRAMAS!W95=0,"",PROGRAMAS!W95)</f>
        <v/>
      </c>
      <c r="I95" s="101">
        <f t="shared" si="1"/>
        <v>0</v>
      </c>
      <c r="J95" s="25">
        <f t="shared" si="2"/>
        <v>0</v>
      </c>
      <c r="K95" s="45" t="str">
        <f>IF(PROGRAMAS!I95="","",PROGRAMAS!I95)</f>
        <v/>
      </c>
    </row>
    <row r="96" ht="15.75" customHeight="1">
      <c r="A96" s="98" t="str">
        <f>IF(PROGRAMAS!A96="","",PROGRAMAS!A96)</f>
        <v/>
      </c>
      <c r="B96" s="99" t="str">
        <f>IF(PROGRAMAS!D96="","",PROGRAMAS!D96)</f>
        <v/>
      </c>
      <c r="C96" s="12" t="str">
        <f>IF(PROGRAMAS!M96=0,"",PROGRAMAS!M96)</f>
        <v/>
      </c>
      <c r="D96" s="78" t="str">
        <f>IF(PROGRAMAS!N96=0,"",PROGRAMAS!N96)</f>
        <v/>
      </c>
      <c r="E96" s="78">
        <f>IFERROR(SUMIFS(PROGRAMA_DETALLE!$M$4:$M$503,PROGRAMA_DETALLE!$A$4:$A$503,A96),0)</f>
        <v>0</v>
      </c>
      <c r="F96" s="78">
        <f>IFERROR(SUMIFS(PROGRAMA_DETALLE!$Z$4:$Z$503,PROGRAMA_DETALLE!$A$4:$A$503,A96),0)</f>
        <v>0</v>
      </c>
      <c r="G96" s="100" t="str">
        <f>IF(PROGRAMAS!AE96=0,"",PROGRAMAS!AE96)</f>
        <v/>
      </c>
      <c r="H96" s="12" t="str">
        <f>IF(PROGRAMAS!W96=0,"",PROGRAMAS!W96)</f>
        <v/>
      </c>
      <c r="I96" s="101">
        <f t="shared" si="1"/>
        <v>0</v>
      </c>
      <c r="J96" s="25">
        <f t="shared" si="2"/>
        <v>0</v>
      </c>
      <c r="K96" s="45" t="str">
        <f>IF(PROGRAMAS!I96="","",PROGRAMAS!I96)</f>
        <v/>
      </c>
    </row>
    <row r="97" ht="15.75" customHeight="1">
      <c r="A97" s="98" t="str">
        <f>IF(PROGRAMAS!A97="","",PROGRAMAS!A97)</f>
        <v/>
      </c>
      <c r="B97" s="99" t="str">
        <f>IF(PROGRAMAS!D97="","",PROGRAMAS!D97)</f>
        <v/>
      </c>
      <c r="C97" s="12" t="str">
        <f>IF(PROGRAMAS!M97=0,"",PROGRAMAS!M97)</f>
        <v/>
      </c>
      <c r="D97" s="78" t="str">
        <f>IF(PROGRAMAS!N97=0,"",PROGRAMAS!N97)</f>
        <v/>
      </c>
      <c r="E97" s="78">
        <f>IFERROR(SUMIFS(PROGRAMA_DETALLE!$M$4:$M$503,PROGRAMA_DETALLE!$A$4:$A$503,A97),0)</f>
        <v>0</v>
      </c>
      <c r="F97" s="78">
        <f>IFERROR(SUMIFS(PROGRAMA_DETALLE!$Z$4:$Z$503,PROGRAMA_DETALLE!$A$4:$A$503,A97),0)</f>
        <v>0</v>
      </c>
      <c r="G97" s="100" t="str">
        <f>IF(PROGRAMAS!AE97=0,"",PROGRAMAS!AE97)</f>
        <v/>
      </c>
      <c r="H97" s="12" t="str">
        <f>IF(PROGRAMAS!W97=0,"",PROGRAMAS!W97)</f>
        <v/>
      </c>
      <c r="I97" s="101">
        <f t="shared" si="1"/>
        <v>0</v>
      </c>
      <c r="J97" s="25">
        <f t="shared" si="2"/>
        <v>0</v>
      </c>
      <c r="K97" s="45" t="str">
        <f>IF(PROGRAMAS!I97="","",PROGRAMAS!I97)</f>
        <v/>
      </c>
    </row>
    <row r="98" ht="15.75" customHeight="1">
      <c r="A98" s="98" t="str">
        <f>IF(PROGRAMAS!A98="","",PROGRAMAS!A98)</f>
        <v/>
      </c>
      <c r="B98" s="99" t="str">
        <f>IF(PROGRAMAS!D98="","",PROGRAMAS!D98)</f>
        <v/>
      </c>
      <c r="C98" s="12" t="str">
        <f>IF(PROGRAMAS!M98=0,"",PROGRAMAS!M98)</f>
        <v/>
      </c>
      <c r="D98" s="78" t="str">
        <f>IF(PROGRAMAS!N98=0,"",PROGRAMAS!N98)</f>
        <v/>
      </c>
      <c r="E98" s="78">
        <f>IFERROR(SUMIFS(PROGRAMA_DETALLE!$M$4:$M$503,PROGRAMA_DETALLE!$A$4:$A$503,A98),0)</f>
        <v>0</v>
      </c>
      <c r="F98" s="78">
        <f>IFERROR(SUMIFS(PROGRAMA_DETALLE!$Z$4:$Z$503,PROGRAMA_DETALLE!$A$4:$A$503,A98),0)</f>
        <v>0</v>
      </c>
      <c r="G98" s="100" t="str">
        <f>IF(PROGRAMAS!AE98=0,"",PROGRAMAS!AE98)</f>
        <v/>
      </c>
      <c r="H98" s="12" t="str">
        <f>IF(PROGRAMAS!W98=0,"",PROGRAMAS!W98)</f>
        <v/>
      </c>
      <c r="I98" s="101">
        <f t="shared" si="1"/>
        <v>0</v>
      </c>
      <c r="J98" s="25">
        <f t="shared" si="2"/>
        <v>0</v>
      </c>
      <c r="K98" s="45" t="str">
        <f>IF(PROGRAMAS!I98="","",PROGRAMAS!I98)</f>
        <v/>
      </c>
    </row>
    <row r="99" ht="15.75" customHeight="1">
      <c r="A99" s="98" t="str">
        <f>IF(PROGRAMAS!A99="","",PROGRAMAS!A99)</f>
        <v/>
      </c>
      <c r="B99" s="99" t="str">
        <f>IF(PROGRAMAS!D99="","",PROGRAMAS!D99)</f>
        <v/>
      </c>
      <c r="C99" s="12" t="str">
        <f>IF(PROGRAMAS!M99=0,"",PROGRAMAS!M99)</f>
        <v/>
      </c>
      <c r="D99" s="78" t="str">
        <f>IF(PROGRAMAS!N99=0,"",PROGRAMAS!N99)</f>
        <v/>
      </c>
      <c r="E99" s="78">
        <f>IFERROR(SUMIFS(PROGRAMA_DETALLE!$M$4:$M$503,PROGRAMA_DETALLE!$A$4:$A$503,A99),0)</f>
        <v>0</v>
      </c>
      <c r="F99" s="78">
        <f>IFERROR(SUMIFS(PROGRAMA_DETALLE!$Z$4:$Z$503,PROGRAMA_DETALLE!$A$4:$A$503,A99),0)</f>
        <v>0</v>
      </c>
      <c r="G99" s="100" t="str">
        <f>IF(PROGRAMAS!AE99=0,"",PROGRAMAS!AE99)</f>
        <v/>
      </c>
      <c r="H99" s="12" t="str">
        <f>IF(PROGRAMAS!W99=0,"",PROGRAMAS!W99)</f>
        <v/>
      </c>
      <c r="I99" s="101">
        <f t="shared" si="1"/>
        <v>0</v>
      </c>
      <c r="J99" s="25">
        <f t="shared" si="2"/>
        <v>0</v>
      </c>
      <c r="K99" s="45" t="str">
        <f>IF(PROGRAMAS!I99="","",PROGRAMAS!I99)</f>
        <v/>
      </c>
    </row>
    <row r="100" ht="15.75" customHeight="1">
      <c r="A100" s="98" t="str">
        <f>IF(PROGRAMAS!A100="","",PROGRAMAS!A100)</f>
        <v/>
      </c>
      <c r="B100" s="99" t="str">
        <f>IF(PROGRAMAS!D100="","",PROGRAMAS!D100)</f>
        <v/>
      </c>
      <c r="C100" s="12" t="str">
        <f>IF(PROGRAMAS!M100=0,"",PROGRAMAS!M100)</f>
        <v/>
      </c>
      <c r="D100" s="78" t="str">
        <f>IF(PROGRAMAS!N100=0,"",PROGRAMAS!N100)</f>
        <v/>
      </c>
      <c r="E100" s="78">
        <f>IFERROR(SUMIFS(PROGRAMA_DETALLE!$M$4:$M$503,PROGRAMA_DETALLE!$A$4:$A$503,A100),0)</f>
        <v>0</v>
      </c>
      <c r="F100" s="78">
        <f>IFERROR(SUMIFS(PROGRAMA_DETALLE!$Z$4:$Z$503,PROGRAMA_DETALLE!$A$4:$A$503,A100),0)</f>
        <v>0</v>
      </c>
      <c r="G100" s="100" t="str">
        <f>IF(PROGRAMAS!AE100=0,"",PROGRAMAS!AE100)</f>
        <v/>
      </c>
      <c r="H100" s="12" t="str">
        <f>IF(PROGRAMAS!W100=0,"",PROGRAMAS!W100)</f>
        <v/>
      </c>
      <c r="I100" s="101">
        <f t="shared" si="1"/>
        <v>0</v>
      </c>
      <c r="J100" s="25">
        <f t="shared" si="2"/>
        <v>0</v>
      </c>
      <c r="K100" s="45" t="str">
        <f>IF(PROGRAMAS!I100="","",PROGRAMAS!I100)</f>
        <v/>
      </c>
    </row>
    <row r="101" ht="15.75" customHeight="1">
      <c r="A101" s="98" t="str">
        <f>IF(PROGRAMAS!A101="","",PROGRAMAS!A101)</f>
        <v/>
      </c>
      <c r="B101" s="99" t="str">
        <f>IF(PROGRAMAS!D101="","",PROGRAMAS!D101)</f>
        <v/>
      </c>
      <c r="C101" s="12" t="str">
        <f>IF(PROGRAMAS!M101=0,"",PROGRAMAS!M101)</f>
        <v/>
      </c>
      <c r="D101" s="78" t="str">
        <f>IF(PROGRAMAS!N101=0,"",PROGRAMAS!N101)</f>
        <v/>
      </c>
      <c r="E101" s="78">
        <f>IFERROR(SUMIFS(PROGRAMA_DETALLE!$M$4:$M$503,PROGRAMA_DETALLE!$A$4:$A$503,A101),0)</f>
        <v>0</v>
      </c>
      <c r="F101" s="78">
        <f>IFERROR(SUMIFS(PROGRAMA_DETALLE!$Z$4:$Z$503,PROGRAMA_DETALLE!$A$4:$A$503,A101),0)</f>
        <v>0</v>
      </c>
      <c r="G101" s="100" t="str">
        <f>IF(PROGRAMAS!AE101=0,"",PROGRAMAS!AE101)</f>
        <v/>
      </c>
      <c r="H101" s="12" t="str">
        <f>IF(PROGRAMAS!W101=0,"",PROGRAMAS!W101)</f>
        <v/>
      </c>
      <c r="I101" s="101">
        <f t="shared" si="1"/>
        <v>0</v>
      </c>
      <c r="J101" s="25">
        <f t="shared" si="2"/>
        <v>0</v>
      </c>
      <c r="K101" s="45" t="str">
        <f>IF(PROGRAMAS!I101="","",PROGRAMAS!I101)</f>
        <v/>
      </c>
    </row>
    <row r="102" ht="15.75" customHeight="1">
      <c r="A102" s="98" t="str">
        <f>IF(PROGRAMAS!A102="","",PROGRAMAS!A102)</f>
        <v/>
      </c>
      <c r="B102" s="99" t="str">
        <f>IF(PROGRAMAS!D102="","",PROGRAMAS!D102)</f>
        <v/>
      </c>
      <c r="C102" s="12" t="str">
        <f>IF(PROGRAMAS!M102=0,"",PROGRAMAS!M102)</f>
        <v/>
      </c>
      <c r="D102" s="78" t="str">
        <f>IF(PROGRAMAS!N102=0,"",PROGRAMAS!N102)</f>
        <v/>
      </c>
      <c r="E102" s="78">
        <f>IFERROR(SUMIFS(PROGRAMA_DETALLE!$M$4:$M$503,PROGRAMA_DETALLE!$A$4:$A$503,A102),0)</f>
        <v>0</v>
      </c>
      <c r="F102" s="78">
        <f>IFERROR(SUMIFS(PROGRAMA_DETALLE!$Z$4:$Z$503,PROGRAMA_DETALLE!$A$4:$A$503,A102),0)</f>
        <v>0</v>
      </c>
      <c r="G102" s="100" t="str">
        <f>IF(PROGRAMAS!AE102=0,"",PROGRAMAS!AE102)</f>
        <v/>
      </c>
      <c r="H102" s="12" t="str">
        <f>IF(PROGRAMAS!W102=0,"",PROGRAMAS!W102)</f>
        <v/>
      </c>
      <c r="I102" s="101">
        <f t="shared" si="1"/>
        <v>0</v>
      </c>
      <c r="J102" s="25">
        <f t="shared" si="2"/>
        <v>0</v>
      </c>
      <c r="K102" s="45" t="str">
        <f>IF(PROGRAMAS!I102="","",PROGRAMAS!I102)</f>
        <v/>
      </c>
    </row>
    <row r="103" ht="15.75" customHeight="1">
      <c r="A103" s="98" t="str">
        <f>IF(PROGRAMAS!A103="","",PROGRAMAS!A103)</f>
        <v/>
      </c>
      <c r="B103" s="99" t="str">
        <f>IF(PROGRAMAS!D103="","",PROGRAMAS!D103)</f>
        <v/>
      </c>
      <c r="C103" s="12" t="str">
        <f>IF(PROGRAMAS!M103=0,"",PROGRAMAS!M103)</f>
        <v/>
      </c>
      <c r="D103" s="78" t="str">
        <f>IF(PROGRAMAS!N103=0,"",PROGRAMAS!N103)</f>
        <v/>
      </c>
      <c r="E103" s="78">
        <f>IFERROR(SUMIFS(PROGRAMA_DETALLE!$M$4:$M$503,PROGRAMA_DETALLE!$A$4:$A$503,A103),0)</f>
        <v>0</v>
      </c>
      <c r="F103" s="78">
        <f>IFERROR(SUMIFS(PROGRAMA_DETALLE!$Z$4:$Z$503,PROGRAMA_DETALLE!$A$4:$A$503,A103),0)</f>
        <v>0</v>
      </c>
      <c r="G103" s="100" t="str">
        <f>IF(PROGRAMAS!AE103=0,"",PROGRAMAS!AE103)</f>
        <v/>
      </c>
      <c r="H103" s="12" t="str">
        <f>IF(PROGRAMAS!W103=0,"",PROGRAMAS!W103)</f>
        <v/>
      </c>
      <c r="I103" s="101">
        <f t="shared" si="1"/>
        <v>0</v>
      </c>
      <c r="J103" s="25">
        <f t="shared" si="2"/>
        <v>0</v>
      </c>
      <c r="K103" s="45" t="str">
        <f>IF(PROGRAMAS!I103="","",PROGRAMAS!I103)</f>
        <v/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K$103"/>
  <mergeCells count="2">
    <mergeCell ref="A1:K1"/>
    <mergeCell ref="A2:K2"/>
  </mergeCells>
  <conditionalFormatting sqref="I4:I103">
    <cfRule type="expression" dxfId="8" priority="1">
      <formula>AND(I4&gt;0.06,I4&lt;=0.1)</formula>
    </cfRule>
  </conditionalFormatting>
  <conditionalFormatting sqref="I4:I103">
    <cfRule type="expression" dxfId="6" priority="2">
      <formula>I4&gt;0.1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3" width="12.0"/>
    <col customWidth="1" min="4" max="4" width="9.0"/>
    <col customWidth="1" min="5" max="5" width="14.0"/>
    <col customWidth="1" min="6" max="6" width="17.71"/>
    <col customWidth="1" min="7" max="7" width="14.0"/>
    <col customWidth="1" min="8" max="8" width="17.29"/>
    <col customWidth="1" min="9" max="9" width="14.0"/>
    <col customWidth="1" min="10" max="10" width="13.0"/>
    <col customWidth="1" min="11" max="11" width="14.0"/>
    <col customWidth="1" min="12" max="36" width="8.71"/>
    <col customWidth="1" hidden="1" min="37" max="43" width="13.0"/>
  </cols>
  <sheetData>
    <row r="1" ht="27.75" customHeight="1">
      <c r="A1" s="62" t="s">
        <v>316</v>
      </c>
      <c r="B1" s="2"/>
      <c r="C1" s="2"/>
      <c r="D1" s="2"/>
      <c r="E1" s="2"/>
      <c r="F1" s="2"/>
      <c r="G1" s="2"/>
      <c r="H1" s="2"/>
      <c r="I1" s="2"/>
      <c r="J1" s="2"/>
      <c r="K1" s="3"/>
      <c r="AK1" s="102" t="str">
        <f>IF(HILOS!A4="","",HILOS!A4)</f>
        <v>Hilo 30/1 PC</v>
      </c>
      <c r="AL1" s="102">
        <f>IFERROR(SUMIFS(COMPRAS_HILO!$D$4:$D$203,COMPRAS_HILO!$C$4:$C$203,AK1),0)</f>
        <v>4000</v>
      </c>
      <c r="AM1" s="102">
        <f>IFERROR(SUMIFS(COMPRAS_HILO!$H$4:$H$203,COMPRAS_HILO!$C$4:$C$203,AK1),0)</f>
        <v>41550</v>
      </c>
      <c r="AN1" s="102">
        <f t="shared" ref="AN1:AN19" si="1">AM1-ROW()/1000000</f>
        <v>41550</v>
      </c>
      <c r="AO1" s="102" t="str">
        <f>IF(COLORES!A4="","",COLORES!A4)</f>
        <v>Negro</v>
      </c>
      <c r="AP1" s="102">
        <f>IFERROR(SUMIFS(PROGRAMA_DETALLE!$S$4:$S$503,PROGRAMA_DETALLE!$B$4:$B$503,AO1),0)</f>
        <v>380</v>
      </c>
      <c r="AQ1" s="102">
        <f t="shared" ref="AQ1:AQ20" si="2">AP1-ROW()/1000000</f>
        <v>379.999999</v>
      </c>
    </row>
    <row r="2">
      <c r="A2" s="103" t="s">
        <v>317</v>
      </c>
      <c r="C2" s="104">
        <v>0.3</v>
      </c>
      <c r="D2" s="105" t="s">
        <v>318</v>
      </c>
      <c r="AK2" s="102" t="str">
        <f>IF(HILOS!A5="","",HILOS!A5)</f>
        <v>Hilo 20/1 PC</v>
      </c>
      <c r="AL2" s="102">
        <f>IFERROR(SUMIFS(COMPRAS_HILO!$D$4:$D$203,COMPRAS_HILO!$C$4:$C$203,AK2),0)</f>
        <v>0</v>
      </c>
      <c r="AM2" s="102">
        <f>IFERROR(SUMIFS(COMPRAS_HILO!$H$4:$H$203,COMPRAS_HILO!$C$4:$C$203,AK2),0)</f>
        <v>0</v>
      </c>
      <c r="AN2" s="102">
        <f t="shared" si="1"/>
        <v>-0.000002</v>
      </c>
      <c r="AO2" s="102" t="str">
        <f>IF(COLORES!A5="","",COLORES!A5)</f>
        <v>Perla</v>
      </c>
      <c r="AP2" s="102">
        <f>IFERROR(SUMIFS(PROGRAMA_DETALLE!$S$4:$S$503,PROGRAMA_DETALLE!$B$4:$B$503,AO2),0)</f>
        <v>170</v>
      </c>
      <c r="AQ2" s="102">
        <f t="shared" si="2"/>
        <v>169.999998</v>
      </c>
    </row>
    <row r="3">
      <c r="AK3" s="102" t="str">
        <f>IF(HILOS!A6="","",HILOS!A6)</f>
        <v>Hilo 30/1 ALGODON</v>
      </c>
      <c r="AL3" s="102">
        <f>IFERROR(SUMIFS(COMPRAS_HILO!$D$4:$D$203,COMPRAS_HILO!$C$4:$C$203,AK3),0)</f>
        <v>660</v>
      </c>
      <c r="AM3" s="102">
        <f>IFERROR(SUMIFS(COMPRAS_HILO!$H$4:$H$203,COMPRAS_HILO!$C$4:$C$203,AK3),0)</f>
        <v>9108</v>
      </c>
      <c r="AN3" s="102">
        <f t="shared" si="1"/>
        <v>9107.999997</v>
      </c>
      <c r="AO3" s="102" t="str">
        <f>IF(COLORES!A6="","",COLORES!A6)</f>
        <v>Blanco</v>
      </c>
      <c r="AP3" s="102">
        <f>IFERROR(SUMIFS(PROGRAMA_DETALLE!$S$4:$S$503,PROGRAMA_DETALLE!$B$4:$B$503,AO3),0)</f>
        <v>0</v>
      </c>
      <c r="AQ3" s="102">
        <f t="shared" si="2"/>
        <v>-0.000003</v>
      </c>
    </row>
    <row r="4" ht="21.75" customHeight="1">
      <c r="A4" s="106" t="s">
        <v>319</v>
      </c>
      <c r="B4" s="3"/>
      <c r="C4" s="107" t="s">
        <v>320</v>
      </c>
      <c r="D4" s="3"/>
      <c r="E4" s="108" t="s">
        <v>321</v>
      </c>
      <c r="F4" s="3"/>
      <c r="G4" s="109" t="s">
        <v>322</v>
      </c>
      <c r="H4" s="3"/>
      <c r="AK4" s="102" t="str">
        <f>IF(HILOS!A7="","",HILOS!A7)</f>
        <v>Hilo 24/1 Algodón</v>
      </c>
      <c r="AL4" s="102">
        <f>IFERROR(SUMIFS(COMPRAS_HILO!$D$4:$D$203,COMPRAS_HILO!$C$4:$C$203,AK4),0)</f>
        <v>0</v>
      </c>
      <c r="AM4" s="102">
        <f>IFERROR(SUMIFS(COMPRAS_HILO!$H$4:$H$203,COMPRAS_HILO!$C$4:$C$203,AK4),0)</f>
        <v>0</v>
      </c>
      <c r="AN4" s="102">
        <f t="shared" si="1"/>
        <v>-0.000004</v>
      </c>
      <c r="AO4" s="102" t="str">
        <f>IF(COLORES!A7="","",COLORES!A7)</f>
        <v>Beige</v>
      </c>
      <c r="AP4" s="102">
        <f>IFERROR(SUMIFS(PROGRAMA_DETALLE!$S$4:$S$503,PROGRAMA_DETALLE!$B$4:$B$503,AO4),0)</f>
        <v>170</v>
      </c>
      <c r="AQ4" s="102">
        <f t="shared" si="2"/>
        <v>169.999996</v>
      </c>
    </row>
    <row r="5" ht="31.5" customHeight="1">
      <c r="A5" s="110">
        <f>SUMPRODUCT((PROGRAMAS!$A$4:$A$103&lt;&gt;"")*(PROGRAMAS!$I$4:$I$103&lt;&gt;"CERRADO"))</f>
        <v>4</v>
      </c>
      <c r="B5" s="111"/>
      <c r="C5" s="110">
        <f>SUM(PROGRAMA_DETALLE!$T$4:$T$503)</f>
        <v>50</v>
      </c>
      <c r="D5" s="111"/>
      <c r="E5" s="112">
        <f>SUM(PROGRAMAS!$W$4:$W$103)</f>
        <v>890</v>
      </c>
      <c r="F5" s="111"/>
      <c r="G5" s="113">
        <f>SUM(PROGRAMAS!$AE$4:$AE$103)</f>
        <v>68954.175</v>
      </c>
      <c r="H5" s="111"/>
      <c r="AK5" s="102" t="str">
        <f>IF(HILOS!A8="","",HILOS!A8)</f>
        <v>Hilo 50/1 Pima</v>
      </c>
      <c r="AL5" s="102">
        <f>IFERROR(SUMIFS(COMPRAS_HILO!$D$4:$D$203,COMPRAS_HILO!$C$4:$C$203,AK5),0)</f>
        <v>0</v>
      </c>
      <c r="AM5" s="102">
        <f>IFERROR(SUMIFS(COMPRAS_HILO!$H$4:$H$203,COMPRAS_HILO!$C$4:$C$203,AK5),0)</f>
        <v>0</v>
      </c>
      <c r="AN5" s="102">
        <f t="shared" si="1"/>
        <v>-0.000005</v>
      </c>
      <c r="AO5" s="102" t="str">
        <f>IF(COLORES!A8="","",COLORES!A8)</f>
        <v>Topo</v>
      </c>
      <c r="AP5" s="102">
        <f>IFERROR(SUMIFS(PROGRAMA_DETALLE!$S$4:$S$503,PROGRAMA_DETALLE!$B$4:$B$503,AO5),0)</f>
        <v>0</v>
      </c>
      <c r="AQ5" s="102">
        <f t="shared" si="2"/>
        <v>-0.000005</v>
      </c>
    </row>
    <row r="6" ht="21.75" customHeight="1">
      <c r="A6" s="114" t="s">
        <v>323</v>
      </c>
      <c r="B6" s="3"/>
      <c r="C6" s="115" t="s">
        <v>324</v>
      </c>
      <c r="D6" s="3"/>
      <c r="E6" s="115" t="s">
        <v>325</v>
      </c>
      <c r="F6" s="3"/>
      <c r="G6" s="107" t="s">
        <v>326</v>
      </c>
      <c r="H6" s="3"/>
      <c r="AK6" s="102" t="str">
        <f>IF(HILOS!A9="","",HILOS!A9)</f>
        <v>Hilo 30/1 con Lycra</v>
      </c>
      <c r="AL6" s="102">
        <f>IFERROR(SUMIFS(COMPRAS_HILO!$D$4:$D$203,COMPRAS_HILO!$C$4:$C$203,AK6),0)</f>
        <v>0</v>
      </c>
      <c r="AM6" s="102">
        <f>IFERROR(SUMIFS(COMPRAS_HILO!$H$4:$H$203,COMPRAS_HILO!$C$4:$C$203,AK6),0)</f>
        <v>0</v>
      </c>
      <c r="AN6" s="102">
        <f t="shared" si="1"/>
        <v>-0.000006</v>
      </c>
      <c r="AO6" s="102" t="str">
        <f>IF(COLORES!A9="","",COLORES!A9)</f>
        <v>Cemento</v>
      </c>
      <c r="AP6" s="102">
        <f>IFERROR(SUMIFS(PROGRAMA_DETALLE!$S$4:$S$503,PROGRAMA_DETALLE!$B$4:$B$503,AO6),0)</f>
        <v>0</v>
      </c>
      <c r="AQ6" s="102">
        <f t="shared" si="2"/>
        <v>-0.000006</v>
      </c>
    </row>
    <row r="7" ht="31.5" customHeight="1">
      <c r="A7" s="116">
        <f>IFERROR(SUM(PROGRAMAS!$AE$4:$AE$103)/SUM(PROGRAMAS!$W$4:$W$103),0)</f>
        <v>77.47660112</v>
      </c>
      <c r="B7" s="111"/>
      <c r="C7" s="116">
        <f>SUM(PROGRAMAS!$AB$4:$AB$103)</f>
        <v>267</v>
      </c>
      <c r="D7" s="111"/>
      <c r="E7" s="113">
        <f>SUMIFS(CUENTAS_POR_PAGAR!H4:H1203,CUENTAS_POR_PAGAR!I4:I1203,"PENDIENTE")+SUMIFS(CUENTAS_POR_PAGAR!H4:H1203,CUENTAS_POR_PAGAR!I4:I1203,"PARCIAL")</f>
        <v>0</v>
      </c>
      <c r="F7" s="111"/>
      <c r="G7" s="117">
        <f>IFERROR(AVERAGEIF(PROGRAMAS!$AG$4:$AG$103,"&gt;0"),"")</f>
        <v>29</v>
      </c>
      <c r="H7" s="111"/>
      <c r="AK7" s="102" t="str">
        <f>IF(HILOS!A10="","",HILOS!A10)</f>
        <v>hilo 50/1 cottom</v>
      </c>
      <c r="AL7" s="102">
        <f>IFERROR(SUMIFS(COMPRAS_HILO!$D$4:$D$203,COMPRAS_HILO!$C$4:$C$203,AK7),0)</f>
        <v>0</v>
      </c>
      <c r="AM7" s="102">
        <f>IFERROR(SUMIFS(COMPRAS_HILO!$H$4:$H$203,COMPRAS_HILO!$C$4:$C$203,AK7),0)</f>
        <v>0</v>
      </c>
      <c r="AN7" s="102">
        <f t="shared" si="1"/>
        <v>-0.000007</v>
      </c>
      <c r="AO7" s="102" t="str">
        <f>IF(COLORES!A10="","",COLORES!A10)</f>
        <v>Pacay</v>
      </c>
      <c r="AP7" s="102">
        <f>IFERROR(SUMIFS(PROGRAMA_DETALLE!$S$4:$S$503,PROGRAMA_DETALLE!$B$4:$B$503,AO7),0)</f>
        <v>0</v>
      </c>
      <c r="AQ7" s="102">
        <f t="shared" si="2"/>
        <v>-0.000007</v>
      </c>
    </row>
    <row r="8">
      <c r="AK8" s="102" t="str">
        <f>IF(HILOS!A11="","",HILOS!A11)</f>
        <v>hilo 50/1 cotton +lycra 4%</v>
      </c>
      <c r="AL8" s="102">
        <f>IFERROR(SUMIFS(COMPRAS_HILO!$D$4:$D$203,COMPRAS_HILO!$C$4:$C$203,AK8),0)</f>
        <v>500</v>
      </c>
      <c r="AM8" s="102">
        <f>IFERROR(SUMIFS(COMPRAS_HILO!$H$4:$H$203,COMPRAS_HILO!$C$4:$C$203,AK8),0)</f>
        <v>9625</v>
      </c>
      <c r="AN8" s="102">
        <f t="shared" si="1"/>
        <v>9624.999992</v>
      </c>
      <c r="AO8" s="102" t="str">
        <f>IF(COLORES!A11="","",COLORES!A11)</f>
        <v>Denim</v>
      </c>
      <c r="AP8" s="102">
        <f>IFERROR(SUMIFS(PROGRAMA_DETALLE!$S$4:$S$503,PROGRAMA_DETALLE!$B$4:$B$503,AO8),0)</f>
        <v>0</v>
      </c>
      <c r="AQ8" s="102">
        <f t="shared" si="2"/>
        <v>-0.000008</v>
      </c>
    </row>
    <row r="9" ht="21.75" customHeight="1">
      <c r="A9" s="118" t="s">
        <v>327</v>
      </c>
      <c r="B9" s="2"/>
      <c r="C9" s="3"/>
      <c r="E9" s="82" t="s">
        <v>328</v>
      </c>
      <c r="F9" s="2"/>
      <c r="G9" s="2"/>
      <c r="H9" s="2"/>
      <c r="I9" s="3"/>
      <c r="AK9" s="102" t="str">
        <f>IF(HILOS!A12="","",HILOS!A12)</f>
        <v/>
      </c>
      <c r="AL9" s="102">
        <f>IFERROR(SUMIFS(COMPRAS_HILO!$D$4:$D$203,COMPRAS_HILO!$C$4:$C$203,AK9),0)</f>
        <v>0</v>
      </c>
      <c r="AM9" s="102">
        <f>IFERROR(SUMIFS(COMPRAS_HILO!$H$4:$H$203,COMPRAS_HILO!$C$4:$C$203,AK9),0)</f>
        <v>0</v>
      </c>
      <c r="AN9" s="102">
        <f t="shared" si="1"/>
        <v>-0.000009</v>
      </c>
      <c r="AO9" s="102" t="str">
        <f>IF(COLORES!A12="","",COLORES!A12)</f>
        <v>Palo Rosa</v>
      </c>
      <c r="AP9" s="102">
        <f>IFERROR(SUMIFS(PROGRAMA_DETALLE!$S$4:$S$503,PROGRAMA_DETALLE!$B$4:$B$503,AO9),0)</f>
        <v>0</v>
      </c>
      <c r="AQ9" s="102">
        <f t="shared" si="2"/>
        <v>-0.000009</v>
      </c>
    </row>
    <row r="10" ht="21.75" customHeight="1">
      <c r="A10" s="119" t="s">
        <v>10</v>
      </c>
      <c r="B10" s="119" t="s">
        <v>329</v>
      </c>
      <c r="C10" s="119" t="s">
        <v>330</v>
      </c>
      <c r="E10" s="120" t="s">
        <v>331</v>
      </c>
      <c r="F10" s="120" t="s">
        <v>5</v>
      </c>
      <c r="G10" s="120" t="s">
        <v>332</v>
      </c>
      <c r="H10" s="120" t="s">
        <v>333</v>
      </c>
      <c r="I10" s="120" t="s">
        <v>330</v>
      </c>
      <c r="AK10" s="102" t="str">
        <f>IF(HILOS!A13="","",HILOS!A13)</f>
        <v/>
      </c>
      <c r="AL10" s="102">
        <f>IFERROR(SUMIFS(COMPRAS_HILO!$D$4:$D$203,COMPRAS_HILO!$C$4:$C$203,AK10),0)</f>
        <v>0</v>
      </c>
      <c r="AM10" s="102">
        <f>IFERROR(SUMIFS(COMPRAS_HILO!$H$4:$H$203,COMPRAS_HILO!$C$4:$C$203,AK10),0)</f>
        <v>0</v>
      </c>
      <c r="AN10" s="102">
        <f t="shared" si="1"/>
        <v>-0.00001</v>
      </c>
      <c r="AO10" s="102" t="str">
        <f>IF(COLORES!A13="","",COLORES!A13)</f>
        <v>Camote</v>
      </c>
      <c r="AP10" s="102">
        <f>IFERROR(SUMIFS(PROGRAMA_DETALLE!$S$4:$S$503,PROGRAMA_DETALLE!$B$4:$B$503,AO10),0)</f>
        <v>0</v>
      </c>
      <c r="AQ10" s="102">
        <f t="shared" si="2"/>
        <v>-0.00001</v>
      </c>
    </row>
    <row r="11">
      <c r="A11" s="77" t="s">
        <v>334</v>
      </c>
      <c r="B11" s="121">
        <f>COUNTIF(PROGRAMAS!$I$4:$I$103,"NUEVO")</f>
        <v>0</v>
      </c>
      <c r="C11" s="122">
        <f>IFERROR(B11/SUMPRODUCT((PROGRAMAS!$A$4:$A$103&lt;&gt;"")*1),0)</f>
        <v>0</v>
      </c>
      <c r="E11" s="123">
        <v>1.0</v>
      </c>
      <c r="F11" s="77" t="str">
        <f t="array" ref="F11">IFERROR(IF(LARGE($AN$1:$AN$19,1)&lt;=0,"",INDEX($AK$1:$AK$19,MATCH(LARGE($AN$1:$AN$19,1),$AN$1:$AN$19,0))),"")</f>
        <v>Hilo 30/1 PC</v>
      </c>
      <c r="G11" s="124">
        <f t="array" ref="G11">IFERROR(IF(LARGE($AN$1:$AN$19,1)&lt;=0,"",INDEX($AL$1:$AL$19,MATCH(LARGE($AN$1:$AN$19,1),$AN$1:$AN$19,0))),"")</f>
        <v>4000</v>
      </c>
      <c r="H11" s="125">
        <f t="array" ref="H11">IFERROR(IF(LARGE($AN$1:$AN$19,1)&lt;=0,"",INDEX($AM$1:$AM$19,MATCH(LARGE($AN$1:$AN$19,1),$AN$1:$AN$19,0))),"")</f>
        <v>41550</v>
      </c>
      <c r="I11" s="122">
        <f t="shared" ref="I11:I16" si="3">IFERROR(H11/SUM($AM$1:$AM$19),0)</f>
        <v>0.689249042</v>
      </c>
      <c r="AK11" s="102" t="str">
        <f>IF(HILOS!A14="","",HILOS!A14)</f>
        <v/>
      </c>
      <c r="AL11" s="102">
        <f>IFERROR(SUMIFS(COMPRAS_HILO!$D$4:$D$203,COMPRAS_HILO!$C$4:$C$203,AK11),0)</f>
        <v>0</v>
      </c>
      <c r="AM11" s="102">
        <f>IFERROR(SUMIFS(COMPRAS_HILO!$H$4:$H$203,COMPRAS_HILO!$C$4:$C$203,AK11),0)</f>
        <v>0</v>
      </c>
      <c r="AN11" s="102">
        <f t="shared" si="1"/>
        <v>-0.000011</v>
      </c>
      <c r="AO11" s="102" t="str">
        <f>IF(COLORES!A14="","",COLORES!A14)</f>
        <v>Azul Marino</v>
      </c>
      <c r="AP11" s="102">
        <f>IFERROR(SUMIFS(PROGRAMA_DETALLE!$S$4:$S$503,PROGRAMA_DETALLE!$B$4:$B$503,AO11),0)</f>
        <v>0</v>
      </c>
      <c r="AQ11" s="102">
        <f t="shared" si="2"/>
        <v>-0.000011</v>
      </c>
    </row>
    <row r="12">
      <c r="A12" s="77" t="s">
        <v>335</v>
      </c>
      <c r="B12" s="121">
        <f>COUNTIF(PROGRAMAS!$I$4:$I$103,"EN COMPRA")</f>
        <v>0</v>
      </c>
      <c r="C12" s="122">
        <f>IFERROR(B12/SUMPRODUCT((PROGRAMAS!$A$4:$A$103&lt;&gt;"")*1),0)</f>
        <v>0</v>
      </c>
      <c r="E12" s="123">
        <v>2.0</v>
      </c>
      <c r="F12" s="77" t="str">
        <f t="array" ref="F12">IFERROR(IF(LARGE($AN$1:$AN$19,2)&lt;=0,"",INDEX($AK$1:$AK$19,MATCH(LARGE($AN$1:$AN$19,2),$AN$1:$AN$19,0))),"")</f>
        <v>hilo 50/1 cotton +lycra 4%</v>
      </c>
      <c r="G12" s="124">
        <f t="array" ref="G12">IFERROR(IF(LARGE($AN$1:$AN$19,2)&lt;=0,"",INDEX($AL$1:$AL$19,MATCH(LARGE($AN$1:$AN$19,2),$AN$1:$AN$19,0))),"")</f>
        <v>500</v>
      </c>
      <c r="H12" s="125">
        <f t="array" ref="H12">IFERROR(IF(LARGE($AN$1:$AN$19,2)&lt;=0,"",INDEX($AM$1:$AM$19,MATCH(LARGE($AN$1:$AN$19,2),$AN$1:$AN$19,0))),"")</f>
        <v>9625</v>
      </c>
      <c r="I12" s="122">
        <f t="shared" si="3"/>
        <v>0.1596635867</v>
      </c>
      <c r="AK12" s="102" t="str">
        <f>IF(HILOS!A15="","",HILOS!A15)</f>
        <v/>
      </c>
      <c r="AL12" s="102">
        <f>IFERROR(SUMIFS(COMPRAS_HILO!$D$4:$D$203,COMPRAS_HILO!$C$4:$C$203,AK12),0)</f>
        <v>0</v>
      </c>
      <c r="AM12" s="102">
        <f>IFERROR(SUMIFS(COMPRAS_HILO!$H$4:$H$203,COMPRAS_HILO!$C$4:$C$203,AK12),0)</f>
        <v>0</v>
      </c>
      <c r="AN12" s="102">
        <f t="shared" si="1"/>
        <v>-0.000012</v>
      </c>
      <c r="AO12" s="102" t="str">
        <f>IF(COLORES!A15="","",COLORES!A15)</f>
        <v>Vino</v>
      </c>
      <c r="AP12" s="102">
        <f>IFERROR(SUMIFS(PROGRAMA_DETALLE!$S$4:$S$503,PROGRAMA_DETALLE!$B$4:$B$503,AO12),0)</f>
        <v>0</v>
      </c>
      <c r="AQ12" s="102">
        <f t="shared" si="2"/>
        <v>-0.000012</v>
      </c>
    </row>
    <row r="13">
      <c r="A13" s="77" t="s">
        <v>46</v>
      </c>
      <c r="B13" s="121">
        <f>COUNTIF(PROGRAMAS!$I$4:$I$103,"EN TEJEDURÍA")</f>
        <v>2</v>
      </c>
      <c r="C13" s="122">
        <f>IFERROR(B13/SUMPRODUCT((PROGRAMAS!$A$4:$A$103&lt;&gt;"")*1),0)</f>
        <v>0.4</v>
      </c>
      <c r="E13" s="123">
        <v>3.0</v>
      </c>
      <c r="F13" s="77" t="str">
        <f t="array" ref="F13">IFERROR(IF(LARGE($AN$1:$AN$19,3)&lt;=0,"",INDEX($AK$1:$AK$19,MATCH(LARGE($AN$1:$AN$19,3),$AN$1:$AN$19,0))),"")</f>
        <v>Hilo 30/1 ALGODON</v>
      </c>
      <c r="G13" s="124">
        <f t="array" ref="G13">IFERROR(IF(LARGE($AN$1:$AN$19,3)&lt;=0,"",INDEX($AL$1:$AL$19,MATCH(LARGE($AN$1:$AN$19,3),$AN$1:$AN$19,0))),"")</f>
        <v>660</v>
      </c>
      <c r="H13" s="125">
        <f t="array" ref="H13">IFERROR(IF(LARGE($AN$1:$AN$19,3)&lt;=0,"",INDEX($AM$1:$AM$19,MATCH(LARGE($AN$1:$AN$19,3),$AN$1:$AN$19,0))),"")</f>
        <v>9108</v>
      </c>
      <c r="I13" s="122">
        <f t="shared" si="3"/>
        <v>0.1510873712</v>
      </c>
      <c r="AK13" s="102" t="str">
        <f>IF(HILOS!A16="","",HILOS!A16)</f>
        <v/>
      </c>
      <c r="AL13" s="102">
        <f>IFERROR(SUMIFS(COMPRAS_HILO!$D$4:$D$203,COMPRAS_HILO!$C$4:$C$203,AK13),0)</f>
        <v>0</v>
      </c>
      <c r="AM13" s="102">
        <f>IFERROR(SUMIFS(COMPRAS_HILO!$H$4:$H$203,COMPRAS_HILO!$C$4:$C$203,AK13),0)</f>
        <v>0</v>
      </c>
      <c r="AN13" s="102">
        <f t="shared" si="1"/>
        <v>-0.000013</v>
      </c>
      <c r="AO13" s="102" t="str">
        <f>IF(COLORES!A16="","",COLORES!A16)</f>
        <v>Botella</v>
      </c>
      <c r="AP13" s="102">
        <f>IFERROR(SUMIFS(PROGRAMA_DETALLE!$S$4:$S$503,PROGRAMA_DETALLE!$B$4:$B$503,AO13),0)</f>
        <v>0</v>
      </c>
      <c r="AQ13" s="102">
        <f t="shared" si="2"/>
        <v>-0.000013</v>
      </c>
    </row>
    <row r="14">
      <c r="A14" s="77" t="s">
        <v>55</v>
      </c>
      <c r="B14" s="121">
        <f>COUNTIF(PROGRAMAS!$I$4:$I$103,"EN TINTORERÍA")</f>
        <v>2</v>
      </c>
      <c r="C14" s="122">
        <f>IFERROR(B14/SUMPRODUCT((PROGRAMAS!$A$4:$A$103&lt;&gt;"")*1),0)</f>
        <v>0.4</v>
      </c>
      <c r="E14" s="123">
        <v>4.0</v>
      </c>
      <c r="F14" s="77" t="str">
        <f t="array" ref="F14">IFERROR(IF(LARGE($AN$1:$AN$19,4)&lt;=0,"",INDEX($AK$1:$AK$19,MATCH(LARGE($AN$1:$AN$19,4),$AN$1:$AN$19,0))),"")</f>
        <v/>
      </c>
      <c r="G14" s="124" t="str">
        <f t="array" ref="G14">IFERROR(IF(LARGE($AN$1:$AN$19,4)&lt;=0,"",INDEX($AL$1:$AL$19,MATCH(LARGE($AN$1:$AN$19,4),$AN$1:$AN$19,0))),"")</f>
        <v/>
      </c>
      <c r="H14" s="125" t="str">
        <f t="array" ref="H14">IFERROR(IF(LARGE($AN$1:$AN$19,4)&lt;=0,"",INDEX($AM$1:$AM$19,MATCH(LARGE($AN$1:$AN$19,4),$AN$1:$AN$19,0))),"")</f>
        <v/>
      </c>
      <c r="I14" s="122">
        <f t="shared" si="3"/>
        <v>0</v>
      </c>
      <c r="AK14" s="102" t="str">
        <f>IF(HILOS!A17="","",HILOS!A17)</f>
        <v/>
      </c>
      <c r="AL14" s="102">
        <f>IFERROR(SUMIFS(COMPRAS_HILO!$D$4:$D$203,COMPRAS_HILO!$C$4:$C$203,AK14),0)</f>
        <v>0</v>
      </c>
      <c r="AM14" s="102">
        <f>IFERROR(SUMIFS(COMPRAS_HILO!$H$4:$H$203,COMPRAS_HILO!$C$4:$C$203,AK14),0)</f>
        <v>0</v>
      </c>
      <c r="AN14" s="102">
        <f t="shared" si="1"/>
        <v>-0.000014</v>
      </c>
      <c r="AO14" s="102" t="str">
        <f>IF(COLORES!A17="","",COLORES!A17)</f>
        <v>Colegial</v>
      </c>
      <c r="AP14" s="102">
        <f>IFERROR(SUMIFS(PROGRAMA_DETALLE!$S$4:$S$503,PROGRAMA_DETALLE!$B$4:$B$503,AO14),0)</f>
        <v>0</v>
      </c>
      <c r="AQ14" s="102">
        <f t="shared" si="2"/>
        <v>-0.000014</v>
      </c>
    </row>
    <row r="15">
      <c r="A15" s="77" t="s">
        <v>336</v>
      </c>
      <c r="B15" s="121">
        <f>COUNTIF(PROGRAMAS!$I$4:$I$103,"EN PLANTA")</f>
        <v>0</v>
      </c>
      <c r="C15" s="122">
        <f>IFERROR(B15/SUMPRODUCT((PROGRAMAS!$A$4:$A$103&lt;&gt;"")*1),0)</f>
        <v>0</v>
      </c>
      <c r="E15" s="123">
        <v>5.0</v>
      </c>
      <c r="F15" s="77" t="str">
        <f t="array" ref="F15">IFERROR(IF(LARGE($AN$1:$AN$19,5)&lt;=0,"",INDEX($AK$1:$AK$19,MATCH(LARGE($AN$1:$AN$19,5),$AN$1:$AN$19,0))),"")</f>
        <v/>
      </c>
      <c r="G15" s="124" t="str">
        <f t="array" ref="G15">IFERROR(IF(LARGE($AN$1:$AN$19,5)&lt;=0,"",INDEX($AL$1:$AL$19,MATCH(LARGE($AN$1:$AN$19,5),$AN$1:$AN$19,0))),"")</f>
        <v/>
      </c>
      <c r="H15" s="125" t="str">
        <f t="array" ref="H15">IFERROR(IF(LARGE($AN$1:$AN$19,5)&lt;=0,"",INDEX($AM$1:$AM$19,MATCH(LARGE($AN$1:$AN$19,5),$AN$1:$AN$19,0))),"")</f>
        <v/>
      </c>
      <c r="I15" s="122">
        <f t="shared" si="3"/>
        <v>0</v>
      </c>
      <c r="AK15" s="102" t="str">
        <f>IF(HILOS!A18="","",HILOS!A18)</f>
        <v/>
      </c>
      <c r="AL15" s="102">
        <f>IFERROR(SUMIFS(COMPRAS_HILO!$D$4:$D$203,COMPRAS_HILO!$C$4:$C$203,AK15),0)</f>
        <v>0</v>
      </c>
      <c r="AM15" s="102">
        <f>IFERROR(SUMIFS(COMPRAS_HILO!$H$4:$H$203,COMPRAS_HILO!$C$4:$C$203,AK15),0)</f>
        <v>0</v>
      </c>
      <c r="AN15" s="102">
        <f t="shared" si="1"/>
        <v>-0.000015</v>
      </c>
      <c r="AO15" s="102" t="str">
        <f>IF(COLORES!A18="","",COLORES!A18)</f>
        <v>Marrón</v>
      </c>
      <c r="AP15" s="102">
        <f>IFERROR(SUMIFS(PROGRAMA_DETALLE!$S$4:$S$503,PROGRAMA_DETALLE!$B$4:$B$503,AO15),0)</f>
        <v>0</v>
      </c>
      <c r="AQ15" s="102">
        <f t="shared" si="2"/>
        <v>-0.000015</v>
      </c>
    </row>
    <row r="16">
      <c r="A16" s="77" t="s">
        <v>40</v>
      </c>
      <c r="B16" s="121">
        <f>COUNTIF(PROGRAMAS!$I$4:$I$103,"CERRADO")</f>
        <v>1</v>
      </c>
      <c r="C16" s="122">
        <f>IFERROR(B16/SUMPRODUCT((PROGRAMAS!$A$4:$A$103&lt;&gt;"")*1),0)</f>
        <v>0.2</v>
      </c>
      <c r="E16" s="123">
        <v>6.0</v>
      </c>
      <c r="F16" s="77" t="str">
        <f t="array" ref="F16">IFERROR(IF(LARGE($AN$1:$AN$19,6)&lt;=0,"",INDEX($AK$1:$AK$19,MATCH(LARGE($AN$1:$AN$19,6),$AN$1:$AN$19,0))),"")</f>
        <v/>
      </c>
      <c r="G16" s="124" t="str">
        <f t="array" ref="G16">IFERROR(IF(LARGE($AN$1:$AN$19,6)&lt;=0,"",INDEX($AL$1:$AL$19,MATCH(LARGE($AN$1:$AN$19,6),$AN$1:$AN$19,0))),"")</f>
        <v/>
      </c>
      <c r="H16" s="125" t="str">
        <f t="array" ref="H16">IFERROR(IF(LARGE($AN$1:$AN$19,6)&lt;=0,"",INDEX($AM$1:$AM$19,MATCH(LARGE($AN$1:$AN$19,6),$AN$1:$AN$19,0))),"")</f>
        <v/>
      </c>
      <c r="I16" s="122">
        <f t="shared" si="3"/>
        <v>0</v>
      </c>
      <c r="AK16" s="102" t="str">
        <f>IF(HILOS!A19="","",HILOS!A19)</f>
        <v/>
      </c>
      <c r="AL16" s="102">
        <f>IFERROR(SUMIFS(COMPRAS_HILO!$D$4:$D$203,COMPRAS_HILO!$C$4:$C$203,AK16),0)</f>
        <v>0</v>
      </c>
      <c r="AM16" s="102">
        <f>IFERROR(SUMIFS(COMPRAS_HILO!$H$4:$H$203,COMPRAS_HILO!$C$4:$C$203,AK16),0)</f>
        <v>0</v>
      </c>
      <c r="AN16" s="102">
        <f t="shared" si="1"/>
        <v>-0.000016</v>
      </c>
      <c r="AO16" s="102" t="str">
        <f>IF(COLORES!A19="","",COLORES!A19)</f>
        <v>Acero</v>
      </c>
      <c r="AP16" s="102">
        <f>IFERROR(SUMIFS(PROGRAMA_DETALLE!$S$4:$S$503,PROGRAMA_DETALLE!$B$4:$B$503,AO16),0)</f>
        <v>0</v>
      </c>
      <c r="AQ16" s="102">
        <f t="shared" si="2"/>
        <v>-0.000016</v>
      </c>
    </row>
    <row r="17">
      <c r="A17" s="126" t="s">
        <v>337</v>
      </c>
      <c r="B17" s="127">
        <f>SUM(B11:B16)</f>
        <v>5</v>
      </c>
      <c r="C17" s="128"/>
      <c r="AK17" s="102" t="str">
        <f>IF(HILOS!A20="","",HILOS!A20)</f>
        <v/>
      </c>
      <c r="AL17" s="102">
        <f>IFERROR(SUMIFS(COMPRAS_HILO!$D$4:$D$203,COMPRAS_HILO!$C$4:$C$203,AK17),0)</f>
        <v>0</v>
      </c>
      <c r="AM17" s="102">
        <f>IFERROR(SUMIFS(COMPRAS_HILO!$H$4:$H$203,COMPRAS_HILO!$C$4:$C$203,AK17),0)</f>
        <v>0</v>
      </c>
      <c r="AN17" s="102">
        <f t="shared" si="1"/>
        <v>-0.000017</v>
      </c>
      <c r="AO17" s="102" t="str">
        <f>IF(COLORES!A20="","",COLORES!A20)</f>
        <v>Azul</v>
      </c>
      <c r="AP17" s="102">
        <f>IFERROR(SUMIFS(PROGRAMA_DETALLE!$S$4:$S$503,PROGRAMA_DETALLE!$B$4:$B$503,AO17),0)</f>
        <v>0</v>
      </c>
      <c r="AQ17" s="102">
        <f t="shared" si="2"/>
        <v>-0.000017</v>
      </c>
    </row>
    <row r="18">
      <c r="AK18" s="102" t="str">
        <f>IF(HILOS!A21="","",HILOS!A21)</f>
        <v/>
      </c>
      <c r="AL18" s="102">
        <f>IFERROR(SUMIFS(COMPRAS_HILO!$D$4:$D$203,COMPRAS_HILO!$C$4:$C$203,AK18),0)</f>
        <v>0</v>
      </c>
      <c r="AM18" s="102">
        <f>IFERROR(SUMIFS(COMPRAS_HILO!$H$4:$H$203,COMPRAS_HILO!$C$4:$C$203,AK18),0)</f>
        <v>0</v>
      </c>
      <c r="AN18" s="102">
        <f t="shared" si="1"/>
        <v>-0.000018</v>
      </c>
      <c r="AO18" s="102" t="str">
        <f>IF(COLORES!A21="","",COLORES!A21)</f>
        <v>Melange</v>
      </c>
      <c r="AP18" s="102">
        <f>IFERROR(SUMIFS(PROGRAMA_DETALLE!$S$4:$S$503,PROGRAMA_DETALLE!$B$4:$B$503,AO18),0)</f>
        <v>170</v>
      </c>
      <c r="AQ18" s="102">
        <f t="shared" si="2"/>
        <v>169.999982</v>
      </c>
    </row>
    <row r="19" ht="21.75" customHeight="1">
      <c r="A19" s="129" t="s">
        <v>338</v>
      </c>
      <c r="B19" s="2"/>
      <c r="C19" s="3"/>
      <c r="E19" s="130" t="s">
        <v>339</v>
      </c>
      <c r="F19" s="2"/>
      <c r="G19" s="2"/>
      <c r="H19" s="2"/>
      <c r="I19" s="3"/>
      <c r="AK19" s="102" t="str">
        <f>IF(HILOS!A22="","",HILOS!A22)</f>
        <v/>
      </c>
      <c r="AL19" s="102">
        <f>IFERROR(SUMIFS(COMPRAS_HILO!$D$4:$D$203,COMPRAS_HILO!$C$4:$C$203,AK19),0)</f>
        <v>0</v>
      </c>
      <c r="AM19" s="102">
        <f>IFERROR(SUMIFS(COMPRAS_HILO!$H$4:$H$203,COMPRAS_HILO!$C$4:$C$203,AK19),0)</f>
        <v>0</v>
      </c>
      <c r="AN19" s="102">
        <f t="shared" si="1"/>
        <v>-0.000019</v>
      </c>
      <c r="AO19" s="102" t="str">
        <f>IF(COLORES!A22="","",COLORES!A22)</f>
        <v>Hoja</v>
      </c>
      <c r="AP19" s="102">
        <f>IFERROR(SUMIFS(PROGRAMA_DETALLE!$S$4:$S$503,PROGRAMA_DETALLE!$B$4:$B$503,AO19),0)</f>
        <v>0</v>
      </c>
      <c r="AQ19" s="102">
        <f t="shared" si="2"/>
        <v>-0.000019</v>
      </c>
    </row>
    <row r="20" ht="21.75" customHeight="1">
      <c r="A20" s="131" t="s">
        <v>331</v>
      </c>
      <c r="B20" s="131" t="s">
        <v>83</v>
      </c>
      <c r="C20" s="131" t="s">
        <v>340</v>
      </c>
      <c r="E20" s="132" t="s">
        <v>269</v>
      </c>
      <c r="F20" s="132" t="s">
        <v>341</v>
      </c>
      <c r="G20" s="132" t="s">
        <v>79</v>
      </c>
      <c r="H20" s="132" t="s">
        <v>342</v>
      </c>
      <c r="I20" s="132" t="s">
        <v>343</v>
      </c>
      <c r="AO20" s="102" t="str">
        <f>IF(COLORES!A23="","",COLORES!A23)</f>
        <v>Rosa</v>
      </c>
      <c r="AP20" s="102">
        <f>IFERROR(SUMIFS(PROGRAMA_DETALLE!$S$4:$S$503,PROGRAMA_DETALLE!$B$4:$B$503,AO20),0)</f>
        <v>0</v>
      </c>
      <c r="AQ20" s="102">
        <f t="shared" si="2"/>
        <v>-0.00002</v>
      </c>
    </row>
    <row r="21" ht="15.75" customHeight="1">
      <c r="A21" s="123">
        <v>1.0</v>
      </c>
      <c r="B21" s="77" t="str">
        <f t="array" ref="B21">IFERROR(IF(LARGE($AQ$1:$AQ$20,1)&lt;=0,"",INDEX($AO$1:$AO$20,MATCH(LARGE($AQ$1:$AQ$20,1),$AQ$1:$AQ$20,0))),"")</f>
        <v>Negro</v>
      </c>
      <c r="C21" s="81">
        <f t="array" ref="C21">IFERROR(IF(LARGE($AQ$1:$AQ$20,1)&lt;=0,"",INDEX($AP$1:$AP$20,MATCH(LARGE($AQ$1:$AQ$20,1),$AQ$1:$AQ$20,0))),"")</f>
        <v>380</v>
      </c>
      <c r="E21" s="92" t="s">
        <v>221</v>
      </c>
      <c r="F21" s="133">
        <f>SUM(CUENTAS_POR_PAGAR!F4:F203)</f>
        <v>60283</v>
      </c>
      <c r="G21" s="134">
        <f>SUM(CUENTAS_POR_PAGAR!G4:G203)</f>
        <v>20025</v>
      </c>
      <c r="H21" s="135">
        <f>SUMIF(CUENTAS_POR_PAGAR!I4:I203,"PENDIENTE",CUENTAS_POR_PAGAR!H4:H203)+SUMIF(CUENTAS_POR_PAGAR!I4:I203,"PARCIAL",CUENTAS_POR_PAGAR!H4:H203)</f>
        <v>0</v>
      </c>
      <c r="I21" s="122">
        <f t="shared" ref="I21:I25" si="4">IFERROR(G21/F21,0)</f>
        <v>0.3321832026</v>
      </c>
    </row>
    <row r="22" ht="15.75" customHeight="1">
      <c r="A22" s="123">
        <v>2.0</v>
      </c>
      <c r="B22" s="77" t="str">
        <f t="array" ref="B22">IFERROR(IF(LARGE($AQ$1:$AQ$20,2)&lt;=0,"",INDEX($AO$1:$AO$20,MATCH(LARGE($AQ$1:$AQ$20,2),$AQ$1:$AQ$20,0))),"")</f>
        <v>Perla</v>
      </c>
      <c r="C22" s="81">
        <f t="array" ref="C22">IFERROR(IF(LARGE($AQ$1:$AQ$20,2)&lt;=0,"",INDEX($AP$1:$AP$20,MATCH(LARGE($AQ$1:$AQ$20,2),$AQ$1:$AQ$20,0))),"")</f>
        <v>170</v>
      </c>
      <c r="E22" s="87" t="s">
        <v>229</v>
      </c>
      <c r="F22" s="133">
        <f>SUM(CUENTAS_POR_PAGAR!F204:F703)</f>
        <v>1775</v>
      </c>
      <c r="G22" s="134">
        <f>SUM(CUENTAS_POR_PAGAR!G204:G703)</f>
        <v>1775</v>
      </c>
      <c r="H22" s="135">
        <f>SUMIF(CUENTAS_POR_PAGAR!I204:I703,"PENDIENTE",CUENTAS_POR_PAGAR!H204:H703)+SUMIF(CUENTAS_POR_PAGAR!I204:I703,"PARCIAL",CUENTAS_POR_PAGAR!H204:H703)</f>
        <v>0</v>
      </c>
      <c r="I22" s="122">
        <f t="shared" si="4"/>
        <v>1</v>
      </c>
    </row>
    <row r="23" ht="15.75" customHeight="1">
      <c r="A23" s="123">
        <v>3.0</v>
      </c>
      <c r="B23" s="77" t="str">
        <f t="array" ref="B23">IFERROR(IF(LARGE($AQ$1:$AQ$20,3)&lt;=0,"",INDEX($AO$1:$AO$20,MATCH(LARGE($AQ$1:$AQ$20,3),$AQ$1:$AQ$20,0))),"")</f>
        <v>Beige</v>
      </c>
      <c r="C23" s="81">
        <f t="array" ref="C23">IFERROR(IF(LARGE($AQ$1:$AQ$20,3)&lt;=0,"",INDEX($AP$1:$AP$20,MATCH(LARGE($AQ$1:$AQ$20,3),$AQ$1:$AQ$20,0))),"")</f>
        <v>170</v>
      </c>
      <c r="E23" s="96" t="s">
        <v>236</v>
      </c>
      <c r="F23" s="133">
        <f>SUM(CUENTAS_POR_PAGAR!F704:F1203)</f>
        <v>6629.175</v>
      </c>
      <c r="G23" s="134">
        <f>SUM(CUENTAS_POR_PAGAR!G704:G1203)</f>
        <v>6629.175</v>
      </c>
      <c r="H23" s="135">
        <f>SUMIF(CUENTAS_POR_PAGAR!I704:I1203,"PENDIENTE",CUENTAS_POR_PAGAR!H704:H1203)+SUMIF(CUENTAS_POR_PAGAR!I704:I1203,"PARCIAL",CUENTAS_POR_PAGAR!H704:H1203)</f>
        <v>0</v>
      </c>
      <c r="I23" s="122">
        <f t="shared" si="4"/>
        <v>1</v>
      </c>
    </row>
    <row r="24" ht="15.75" customHeight="1">
      <c r="A24" s="123">
        <v>4.0</v>
      </c>
      <c r="B24" s="77" t="str">
        <f t="array" ref="B24">IFERROR(IF(LARGE($AQ$1:$AQ$20,4)&lt;=0,"",INDEX($AO$1:$AO$20,MATCH(LARGE($AQ$1:$AQ$20,4),$AQ$1:$AQ$20,0))),"")</f>
        <v>Melange</v>
      </c>
      <c r="C24" s="81">
        <f t="array" ref="C24">IFERROR(IF(LARGE($AQ$1:$AQ$20,4)&lt;=0,"",INDEX($AP$1:$AP$20,MATCH(LARGE($AQ$1:$AQ$20,4),$AQ$1:$AQ$20,0))),"")</f>
        <v>170</v>
      </c>
      <c r="E24" s="83" t="s">
        <v>344</v>
      </c>
      <c r="F24" s="133">
        <f>SUM(PROGRAMAS!$AB$4:$AB$103)</f>
        <v>267</v>
      </c>
      <c r="G24" s="134">
        <f>SUMIFS(PROGRAMAS!$AB$4:$AB$103,PROGRAMAS!$AC$4:$AC$103,"PAGADO")</f>
        <v>0</v>
      </c>
      <c r="H24" s="135">
        <f>SUMIFS(PROGRAMAS!$AB$4:$AB$103,PROGRAMAS!$AC$4:$AC$103,"PENDIENTE")+SUMIFS(PROGRAMAS!$AB$4:$AB$103,PROGRAMAS!$AC$4:$AC$103,"PARCIAL")</f>
        <v>267</v>
      </c>
      <c r="I24" s="122">
        <f t="shared" si="4"/>
        <v>0</v>
      </c>
    </row>
    <row r="25" ht="15.75" customHeight="1">
      <c r="A25" s="123">
        <v>5.0</v>
      </c>
      <c r="B25" s="77" t="str">
        <f t="array" ref="B25">IFERROR(IF(LARGE($AQ$1:$AQ$20,5)&lt;=0,"",INDEX($AO$1:$AO$20,MATCH(LARGE($AQ$1:$AQ$20,5),$AQ$1:$AQ$20,0))),"")</f>
        <v/>
      </c>
      <c r="C25" s="81" t="str">
        <f t="array" ref="C25">IFERROR(IF(LARGE($AQ$1:$AQ$20,5)&lt;=0,"",INDEX($AP$1:$AP$20,MATCH(LARGE($AQ$1:$AQ$20,5),$AQ$1:$AQ$20,0))),"")</f>
        <v/>
      </c>
      <c r="E25" s="136" t="s">
        <v>337</v>
      </c>
      <c r="F25" s="137">
        <f t="shared" ref="F25:H25" si="5">SUM(F21:F24)</f>
        <v>68954.175</v>
      </c>
      <c r="G25" s="137">
        <f t="shared" si="5"/>
        <v>28429.175</v>
      </c>
      <c r="H25" s="137">
        <f t="shared" si="5"/>
        <v>267</v>
      </c>
      <c r="I25" s="138">
        <f t="shared" si="4"/>
        <v>0.4122908439</v>
      </c>
    </row>
    <row r="26" ht="15.75" customHeight="1">
      <c r="A26" s="123">
        <v>6.0</v>
      </c>
      <c r="B26" s="77" t="str">
        <f t="array" ref="B26">IFERROR(IF(LARGE($AQ$1:$AQ$20,6)&lt;=0,"",INDEX($AO$1:$AO$20,MATCH(LARGE($AQ$1:$AQ$20,6),$AQ$1:$AQ$20,0))),"")</f>
        <v/>
      </c>
      <c r="C26" s="81" t="str">
        <f t="array" ref="C26">IFERROR(IF(LARGE($AQ$1:$AQ$20,6)&lt;=0,"",INDEX($AP$1:$AP$20,MATCH(LARGE($AQ$1:$AQ$20,6),$AQ$1:$AQ$20,0))),"")</f>
        <v/>
      </c>
    </row>
    <row r="27" ht="15.75" customHeight="1">
      <c r="A27" s="123">
        <v>7.0</v>
      </c>
      <c r="B27" s="77" t="str">
        <f t="array" ref="B27">IFERROR(IF(LARGE($AQ$1:$AQ$20,7)&lt;=0,"",INDEX($AO$1:$AO$20,MATCH(LARGE($AQ$1:$AQ$20,7),$AQ$1:$AQ$20,0))),"")</f>
        <v/>
      </c>
      <c r="C27" s="81" t="str">
        <f t="array" ref="C27">IFERROR(IF(LARGE($AQ$1:$AQ$20,7)&lt;=0,"",INDEX($AP$1:$AP$20,MATCH(LARGE($AQ$1:$AQ$20,7),$AQ$1:$AQ$20,0))),"")</f>
        <v/>
      </c>
    </row>
    <row r="28" ht="15.75" customHeight="1">
      <c r="A28" s="123">
        <v>8.0</v>
      </c>
      <c r="B28" s="77" t="str">
        <f t="array" ref="B28">IFERROR(IF(LARGE($AQ$1:$AQ$20,8)&lt;=0,"",INDEX($AO$1:$AO$20,MATCH(LARGE($AQ$1:$AQ$20,8),$AQ$1:$AQ$20,0))),"")</f>
        <v/>
      </c>
      <c r="C28" s="81" t="str">
        <f t="array" ref="C28">IFERROR(IF(LARGE($AQ$1:$AQ$20,8)&lt;=0,"",INDEX($AP$1:$AP$20,MATCH(LARGE($AQ$1:$AQ$20,8),$AQ$1:$AQ$20,0))),"")</f>
        <v/>
      </c>
    </row>
    <row r="29" ht="15.75" customHeight="1"/>
    <row r="30" ht="15.75" customHeight="1"/>
    <row r="31" ht="21.75" customHeight="1">
      <c r="A31" s="118" t="s">
        <v>345</v>
      </c>
      <c r="B31" s="2"/>
      <c r="C31" s="2"/>
      <c r="D31" s="2"/>
      <c r="E31" s="2"/>
      <c r="F31" s="2"/>
      <c r="G31" s="2"/>
      <c r="H31" s="2"/>
      <c r="I31" s="2"/>
      <c r="J31" s="2"/>
      <c r="K31" s="3"/>
    </row>
    <row r="32" ht="27.75" customHeight="1">
      <c r="A32" s="119" t="s">
        <v>62</v>
      </c>
      <c r="B32" s="119" t="s">
        <v>346</v>
      </c>
      <c r="C32" s="119" t="s">
        <v>31</v>
      </c>
      <c r="D32" s="119" t="s">
        <v>347</v>
      </c>
      <c r="E32" s="119" t="s">
        <v>5</v>
      </c>
      <c r="F32" s="119" t="s">
        <v>348</v>
      </c>
      <c r="G32" s="119" t="s">
        <v>349</v>
      </c>
      <c r="H32" s="119" t="s">
        <v>350</v>
      </c>
      <c r="I32" s="119" t="s">
        <v>351</v>
      </c>
      <c r="J32" s="119" t="s">
        <v>352</v>
      </c>
      <c r="K32" s="119" t="s">
        <v>10</v>
      </c>
    </row>
    <row r="33" ht="15.75" customHeight="1">
      <c r="A33" s="77" t="str">
        <f>IF(PROGRAMAS!A4="","",PROGRAMAS!A4)</f>
        <v>PIQUE-001</v>
      </c>
      <c r="B33" s="93">
        <f>IF(PROGRAMAS!A4="","",PROGRAMAS!B4)</f>
        <v>46113</v>
      </c>
      <c r="C33" s="93">
        <f>IF(PROGRAMAS!A4="","",PROGRAMAS!AD4)</f>
        <v>46142</v>
      </c>
      <c r="D33" s="139">
        <f>IF(PROGRAMAS!A4="","",PROGRAMAS!AG4)</f>
        <v>29</v>
      </c>
      <c r="E33" s="84" t="str">
        <f>IF(PROGRAMAS!A4="","",PROGRAMAS!D4)</f>
        <v>Hilo 30/1 PC</v>
      </c>
      <c r="F33" s="121">
        <f>IF(PROGRAMAS!A4="","",PROGRAMAS!M4)</f>
        <v>1000</v>
      </c>
      <c r="G33" s="121">
        <f>IF(PROGRAMAS!A4="","",PROGRAMAS!W4)</f>
        <v>890</v>
      </c>
      <c r="H33" s="122">
        <f>IF(PROGRAMAS!A4="","",PROGRAMAS!AA4)</f>
        <v>0.105</v>
      </c>
      <c r="I33" s="140">
        <f>IF(PROGRAMAS!A4="","",PROGRAMAS!AE4)</f>
        <v>19171.175</v>
      </c>
      <c r="J33" s="141">
        <f>IF(PROGRAMAS!A4="","",PROGRAMAS!AF4)</f>
        <v>21.54064607</v>
      </c>
      <c r="K33" s="94" t="str">
        <f>IF(PROGRAMAS!A4="","",PROGRAMAS!I4)</f>
        <v>CERRADO</v>
      </c>
    </row>
    <row r="34" ht="15.75" customHeight="1">
      <c r="A34" s="77" t="str">
        <f>IF(PROGRAMAS!A5="","",PROGRAMAS!A5)</f>
        <v>FULL LYCRA 50/1-001</v>
      </c>
      <c r="B34" s="93">
        <f>IF(PROGRAMAS!A5="","",PROGRAMAS!B5)</f>
        <v>46152</v>
      </c>
      <c r="C34" s="93" t="str">
        <f>IF(PROGRAMAS!A5="","",PROGRAMAS!AD5)</f>
        <v/>
      </c>
      <c r="D34" s="139">
        <f>IF(PROGRAMAS!A5="","",PROGRAMAS!AG5)</f>
        <v>-46152</v>
      </c>
      <c r="E34" s="84" t="str">
        <f>IF(PROGRAMAS!A5="","",PROGRAMAS!D5)</f>
        <v>hilo 50/1 cotton +lycra 4%</v>
      </c>
      <c r="F34" s="121">
        <f>IF(PROGRAMAS!A5="","",PROGRAMAS!M5)</f>
        <v>500</v>
      </c>
      <c r="G34" s="121">
        <f>IF(PROGRAMAS!A5="","",PROGRAMAS!W5)</f>
        <v>0</v>
      </c>
      <c r="H34" s="122">
        <f>IF(PROGRAMAS!A5="","",PROGRAMAS!AA5)</f>
        <v>1</v>
      </c>
      <c r="I34" s="140">
        <f>IF(PROGRAMAS!A5="","",PROGRAMAS!AE5)</f>
        <v>9625</v>
      </c>
      <c r="J34" s="141">
        <f>IF(PROGRAMAS!A5="","",PROGRAMAS!AF5)</f>
        <v>0</v>
      </c>
      <c r="K34" s="94" t="str">
        <f>IF(PROGRAMAS!A5="","",PROGRAMAS!I5)</f>
        <v>EN TEJEDURÍA</v>
      </c>
    </row>
    <row r="35" ht="15.75" customHeight="1">
      <c r="A35" s="77" t="str">
        <f>IF(PROGRAMAS!A6="","",PROGRAMAS!A6)</f>
        <v>frecnh terry - 001</v>
      </c>
      <c r="B35" s="93">
        <f>IF(PROGRAMAS!A6="","",PROGRAMAS!B6)</f>
        <v>46152</v>
      </c>
      <c r="C35" s="93" t="str">
        <f>IF(PROGRAMAS!A6="","",PROGRAMAS!AD6)</f>
        <v/>
      </c>
      <c r="D35" s="139">
        <f>IF(PROGRAMAS!A6="","",PROGRAMAS!AG6)</f>
        <v>-46152</v>
      </c>
      <c r="E35" s="84" t="str">
        <f>IF(PROGRAMAS!A6="","",PROGRAMAS!D6)</f>
        <v>Hilo 30/1 PC</v>
      </c>
      <c r="F35" s="121">
        <f>IF(PROGRAMAS!A6="","",PROGRAMAS!M6)</f>
        <v>3000</v>
      </c>
      <c r="G35" s="121">
        <f>IF(PROGRAMAS!A6="","",PROGRAMAS!W6)</f>
        <v>0</v>
      </c>
      <c r="H35" s="122">
        <f>IF(PROGRAMAS!A6="","",PROGRAMAS!AA6)</f>
        <v>0</v>
      </c>
      <c r="I35" s="140">
        <f>IF(PROGRAMAS!A6="","",PROGRAMAS!AE6)</f>
        <v>31050</v>
      </c>
      <c r="J35" s="141">
        <f>IF(PROGRAMAS!A6="","",PROGRAMAS!AF6)</f>
        <v>0</v>
      </c>
      <c r="K35" s="94" t="str">
        <f>IF(PROGRAMAS!A6="","",PROGRAMAS!I6)</f>
        <v>EN TEJEDURÍA</v>
      </c>
    </row>
    <row r="36" ht="15.75" customHeight="1">
      <c r="A36" s="77" t="str">
        <f>IF(PROGRAMAS!A7="","",PROGRAMAS!A7)</f>
        <v>jersey algodon - 001</v>
      </c>
      <c r="B36" s="93">
        <f>IF(PROGRAMAS!A7="","",PROGRAMAS!B7)</f>
        <v>46313</v>
      </c>
      <c r="C36" s="93" t="str">
        <f>IF(PROGRAMAS!A7="","",PROGRAMAS!AD7)</f>
        <v/>
      </c>
      <c r="D36" s="139">
        <f>IF(PROGRAMAS!A7="","",PROGRAMAS!AG7)</f>
        <v>-46313</v>
      </c>
      <c r="E36" s="84" t="str">
        <f>IF(PROGRAMAS!A7="","",PROGRAMAS!D7)</f>
        <v>Hilo 30/1 ALGODON</v>
      </c>
      <c r="F36" s="121">
        <f>IF(PROGRAMAS!A7="","",PROGRAMAS!M7)</f>
        <v>660</v>
      </c>
      <c r="G36" s="121">
        <f>IF(PROGRAMAS!A7="","",PROGRAMAS!W7)</f>
        <v>0</v>
      </c>
      <c r="H36" s="122">
        <f>IF(PROGRAMAS!A7="","",PROGRAMAS!AA7)</f>
        <v>0</v>
      </c>
      <c r="I36" s="140">
        <f>IF(PROGRAMAS!A7="","",PROGRAMAS!AE7)</f>
        <v>9108</v>
      </c>
      <c r="J36" s="141">
        <f>IF(PROGRAMAS!A7="","",PROGRAMAS!AF7)</f>
        <v>0</v>
      </c>
      <c r="K36" s="94" t="str">
        <f>IF(PROGRAMAS!A7="","",PROGRAMAS!I7)</f>
        <v>EN TINTORERÍA</v>
      </c>
    </row>
    <row r="37" ht="15.75" customHeight="1">
      <c r="A37" s="77" t="str">
        <f>IF(PROGRAMAS!A8="","",PROGRAMAS!A8)</f>
        <v>rib 1x1- jersey algodon -001</v>
      </c>
      <c r="B37" s="93">
        <f>IF(PROGRAMAS!A8="","",PROGRAMAS!B8)</f>
        <v>46160</v>
      </c>
      <c r="C37" s="93" t="str">
        <f>IF(PROGRAMAS!A8="","",PROGRAMAS!AD8)</f>
        <v/>
      </c>
      <c r="D37" s="139">
        <f>IF(PROGRAMAS!A8="","",PROGRAMAS!AG8)</f>
        <v>-46160</v>
      </c>
      <c r="E37" s="84" t="str">
        <f>IF(PROGRAMAS!A8="","",PROGRAMAS!D8)</f>
        <v>Hilo 30/1 ALGODON</v>
      </c>
      <c r="F37" s="121">
        <f>IF(PROGRAMAS!A8="","",PROGRAMAS!M8)</f>
        <v>0</v>
      </c>
      <c r="G37" s="121">
        <f>IF(PROGRAMAS!A8="","",PROGRAMAS!W8)</f>
        <v>0</v>
      </c>
      <c r="H37" s="122">
        <f>IF(PROGRAMAS!A8="","",PROGRAMAS!AA8)</f>
        <v>0</v>
      </c>
      <c r="I37" s="140">
        <f>IF(PROGRAMAS!A8="","",PROGRAMAS!AE8)</f>
        <v>0</v>
      </c>
      <c r="J37" s="141">
        <f>IF(PROGRAMAS!A8="","",PROGRAMAS!AF8)</f>
        <v>0</v>
      </c>
      <c r="K37" s="94" t="str">
        <f>IF(PROGRAMAS!A8="","",PROGRAMAS!I8)</f>
        <v>EN TINTORERÍA</v>
      </c>
    </row>
    <row r="38" ht="15.75" customHeight="1">
      <c r="A38" s="77" t="str">
        <f>IF(PROGRAMAS!A9="","",PROGRAMAS!A9)</f>
        <v/>
      </c>
      <c r="B38" s="93" t="str">
        <f>IF(PROGRAMAS!A9="","",PROGRAMAS!B9)</f>
        <v/>
      </c>
      <c r="C38" s="93" t="str">
        <f>IF(PROGRAMAS!A9="","",PROGRAMAS!AD9)</f>
        <v/>
      </c>
      <c r="D38" s="139" t="str">
        <f>IF(PROGRAMAS!A9="","",PROGRAMAS!AG9)</f>
        <v/>
      </c>
      <c r="E38" s="84" t="str">
        <f>IF(PROGRAMAS!A9="","",PROGRAMAS!D9)</f>
        <v/>
      </c>
      <c r="F38" s="121" t="str">
        <f>IF(PROGRAMAS!A9="","",PROGRAMAS!M9)</f>
        <v/>
      </c>
      <c r="G38" s="121" t="str">
        <f>IF(PROGRAMAS!A9="","",PROGRAMAS!W9)</f>
        <v/>
      </c>
      <c r="H38" s="122" t="str">
        <f>IF(PROGRAMAS!A9="","",PROGRAMAS!AA9)</f>
        <v/>
      </c>
      <c r="I38" s="140" t="str">
        <f>IF(PROGRAMAS!A9="","",PROGRAMAS!AE9)</f>
        <v/>
      </c>
      <c r="J38" s="141" t="str">
        <f>IF(PROGRAMAS!A9="","",PROGRAMAS!AF9)</f>
        <v/>
      </c>
      <c r="K38" s="94" t="str">
        <f>IF(PROGRAMAS!A9="","",PROGRAMAS!I9)</f>
        <v/>
      </c>
    </row>
    <row r="39" ht="15.75" customHeight="1">
      <c r="A39" s="77" t="str">
        <f>IF(PROGRAMAS!A10="","",PROGRAMAS!A10)</f>
        <v/>
      </c>
      <c r="B39" s="93" t="str">
        <f>IF(PROGRAMAS!A10="","",PROGRAMAS!B10)</f>
        <v/>
      </c>
      <c r="C39" s="93" t="str">
        <f>IF(PROGRAMAS!A10="","",PROGRAMAS!AD10)</f>
        <v/>
      </c>
      <c r="D39" s="139" t="str">
        <f>IF(PROGRAMAS!A10="","",PROGRAMAS!AG10)</f>
        <v/>
      </c>
      <c r="E39" s="84" t="str">
        <f>IF(PROGRAMAS!A10="","",PROGRAMAS!D10)</f>
        <v/>
      </c>
      <c r="F39" s="121" t="str">
        <f>IF(PROGRAMAS!A10="","",PROGRAMAS!M10)</f>
        <v/>
      </c>
      <c r="G39" s="121" t="str">
        <f>IF(PROGRAMAS!A10="","",PROGRAMAS!W10)</f>
        <v/>
      </c>
      <c r="H39" s="122" t="str">
        <f>IF(PROGRAMAS!A10="","",PROGRAMAS!AA10)</f>
        <v/>
      </c>
      <c r="I39" s="140" t="str">
        <f>IF(PROGRAMAS!A10="","",PROGRAMAS!AE10)</f>
        <v/>
      </c>
      <c r="J39" s="141" t="str">
        <f>IF(PROGRAMAS!A10="","",PROGRAMAS!AF10)</f>
        <v/>
      </c>
      <c r="K39" s="94" t="str">
        <f>IF(PROGRAMAS!A10="","",PROGRAMAS!I10)</f>
        <v/>
      </c>
    </row>
    <row r="40" ht="15.75" customHeight="1">
      <c r="A40" s="77" t="str">
        <f>IF(PROGRAMAS!A11="","",PROGRAMAS!A11)</f>
        <v/>
      </c>
      <c r="B40" s="93" t="str">
        <f>IF(PROGRAMAS!A11="","",PROGRAMAS!B11)</f>
        <v/>
      </c>
      <c r="C40" s="93" t="str">
        <f>IF(PROGRAMAS!A11="","",PROGRAMAS!AD11)</f>
        <v/>
      </c>
      <c r="D40" s="139" t="str">
        <f>IF(PROGRAMAS!A11="","",PROGRAMAS!AG11)</f>
        <v/>
      </c>
      <c r="E40" s="84" t="str">
        <f>IF(PROGRAMAS!A11="","",PROGRAMAS!D11)</f>
        <v/>
      </c>
      <c r="F40" s="121" t="str">
        <f>IF(PROGRAMAS!A11="","",PROGRAMAS!M11)</f>
        <v/>
      </c>
      <c r="G40" s="121" t="str">
        <f>IF(PROGRAMAS!A11="","",PROGRAMAS!W11)</f>
        <v/>
      </c>
      <c r="H40" s="122" t="str">
        <f>IF(PROGRAMAS!A11="","",PROGRAMAS!AA11)</f>
        <v/>
      </c>
      <c r="I40" s="140" t="str">
        <f>IF(PROGRAMAS!A11="","",PROGRAMAS!AE11)</f>
        <v/>
      </c>
      <c r="J40" s="141" t="str">
        <f>IF(PROGRAMAS!A11="","",PROGRAMAS!AF11)</f>
        <v/>
      </c>
      <c r="K40" s="94" t="str">
        <f>IF(PROGRAMAS!A11="","",PROGRAMAS!I11)</f>
        <v/>
      </c>
    </row>
    <row r="41" ht="15.75" customHeight="1">
      <c r="A41" s="77" t="str">
        <f>IF(PROGRAMAS!A12="","",PROGRAMAS!A12)</f>
        <v/>
      </c>
      <c r="B41" s="93" t="str">
        <f>IF(PROGRAMAS!A12="","",PROGRAMAS!B12)</f>
        <v/>
      </c>
      <c r="C41" s="93" t="str">
        <f>IF(PROGRAMAS!A12="","",PROGRAMAS!AD12)</f>
        <v/>
      </c>
      <c r="D41" s="139" t="str">
        <f>IF(PROGRAMAS!A12="","",PROGRAMAS!AG12)</f>
        <v/>
      </c>
      <c r="E41" s="84" t="str">
        <f>IF(PROGRAMAS!A12="","",PROGRAMAS!D12)</f>
        <v/>
      </c>
      <c r="F41" s="121" t="str">
        <f>IF(PROGRAMAS!A12="","",PROGRAMAS!M12)</f>
        <v/>
      </c>
      <c r="G41" s="121" t="str">
        <f>IF(PROGRAMAS!A12="","",PROGRAMAS!W12)</f>
        <v/>
      </c>
      <c r="H41" s="122" t="str">
        <f>IF(PROGRAMAS!A12="","",PROGRAMAS!AA12)</f>
        <v/>
      </c>
      <c r="I41" s="140" t="str">
        <f>IF(PROGRAMAS!A12="","",PROGRAMAS!AE12)</f>
        <v/>
      </c>
      <c r="J41" s="141" t="str">
        <f>IF(PROGRAMAS!A12="","",PROGRAMAS!AF12)</f>
        <v/>
      </c>
      <c r="K41" s="94" t="str">
        <f>IF(PROGRAMAS!A12="","",PROGRAMAS!I12)</f>
        <v/>
      </c>
    </row>
    <row r="42" ht="15.75" customHeight="1">
      <c r="A42" s="77" t="str">
        <f>IF(PROGRAMAS!A13="","",PROGRAMAS!A13)</f>
        <v/>
      </c>
      <c r="B42" s="93" t="str">
        <f>IF(PROGRAMAS!A13="","",PROGRAMAS!B13)</f>
        <v/>
      </c>
      <c r="C42" s="93" t="str">
        <f>IF(PROGRAMAS!A13="","",PROGRAMAS!AD13)</f>
        <v/>
      </c>
      <c r="D42" s="139" t="str">
        <f>IF(PROGRAMAS!A13="","",PROGRAMAS!AG13)</f>
        <v/>
      </c>
      <c r="E42" s="84" t="str">
        <f>IF(PROGRAMAS!A13="","",PROGRAMAS!D13)</f>
        <v/>
      </c>
      <c r="F42" s="121" t="str">
        <f>IF(PROGRAMAS!A13="","",PROGRAMAS!M13)</f>
        <v/>
      </c>
      <c r="G42" s="121" t="str">
        <f>IF(PROGRAMAS!A13="","",PROGRAMAS!W13)</f>
        <v/>
      </c>
      <c r="H42" s="122" t="str">
        <f>IF(PROGRAMAS!A13="","",PROGRAMAS!AA13)</f>
        <v/>
      </c>
      <c r="I42" s="140" t="str">
        <f>IF(PROGRAMAS!A13="","",PROGRAMAS!AE13)</f>
        <v/>
      </c>
      <c r="J42" s="141" t="str">
        <f>IF(PROGRAMAS!A13="","",PROGRAMAS!AF13)</f>
        <v/>
      </c>
      <c r="K42" s="94" t="str">
        <f>IF(PROGRAMAS!A13="","",PROGRAMAS!I13)</f>
        <v/>
      </c>
    </row>
    <row r="43" ht="15.75" customHeight="1">
      <c r="A43" s="77" t="str">
        <f>IF(PROGRAMAS!A14="","",PROGRAMAS!A14)</f>
        <v/>
      </c>
      <c r="B43" s="93" t="str">
        <f>IF(PROGRAMAS!A14="","",PROGRAMAS!B14)</f>
        <v/>
      </c>
      <c r="C43" s="93" t="str">
        <f>IF(PROGRAMAS!A14="","",PROGRAMAS!AD14)</f>
        <v/>
      </c>
      <c r="D43" s="139" t="str">
        <f>IF(PROGRAMAS!A14="","",PROGRAMAS!AG14)</f>
        <v/>
      </c>
      <c r="E43" s="84" t="str">
        <f>IF(PROGRAMAS!A14="","",PROGRAMAS!D14)</f>
        <v/>
      </c>
      <c r="F43" s="121" t="str">
        <f>IF(PROGRAMAS!A14="","",PROGRAMAS!M14)</f>
        <v/>
      </c>
      <c r="G43" s="121" t="str">
        <f>IF(PROGRAMAS!A14="","",PROGRAMAS!W14)</f>
        <v/>
      </c>
      <c r="H43" s="122" t="str">
        <f>IF(PROGRAMAS!A14="","",PROGRAMAS!AA14)</f>
        <v/>
      </c>
      <c r="I43" s="140" t="str">
        <f>IF(PROGRAMAS!A14="","",PROGRAMAS!AE14)</f>
        <v/>
      </c>
      <c r="J43" s="141" t="str">
        <f>IF(PROGRAMAS!A14="","",PROGRAMAS!AF14)</f>
        <v/>
      </c>
      <c r="K43" s="94" t="str">
        <f>IF(PROGRAMAS!A14="","",PROGRAMAS!I14)</f>
        <v/>
      </c>
    </row>
    <row r="44" ht="15.75" customHeight="1">
      <c r="A44" s="77" t="str">
        <f>IF(PROGRAMAS!A15="","",PROGRAMAS!A15)</f>
        <v/>
      </c>
      <c r="B44" s="93" t="str">
        <f>IF(PROGRAMAS!A15="","",PROGRAMAS!B15)</f>
        <v/>
      </c>
      <c r="C44" s="93" t="str">
        <f>IF(PROGRAMAS!A15="","",PROGRAMAS!AD15)</f>
        <v/>
      </c>
      <c r="D44" s="139" t="str">
        <f>IF(PROGRAMAS!A15="","",PROGRAMAS!AG15)</f>
        <v/>
      </c>
      <c r="E44" s="84" t="str">
        <f>IF(PROGRAMAS!A15="","",PROGRAMAS!D15)</f>
        <v/>
      </c>
      <c r="F44" s="121" t="str">
        <f>IF(PROGRAMAS!A15="","",PROGRAMAS!M15)</f>
        <v/>
      </c>
      <c r="G44" s="121" t="str">
        <f>IF(PROGRAMAS!A15="","",PROGRAMAS!W15)</f>
        <v/>
      </c>
      <c r="H44" s="122" t="str">
        <f>IF(PROGRAMAS!A15="","",PROGRAMAS!AA15)</f>
        <v/>
      </c>
      <c r="I44" s="140" t="str">
        <f>IF(PROGRAMAS!A15="","",PROGRAMAS!AE15)</f>
        <v/>
      </c>
      <c r="J44" s="141" t="str">
        <f>IF(PROGRAMAS!A15="","",PROGRAMAS!AF15)</f>
        <v/>
      </c>
      <c r="K44" s="94" t="str">
        <f>IF(PROGRAMAS!A15="","",PROGRAMAS!I15)</f>
        <v/>
      </c>
    </row>
    <row r="45" ht="15.75" customHeight="1">
      <c r="A45" s="77" t="str">
        <f>IF(PROGRAMAS!A16="","",PROGRAMAS!A16)</f>
        <v/>
      </c>
      <c r="B45" s="93" t="str">
        <f>IF(PROGRAMAS!A16="","",PROGRAMAS!B16)</f>
        <v/>
      </c>
      <c r="C45" s="93" t="str">
        <f>IF(PROGRAMAS!A16="","",PROGRAMAS!AD16)</f>
        <v/>
      </c>
      <c r="D45" s="139" t="str">
        <f>IF(PROGRAMAS!A16="","",PROGRAMAS!AG16)</f>
        <v/>
      </c>
      <c r="E45" s="84" t="str">
        <f>IF(PROGRAMAS!A16="","",PROGRAMAS!D16)</f>
        <v/>
      </c>
      <c r="F45" s="121" t="str">
        <f>IF(PROGRAMAS!A16="","",PROGRAMAS!M16)</f>
        <v/>
      </c>
      <c r="G45" s="121" t="str">
        <f>IF(PROGRAMAS!A16="","",PROGRAMAS!W16)</f>
        <v/>
      </c>
      <c r="H45" s="122" t="str">
        <f>IF(PROGRAMAS!A16="","",PROGRAMAS!AA16)</f>
        <v/>
      </c>
      <c r="I45" s="140" t="str">
        <f>IF(PROGRAMAS!A16="","",PROGRAMAS!AE16)</f>
        <v/>
      </c>
      <c r="J45" s="141" t="str">
        <f>IF(PROGRAMAS!A16="","",PROGRAMAS!AF16)</f>
        <v/>
      </c>
      <c r="K45" s="94" t="str">
        <f>IF(PROGRAMAS!A16="","",PROGRAMAS!I16)</f>
        <v/>
      </c>
    </row>
    <row r="46" ht="15.75" customHeight="1">
      <c r="A46" s="77" t="str">
        <f>IF(PROGRAMAS!A17="","",PROGRAMAS!A17)</f>
        <v/>
      </c>
      <c r="B46" s="93" t="str">
        <f>IF(PROGRAMAS!A17="","",PROGRAMAS!B17)</f>
        <v/>
      </c>
      <c r="C46" s="93" t="str">
        <f>IF(PROGRAMAS!A17="","",PROGRAMAS!AD17)</f>
        <v/>
      </c>
      <c r="D46" s="139" t="str">
        <f>IF(PROGRAMAS!A17="","",PROGRAMAS!AG17)</f>
        <v/>
      </c>
      <c r="E46" s="84" t="str">
        <f>IF(PROGRAMAS!A17="","",PROGRAMAS!D17)</f>
        <v/>
      </c>
      <c r="F46" s="121" t="str">
        <f>IF(PROGRAMAS!A17="","",PROGRAMAS!M17)</f>
        <v/>
      </c>
      <c r="G46" s="121" t="str">
        <f>IF(PROGRAMAS!A17="","",PROGRAMAS!W17)</f>
        <v/>
      </c>
      <c r="H46" s="122" t="str">
        <f>IF(PROGRAMAS!A17="","",PROGRAMAS!AA17)</f>
        <v/>
      </c>
      <c r="I46" s="140" t="str">
        <f>IF(PROGRAMAS!A17="","",PROGRAMAS!AE17)</f>
        <v/>
      </c>
      <c r="J46" s="141" t="str">
        <f>IF(PROGRAMAS!A17="","",PROGRAMAS!AF17)</f>
        <v/>
      </c>
      <c r="K46" s="94" t="str">
        <f>IF(PROGRAMAS!A17="","",PROGRAMAS!I17)</f>
        <v/>
      </c>
    </row>
    <row r="47" ht="15.75" customHeight="1">
      <c r="A47" s="77" t="str">
        <f>IF(PROGRAMAS!A18="","",PROGRAMAS!A18)</f>
        <v/>
      </c>
      <c r="B47" s="93" t="str">
        <f>IF(PROGRAMAS!A18="","",PROGRAMAS!B18)</f>
        <v/>
      </c>
      <c r="C47" s="93" t="str">
        <f>IF(PROGRAMAS!A18="","",PROGRAMAS!AD18)</f>
        <v/>
      </c>
      <c r="D47" s="139" t="str">
        <f>IF(PROGRAMAS!A18="","",PROGRAMAS!AG18)</f>
        <v/>
      </c>
      <c r="E47" s="84" t="str">
        <f>IF(PROGRAMAS!A18="","",PROGRAMAS!D18)</f>
        <v/>
      </c>
      <c r="F47" s="121" t="str">
        <f>IF(PROGRAMAS!A18="","",PROGRAMAS!M18)</f>
        <v/>
      </c>
      <c r="G47" s="121" t="str">
        <f>IF(PROGRAMAS!A18="","",PROGRAMAS!W18)</f>
        <v/>
      </c>
      <c r="H47" s="122" t="str">
        <f>IF(PROGRAMAS!A18="","",PROGRAMAS!AA18)</f>
        <v/>
      </c>
      <c r="I47" s="140" t="str">
        <f>IF(PROGRAMAS!A18="","",PROGRAMAS!AE18)</f>
        <v/>
      </c>
      <c r="J47" s="141" t="str">
        <f>IF(PROGRAMAS!A18="","",PROGRAMAS!AF18)</f>
        <v/>
      </c>
      <c r="K47" s="94" t="str">
        <f>IF(PROGRAMAS!A18="","",PROGRAMAS!I18)</f>
        <v/>
      </c>
    </row>
    <row r="48" ht="15.75" customHeight="1">
      <c r="A48" s="77" t="str">
        <f>IF(PROGRAMAS!A19="","",PROGRAMAS!A19)</f>
        <v/>
      </c>
      <c r="B48" s="93" t="str">
        <f>IF(PROGRAMAS!A19="","",PROGRAMAS!B19)</f>
        <v/>
      </c>
      <c r="C48" s="93" t="str">
        <f>IF(PROGRAMAS!A19="","",PROGRAMAS!AD19)</f>
        <v/>
      </c>
      <c r="D48" s="139" t="str">
        <f>IF(PROGRAMAS!A19="","",PROGRAMAS!AG19)</f>
        <v/>
      </c>
      <c r="E48" s="84" t="str">
        <f>IF(PROGRAMAS!A19="","",PROGRAMAS!D19)</f>
        <v/>
      </c>
      <c r="F48" s="121" t="str">
        <f>IF(PROGRAMAS!A19="","",PROGRAMAS!M19)</f>
        <v/>
      </c>
      <c r="G48" s="121" t="str">
        <f>IF(PROGRAMAS!A19="","",PROGRAMAS!W19)</f>
        <v/>
      </c>
      <c r="H48" s="122" t="str">
        <f>IF(PROGRAMAS!A19="","",PROGRAMAS!AA19)</f>
        <v/>
      </c>
      <c r="I48" s="140" t="str">
        <f>IF(PROGRAMAS!A19="","",PROGRAMAS!AE19)</f>
        <v/>
      </c>
      <c r="J48" s="141" t="str">
        <f>IF(PROGRAMAS!A19="","",PROGRAMAS!AF19)</f>
        <v/>
      </c>
      <c r="K48" s="94" t="str">
        <f>IF(PROGRAMAS!A19="","",PROGRAMAS!I19)</f>
        <v/>
      </c>
    </row>
    <row r="49" ht="15.75" customHeight="1">
      <c r="A49" s="77" t="str">
        <f>IF(PROGRAMAS!A20="","",PROGRAMAS!A20)</f>
        <v/>
      </c>
      <c r="B49" s="93" t="str">
        <f>IF(PROGRAMAS!A20="","",PROGRAMAS!B20)</f>
        <v/>
      </c>
      <c r="C49" s="93" t="str">
        <f>IF(PROGRAMAS!A20="","",PROGRAMAS!AD20)</f>
        <v/>
      </c>
      <c r="D49" s="139" t="str">
        <f>IF(PROGRAMAS!A20="","",PROGRAMAS!AG20)</f>
        <v/>
      </c>
      <c r="E49" s="84" t="str">
        <f>IF(PROGRAMAS!A20="","",PROGRAMAS!D20)</f>
        <v/>
      </c>
      <c r="F49" s="121" t="str">
        <f>IF(PROGRAMAS!A20="","",PROGRAMAS!M20)</f>
        <v/>
      </c>
      <c r="G49" s="121" t="str">
        <f>IF(PROGRAMAS!A20="","",PROGRAMAS!W20)</f>
        <v/>
      </c>
      <c r="H49" s="122" t="str">
        <f>IF(PROGRAMAS!A20="","",PROGRAMAS!AA20)</f>
        <v/>
      </c>
      <c r="I49" s="140" t="str">
        <f>IF(PROGRAMAS!A20="","",PROGRAMAS!AE20)</f>
        <v/>
      </c>
      <c r="J49" s="141" t="str">
        <f>IF(PROGRAMAS!A20="","",PROGRAMAS!AF20)</f>
        <v/>
      </c>
      <c r="K49" s="94" t="str">
        <f>IF(PROGRAMAS!A20="","",PROGRAMAS!I20)</f>
        <v/>
      </c>
    </row>
    <row r="50" ht="15.75" customHeight="1">
      <c r="A50" s="77" t="str">
        <f>IF(PROGRAMAS!A21="","",PROGRAMAS!A21)</f>
        <v/>
      </c>
      <c r="B50" s="93" t="str">
        <f>IF(PROGRAMAS!A21="","",PROGRAMAS!B21)</f>
        <v/>
      </c>
      <c r="C50" s="93" t="str">
        <f>IF(PROGRAMAS!A21="","",PROGRAMAS!AD21)</f>
        <v/>
      </c>
      <c r="D50" s="139" t="str">
        <f>IF(PROGRAMAS!A21="","",PROGRAMAS!AG21)</f>
        <v/>
      </c>
      <c r="E50" s="84" t="str">
        <f>IF(PROGRAMAS!A21="","",PROGRAMAS!D21)</f>
        <v/>
      </c>
      <c r="F50" s="121" t="str">
        <f>IF(PROGRAMAS!A21="","",PROGRAMAS!M21)</f>
        <v/>
      </c>
      <c r="G50" s="121" t="str">
        <f>IF(PROGRAMAS!A21="","",PROGRAMAS!W21)</f>
        <v/>
      </c>
      <c r="H50" s="122" t="str">
        <f>IF(PROGRAMAS!A21="","",PROGRAMAS!AA21)</f>
        <v/>
      </c>
      <c r="I50" s="140" t="str">
        <f>IF(PROGRAMAS!A21="","",PROGRAMAS!AE21)</f>
        <v/>
      </c>
      <c r="J50" s="141" t="str">
        <f>IF(PROGRAMAS!A21="","",PROGRAMAS!AF21)</f>
        <v/>
      </c>
      <c r="K50" s="94" t="str">
        <f>IF(PROGRAMAS!A21="","",PROGRAMAS!I21)</f>
        <v/>
      </c>
    </row>
    <row r="51" ht="15.75" customHeight="1">
      <c r="A51" s="77" t="str">
        <f>IF(PROGRAMAS!A22="","",PROGRAMAS!A22)</f>
        <v/>
      </c>
      <c r="B51" s="93" t="str">
        <f>IF(PROGRAMAS!A22="","",PROGRAMAS!B22)</f>
        <v/>
      </c>
      <c r="C51" s="93" t="str">
        <f>IF(PROGRAMAS!A22="","",PROGRAMAS!AD22)</f>
        <v/>
      </c>
      <c r="D51" s="139" t="str">
        <f>IF(PROGRAMAS!A22="","",PROGRAMAS!AG22)</f>
        <v/>
      </c>
      <c r="E51" s="84" t="str">
        <f>IF(PROGRAMAS!A22="","",PROGRAMAS!D22)</f>
        <v/>
      </c>
      <c r="F51" s="121" t="str">
        <f>IF(PROGRAMAS!A22="","",PROGRAMAS!M22)</f>
        <v/>
      </c>
      <c r="G51" s="121" t="str">
        <f>IF(PROGRAMAS!A22="","",PROGRAMAS!W22)</f>
        <v/>
      </c>
      <c r="H51" s="122" t="str">
        <f>IF(PROGRAMAS!A22="","",PROGRAMAS!AA22)</f>
        <v/>
      </c>
      <c r="I51" s="140" t="str">
        <f>IF(PROGRAMAS!A22="","",PROGRAMAS!AE22)</f>
        <v/>
      </c>
      <c r="J51" s="141" t="str">
        <f>IF(PROGRAMAS!A22="","",PROGRAMAS!AF22)</f>
        <v/>
      </c>
      <c r="K51" s="94" t="str">
        <f>IF(PROGRAMAS!A22="","",PROGRAMAS!I22)</f>
        <v/>
      </c>
    </row>
    <row r="52" ht="15.75" customHeight="1">
      <c r="A52" s="77" t="str">
        <f>IF(PROGRAMAS!A23="","",PROGRAMAS!A23)</f>
        <v/>
      </c>
      <c r="B52" s="93" t="str">
        <f>IF(PROGRAMAS!A23="","",PROGRAMAS!B23)</f>
        <v/>
      </c>
      <c r="C52" s="93" t="str">
        <f>IF(PROGRAMAS!A23="","",PROGRAMAS!AD23)</f>
        <v/>
      </c>
      <c r="D52" s="139" t="str">
        <f>IF(PROGRAMAS!A23="","",PROGRAMAS!AG23)</f>
        <v/>
      </c>
      <c r="E52" s="84" t="str">
        <f>IF(PROGRAMAS!A23="","",PROGRAMAS!D23)</f>
        <v/>
      </c>
      <c r="F52" s="121" t="str">
        <f>IF(PROGRAMAS!A23="","",PROGRAMAS!M23)</f>
        <v/>
      </c>
      <c r="G52" s="121" t="str">
        <f>IF(PROGRAMAS!A23="","",PROGRAMAS!W23)</f>
        <v/>
      </c>
      <c r="H52" s="122" t="str">
        <f>IF(PROGRAMAS!A23="","",PROGRAMAS!AA23)</f>
        <v/>
      </c>
      <c r="I52" s="140" t="str">
        <f>IF(PROGRAMAS!A23="","",PROGRAMAS!AE23)</f>
        <v/>
      </c>
      <c r="J52" s="141" t="str">
        <f>IF(PROGRAMAS!A23="","",PROGRAMAS!AF23)</f>
        <v/>
      </c>
      <c r="K52" s="94" t="str">
        <f>IF(PROGRAMAS!A23="","",PROGRAMAS!I23)</f>
        <v/>
      </c>
    </row>
    <row r="53" ht="15.75" customHeight="1">
      <c r="A53" s="77" t="str">
        <f>IF(PROGRAMAS!A24="","",PROGRAMAS!A24)</f>
        <v/>
      </c>
      <c r="B53" s="93" t="str">
        <f>IF(PROGRAMAS!A24="","",PROGRAMAS!B24)</f>
        <v/>
      </c>
      <c r="C53" s="93" t="str">
        <f>IF(PROGRAMAS!A24="","",PROGRAMAS!AD24)</f>
        <v/>
      </c>
      <c r="D53" s="139" t="str">
        <f>IF(PROGRAMAS!A24="","",PROGRAMAS!AG24)</f>
        <v/>
      </c>
      <c r="E53" s="84" t="str">
        <f>IF(PROGRAMAS!A24="","",PROGRAMAS!D24)</f>
        <v/>
      </c>
      <c r="F53" s="121" t="str">
        <f>IF(PROGRAMAS!A24="","",PROGRAMAS!M24)</f>
        <v/>
      </c>
      <c r="G53" s="121" t="str">
        <f>IF(PROGRAMAS!A24="","",PROGRAMAS!W24)</f>
        <v/>
      </c>
      <c r="H53" s="122" t="str">
        <f>IF(PROGRAMAS!A24="","",PROGRAMAS!AA24)</f>
        <v/>
      </c>
      <c r="I53" s="140" t="str">
        <f>IF(PROGRAMAS!A24="","",PROGRAMAS!AE24)</f>
        <v/>
      </c>
      <c r="J53" s="141" t="str">
        <f>IF(PROGRAMAS!A24="","",PROGRAMAS!AF24)</f>
        <v/>
      </c>
      <c r="K53" s="94" t="str">
        <f>IF(PROGRAMAS!A24="","",PROGRAMAS!I24)</f>
        <v/>
      </c>
    </row>
    <row r="54" ht="15.75" customHeight="1">
      <c r="A54" s="77" t="str">
        <f>IF(PROGRAMAS!A25="","",PROGRAMAS!A25)</f>
        <v/>
      </c>
      <c r="B54" s="93" t="str">
        <f>IF(PROGRAMAS!A25="","",PROGRAMAS!B25)</f>
        <v/>
      </c>
      <c r="C54" s="93" t="str">
        <f>IF(PROGRAMAS!A25="","",PROGRAMAS!AD25)</f>
        <v/>
      </c>
      <c r="D54" s="139" t="str">
        <f>IF(PROGRAMAS!A25="","",PROGRAMAS!AG25)</f>
        <v/>
      </c>
      <c r="E54" s="84" t="str">
        <f>IF(PROGRAMAS!A25="","",PROGRAMAS!D25)</f>
        <v/>
      </c>
      <c r="F54" s="121" t="str">
        <f>IF(PROGRAMAS!A25="","",PROGRAMAS!M25)</f>
        <v/>
      </c>
      <c r="G54" s="121" t="str">
        <f>IF(PROGRAMAS!A25="","",PROGRAMAS!W25)</f>
        <v/>
      </c>
      <c r="H54" s="122" t="str">
        <f>IF(PROGRAMAS!A25="","",PROGRAMAS!AA25)</f>
        <v/>
      </c>
      <c r="I54" s="140" t="str">
        <f>IF(PROGRAMAS!A25="","",PROGRAMAS!AE25)</f>
        <v/>
      </c>
      <c r="J54" s="141" t="str">
        <f>IF(PROGRAMAS!A25="","",PROGRAMAS!AF25)</f>
        <v/>
      </c>
      <c r="K54" s="94" t="str">
        <f>IF(PROGRAMAS!A25="","",PROGRAMAS!I25)</f>
        <v/>
      </c>
    </row>
    <row r="55" ht="15.75" customHeight="1">
      <c r="A55" s="77" t="str">
        <f>IF(PROGRAMAS!A26="","",PROGRAMAS!A26)</f>
        <v/>
      </c>
      <c r="B55" s="93" t="str">
        <f>IF(PROGRAMAS!A26="","",PROGRAMAS!B26)</f>
        <v/>
      </c>
      <c r="C55" s="93" t="str">
        <f>IF(PROGRAMAS!A26="","",PROGRAMAS!AD26)</f>
        <v/>
      </c>
      <c r="D55" s="139" t="str">
        <f>IF(PROGRAMAS!A26="","",PROGRAMAS!AG26)</f>
        <v/>
      </c>
      <c r="E55" s="84" t="str">
        <f>IF(PROGRAMAS!A26="","",PROGRAMAS!D26)</f>
        <v/>
      </c>
      <c r="F55" s="121" t="str">
        <f>IF(PROGRAMAS!A26="","",PROGRAMAS!M26)</f>
        <v/>
      </c>
      <c r="G55" s="121" t="str">
        <f>IF(PROGRAMAS!A26="","",PROGRAMAS!W26)</f>
        <v/>
      </c>
      <c r="H55" s="122" t="str">
        <f>IF(PROGRAMAS!A26="","",PROGRAMAS!AA26)</f>
        <v/>
      </c>
      <c r="I55" s="140" t="str">
        <f>IF(PROGRAMAS!A26="","",PROGRAMAS!AE26)</f>
        <v/>
      </c>
      <c r="J55" s="141" t="str">
        <f>IF(PROGRAMAS!A26="","",PROGRAMAS!AF26)</f>
        <v/>
      </c>
      <c r="K55" s="94" t="str">
        <f>IF(PROGRAMAS!A26="","",PROGRAMAS!I26)</f>
        <v/>
      </c>
    </row>
    <row r="56" ht="15.75" customHeight="1">
      <c r="A56" s="77" t="str">
        <f>IF(PROGRAMAS!A27="","",PROGRAMAS!A27)</f>
        <v/>
      </c>
      <c r="B56" s="93" t="str">
        <f>IF(PROGRAMAS!A27="","",PROGRAMAS!B27)</f>
        <v/>
      </c>
      <c r="C56" s="93" t="str">
        <f>IF(PROGRAMAS!A27="","",PROGRAMAS!AD27)</f>
        <v/>
      </c>
      <c r="D56" s="139" t="str">
        <f>IF(PROGRAMAS!A27="","",PROGRAMAS!AG27)</f>
        <v/>
      </c>
      <c r="E56" s="84" t="str">
        <f>IF(PROGRAMAS!A27="","",PROGRAMAS!D27)</f>
        <v/>
      </c>
      <c r="F56" s="121" t="str">
        <f>IF(PROGRAMAS!A27="","",PROGRAMAS!M27)</f>
        <v/>
      </c>
      <c r="G56" s="121" t="str">
        <f>IF(PROGRAMAS!A27="","",PROGRAMAS!W27)</f>
        <v/>
      </c>
      <c r="H56" s="122" t="str">
        <f>IF(PROGRAMAS!A27="","",PROGRAMAS!AA27)</f>
        <v/>
      </c>
      <c r="I56" s="140" t="str">
        <f>IF(PROGRAMAS!A27="","",PROGRAMAS!AE27)</f>
        <v/>
      </c>
      <c r="J56" s="141" t="str">
        <f>IF(PROGRAMAS!A27="","",PROGRAMAS!AF27)</f>
        <v/>
      </c>
      <c r="K56" s="94" t="str">
        <f>IF(PROGRAMAS!A27="","",PROGRAMAS!I27)</f>
        <v/>
      </c>
    </row>
    <row r="57" ht="15.75" customHeight="1">
      <c r="A57" s="77" t="str">
        <f>IF(PROGRAMAS!A28="","",PROGRAMAS!A28)</f>
        <v/>
      </c>
      <c r="B57" s="93" t="str">
        <f>IF(PROGRAMAS!A28="","",PROGRAMAS!B28)</f>
        <v/>
      </c>
      <c r="C57" s="93" t="str">
        <f>IF(PROGRAMAS!A28="","",PROGRAMAS!AD28)</f>
        <v/>
      </c>
      <c r="D57" s="139" t="str">
        <f>IF(PROGRAMAS!A28="","",PROGRAMAS!AG28)</f>
        <v/>
      </c>
      <c r="E57" s="84" t="str">
        <f>IF(PROGRAMAS!A28="","",PROGRAMAS!D28)</f>
        <v/>
      </c>
      <c r="F57" s="121" t="str">
        <f>IF(PROGRAMAS!A28="","",PROGRAMAS!M28)</f>
        <v/>
      </c>
      <c r="G57" s="121" t="str">
        <f>IF(PROGRAMAS!A28="","",PROGRAMAS!W28)</f>
        <v/>
      </c>
      <c r="H57" s="122" t="str">
        <f>IF(PROGRAMAS!A28="","",PROGRAMAS!AA28)</f>
        <v/>
      </c>
      <c r="I57" s="140" t="str">
        <f>IF(PROGRAMAS!A28="","",PROGRAMAS!AE28)</f>
        <v/>
      </c>
      <c r="J57" s="141" t="str">
        <f>IF(PROGRAMAS!A28="","",PROGRAMAS!AF28)</f>
        <v/>
      </c>
      <c r="K57" s="94" t="str">
        <f>IF(PROGRAMAS!A28="","",PROGRAMAS!I28)</f>
        <v/>
      </c>
    </row>
    <row r="58" ht="15.75" customHeight="1">
      <c r="A58" s="77" t="str">
        <f>IF(PROGRAMAS!A29="","",PROGRAMAS!A29)</f>
        <v/>
      </c>
      <c r="B58" s="93" t="str">
        <f>IF(PROGRAMAS!A29="","",PROGRAMAS!B29)</f>
        <v/>
      </c>
      <c r="C58" s="93" t="str">
        <f>IF(PROGRAMAS!A29="","",PROGRAMAS!AD29)</f>
        <v/>
      </c>
      <c r="D58" s="139" t="str">
        <f>IF(PROGRAMAS!A29="","",PROGRAMAS!AG29)</f>
        <v/>
      </c>
      <c r="E58" s="84" t="str">
        <f>IF(PROGRAMAS!A29="","",PROGRAMAS!D29)</f>
        <v/>
      </c>
      <c r="F58" s="121" t="str">
        <f>IF(PROGRAMAS!A29="","",PROGRAMAS!M29)</f>
        <v/>
      </c>
      <c r="G58" s="121" t="str">
        <f>IF(PROGRAMAS!A29="","",PROGRAMAS!W29)</f>
        <v/>
      </c>
      <c r="H58" s="122" t="str">
        <f>IF(PROGRAMAS!A29="","",PROGRAMAS!AA29)</f>
        <v/>
      </c>
      <c r="I58" s="140" t="str">
        <f>IF(PROGRAMAS!A29="","",PROGRAMAS!AE29)</f>
        <v/>
      </c>
      <c r="J58" s="141" t="str">
        <f>IF(PROGRAMAS!A29="","",PROGRAMAS!AF29)</f>
        <v/>
      </c>
      <c r="K58" s="94" t="str">
        <f>IF(PROGRAMAS!A29="","",PROGRAMAS!I29)</f>
        <v/>
      </c>
    </row>
    <row r="59" ht="15.75" customHeight="1">
      <c r="A59" s="77" t="str">
        <f>IF(PROGRAMAS!A30="","",PROGRAMAS!A30)</f>
        <v/>
      </c>
      <c r="B59" s="93" t="str">
        <f>IF(PROGRAMAS!A30="","",PROGRAMAS!B30)</f>
        <v/>
      </c>
      <c r="C59" s="93" t="str">
        <f>IF(PROGRAMAS!A30="","",PROGRAMAS!AD30)</f>
        <v/>
      </c>
      <c r="D59" s="139" t="str">
        <f>IF(PROGRAMAS!A30="","",PROGRAMAS!AG30)</f>
        <v/>
      </c>
      <c r="E59" s="84" t="str">
        <f>IF(PROGRAMAS!A30="","",PROGRAMAS!D30)</f>
        <v/>
      </c>
      <c r="F59" s="121" t="str">
        <f>IF(PROGRAMAS!A30="","",PROGRAMAS!M30)</f>
        <v/>
      </c>
      <c r="G59" s="121" t="str">
        <f>IF(PROGRAMAS!A30="","",PROGRAMAS!W30)</f>
        <v/>
      </c>
      <c r="H59" s="122" t="str">
        <f>IF(PROGRAMAS!A30="","",PROGRAMAS!AA30)</f>
        <v/>
      </c>
      <c r="I59" s="140" t="str">
        <f>IF(PROGRAMAS!A30="","",PROGRAMAS!AE30)</f>
        <v/>
      </c>
      <c r="J59" s="141" t="str">
        <f>IF(PROGRAMAS!A30="","",PROGRAMAS!AF30)</f>
        <v/>
      </c>
      <c r="K59" s="94" t="str">
        <f>IF(PROGRAMAS!A30="","",PROGRAMAS!I30)</f>
        <v/>
      </c>
    </row>
    <row r="60" ht="15.75" customHeight="1">
      <c r="A60" s="77" t="str">
        <f>IF(PROGRAMAS!A31="","",PROGRAMAS!A31)</f>
        <v/>
      </c>
      <c r="B60" s="93" t="str">
        <f>IF(PROGRAMAS!A31="","",PROGRAMAS!B31)</f>
        <v/>
      </c>
      <c r="C60" s="93" t="str">
        <f>IF(PROGRAMAS!A31="","",PROGRAMAS!AD31)</f>
        <v/>
      </c>
      <c r="D60" s="139" t="str">
        <f>IF(PROGRAMAS!A31="","",PROGRAMAS!AG31)</f>
        <v/>
      </c>
      <c r="E60" s="84" t="str">
        <f>IF(PROGRAMAS!A31="","",PROGRAMAS!D31)</f>
        <v/>
      </c>
      <c r="F60" s="121" t="str">
        <f>IF(PROGRAMAS!A31="","",PROGRAMAS!M31)</f>
        <v/>
      </c>
      <c r="G60" s="121" t="str">
        <f>IF(PROGRAMAS!A31="","",PROGRAMAS!W31)</f>
        <v/>
      </c>
      <c r="H60" s="122" t="str">
        <f>IF(PROGRAMAS!A31="","",PROGRAMAS!AA31)</f>
        <v/>
      </c>
      <c r="I60" s="140" t="str">
        <f>IF(PROGRAMAS!A31="","",PROGRAMAS!AE31)</f>
        <v/>
      </c>
      <c r="J60" s="141" t="str">
        <f>IF(PROGRAMAS!A31="","",PROGRAMAS!AF31)</f>
        <v/>
      </c>
      <c r="K60" s="94" t="str">
        <f>IF(PROGRAMAS!A31="","",PROGRAMAS!I31)</f>
        <v/>
      </c>
    </row>
    <row r="61" ht="15.75" customHeight="1">
      <c r="A61" s="77" t="str">
        <f>IF(PROGRAMAS!A32="","",PROGRAMAS!A32)</f>
        <v/>
      </c>
      <c r="B61" s="93" t="str">
        <f>IF(PROGRAMAS!A32="","",PROGRAMAS!B32)</f>
        <v/>
      </c>
      <c r="C61" s="93" t="str">
        <f>IF(PROGRAMAS!A32="","",PROGRAMAS!AD32)</f>
        <v/>
      </c>
      <c r="D61" s="139" t="str">
        <f>IF(PROGRAMAS!A32="","",PROGRAMAS!AG32)</f>
        <v/>
      </c>
      <c r="E61" s="84" t="str">
        <f>IF(PROGRAMAS!A32="","",PROGRAMAS!D32)</f>
        <v/>
      </c>
      <c r="F61" s="121" t="str">
        <f>IF(PROGRAMAS!A32="","",PROGRAMAS!M32)</f>
        <v/>
      </c>
      <c r="G61" s="121" t="str">
        <f>IF(PROGRAMAS!A32="","",PROGRAMAS!W32)</f>
        <v/>
      </c>
      <c r="H61" s="122" t="str">
        <f>IF(PROGRAMAS!A32="","",PROGRAMAS!AA32)</f>
        <v/>
      </c>
      <c r="I61" s="140" t="str">
        <f>IF(PROGRAMAS!A32="","",PROGRAMAS!AE32)</f>
        <v/>
      </c>
      <c r="J61" s="141" t="str">
        <f>IF(PROGRAMAS!A32="","",PROGRAMAS!AF32)</f>
        <v/>
      </c>
      <c r="K61" s="94" t="str">
        <f>IF(PROGRAMAS!A32="","",PROGRAMAS!I32)</f>
        <v/>
      </c>
    </row>
    <row r="62" ht="15.75" customHeight="1">
      <c r="A62" s="77" t="str">
        <f>IF(PROGRAMAS!A33="","",PROGRAMAS!A33)</f>
        <v/>
      </c>
      <c r="B62" s="93" t="str">
        <f>IF(PROGRAMAS!A33="","",PROGRAMAS!B33)</f>
        <v/>
      </c>
      <c r="C62" s="93" t="str">
        <f>IF(PROGRAMAS!A33="","",PROGRAMAS!AD33)</f>
        <v/>
      </c>
      <c r="D62" s="139" t="str">
        <f>IF(PROGRAMAS!A33="","",PROGRAMAS!AG33)</f>
        <v/>
      </c>
      <c r="E62" s="84" t="str">
        <f>IF(PROGRAMAS!A33="","",PROGRAMAS!D33)</f>
        <v/>
      </c>
      <c r="F62" s="121" t="str">
        <f>IF(PROGRAMAS!A33="","",PROGRAMAS!M33)</f>
        <v/>
      </c>
      <c r="G62" s="121" t="str">
        <f>IF(PROGRAMAS!A33="","",PROGRAMAS!W33)</f>
        <v/>
      </c>
      <c r="H62" s="122" t="str">
        <f>IF(PROGRAMAS!A33="","",PROGRAMAS!AA33)</f>
        <v/>
      </c>
      <c r="I62" s="140" t="str">
        <f>IF(PROGRAMAS!A33="","",PROGRAMAS!AE33)</f>
        <v/>
      </c>
      <c r="J62" s="141" t="str">
        <f>IF(PROGRAMAS!A33="","",PROGRAMAS!AF33)</f>
        <v/>
      </c>
      <c r="K62" s="94" t="str">
        <f>IF(PROGRAMAS!A33="","",PROGRAMAS!I33)</f>
        <v/>
      </c>
    </row>
    <row r="63" ht="15.75" customHeight="1">
      <c r="A63" s="77" t="str">
        <f>IF(PROGRAMAS!A34="","",PROGRAMAS!A34)</f>
        <v/>
      </c>
      <c r="B63" s="93" t="str">
        <f>IF(PROGRAMAS!A34="","",PROGRAMAS!B34)</f>
        <v/>
      </c>
      <c r="C63" s="93" t="str">
        <f>IF(PROGRAMAS!A34="","",PROGRAMAS!AD34)</f>
        <v/>
      </c>
      <c r="D63" s="139" t="str">
        <f>IF(PROGRAMAS!A34="","",PROGRAMAS!AG34)</f>
        <v/>
      </c>
      <c r="E63" s="84" t="str">
        <f>IF(PROGRAMAS!A34="","",PROGRAMAS!D34)</f>
        <v/>
      </c>
      <c r="F63" s="121" t="str">
        <f>IF(PROGRAMAS!A34="","",PROGRAMAS!M34)</f>
        <v/>
      </c>
      <c r="G63" s="121" t="str">
        <f>IF(PROGRAMAS!A34="","",PROGRAMAS!W34)</f>
        <v/>
      </c>
      <c r="H63" s="122" t="str">
        <f>IF(PROGRAMAS!A34="","",PROGRAMAS!AA34)</f>
        <v/>
      </c>
      <c r="I63" s="140" t="str">
        <f>IF(PROGRAMAS!A34="","",PROGRAMAS!AE34)</f>
        <v/>
      </c>
      <c r="J63" s="141" t="str">
        <f>IF(PROGRAMAS!A34="","",PROGRAMAS!AF34)</f>
        <v/>
      </c>
      <c r="K63" s="94" t="str">
        <f>IF(PROGRAMAS!A34="","",PROGRAMAS!I34)</f>
        <v/>
      </c>
    </row>
    <row r="64" ht="15.75" customHeight="1">
      <c r="A64" s="77" t="str">
        <f>IF(PROGRAMAS!A35="","",PROGRAMAS!A35)</f>
        <v/>
      </c>
      <c r="B64" s="93" t="str">
        <f>IF(PROGRAMAS!A35="","",PROGRAMAS!B35)</f>
        <v/>
      </c>
      <c r="C64" s="93" t="str">
        <f>IF(PROGRAMAS!A35="","",PROGRAMAS!AD35)</f>
        <v/>
      </c>
      <c r="D64" s="139" t="str">
        <f>IF(PROGRAMAS!A35="","",PROGRAMAS!AG35)</f>
        <v/>
      </c>
      <c r="E64" s="84" t="str">
        <f>IF(PROGRAMAS!A35="","",PROGRAMAS!D35)</f>
        <v/>
      </c>
      <c r="F64" s="121" t="str">
        <f>IF(PROGRAMAS!A35="","",PROGRAMAS!M35)</f>
        <v/>
      </c>
      <c r="G64" s="121" t="str">
        <f>IF(PROGRAMAS!A35="","",PROGRAMAS!W35)</f>
        <v/>
      </c>
      <c r="H64" s="122" t="str">
        <f>IF(PROGRAMAS!A35="","",PROGRAMAS!AA35)</f>
        <v/>
      </c>
      <c r="I64" s="140" t="str">
        <f>IF(PROGRAMAS!A35="","",PROGRAMAS!AE35)</f>
        <v/>
      </c>
      <c r="J64" s="141" t="str">
        <f>IF(PROGRAMAS!A35="","",PROGRAMAS!AF35)</f>
        <v/>
      </c>
      <c r="K64" s="94" t="str">
        <f>IF(PROGRAMAS!A35="","",PROGRAMAS!I35)</f>
        <v/>
      </c>
    </row>
    <row r="65" ht="15.75" customHeight="1">
      <c r="A65" s="77" t="str">
        <f>IF(PROGRAMAS!A36="","",PROGRAMAS!A36)</f>
        <v/>
      </c>
      <c r="B65" s="93" t="str">
        <f>IF(PROGRAMAS!A36="","",PROGRAMAS!B36)</f>
        <v/>
      </c>
      <c r="C65" s="93" t="str">
        <f>IF(PROGRAMAS!A36="","",PROGRAMAS!AD36)</f>
        <v/>
      </c>
      <c r="D65" s="139" t="str">
        <f>IF(PROGRAMAS!A36="","",PROGRAMAS!AG36)</f>
        <v/>
      </c>
      <c r="E65" s="84" t="str">
        <f>IF(PROGRAMAS!A36="","",PROGRAMAS!D36)</f>
        <v/>
      </c>
      <c r="F65" s="121" t="str">
        <f>IF(PROGRAMAS!A36="","",PROGRAMAS!M36)</f>
        <v/>
      </c>
      <c r="G65" s="121" t="str">
        <f>IF(PROGRAMAS!A36="","",PROGRAMAS!W36)</f>
        <v/>
      </c>
      <c r="H65" s="122" t="str">
        <f>IF(PROGRAMAS!A36="","",PROGRAMAS!AA36)</f>
        <v/>
      </c>
      <c r="I65" s="140" t="str">
        <f>IF(PROGRAMAS!A36="","",PROGRAMAS!AE36)</f>
        <v/>
      </c>
      <c r="J65" s="141" t="str">
        <f>IF(PROGRAMAS!A36="","",PROGRAMAS!AF36)</f>
        <v/>
      </c>
      <c r="K65" s="94" t="str">
        <f>IF(PROGRAMAS!A36="","",PROGRAMAS!I36)</f>
        <v/>
      </c>
    </row>
    <row r="66" ht="15.75" customHeight="1">
      <c r="A66" s="77" t="str">
        <f>IF(PROGRAMAS!A37="","",PROGRAMAS!A37)</f>
        <v/>
      </c>
      <c r="B66" s="93" t="str">
        <f>IF(PROGRAMAS!A37="","",PROGRAMAS!B37)</f>
        <v/>
      </c>
      <c r="C66" s="93" t="str">
        <f>IF(PROGRAMAS!A37="","",PROGRAMAS!AD37)</f>
        <v/>
      </c>
      <c r="D66" s="139" t="str">
        <f>IF(PROGRAMAS!A37="","",PROGRAMAS!AG37)</f>
        <v/>
      </c>
      <c r="E66" s="84" t="str">
        <f>IF(PROGRAMAS!A37="","",PROGRAMAS!D37)</f>
        <v/>
      </c>
      <c r="F66" s="121" t="str">
        <f>IF(PROGRAMAS!A37="","",PROGRAMAS!M37)</f>
        <v/>
      </c>
      <c r="G66" s="121" t="str">
        <f>IF(PROGRAMAS!A37="","",PROGRAMAS!W37)</f>
        <v/>
      </c>
      <c r="H66" s="122" t="str">
        <f>IF(PROGRAMAS!A37="","",PROGRAMAS!AA37)</f>
        <v/>
      </c>
      <c r="I66" s="140" t="str">
        <f>IF(PROGRAMAS!A37="","",PROGRAMAS!AE37)</f>
        <v/>
      </c>
      <c r="J66" s="141" t="str">
        <f>IF(PROGRAMAS!A37="","",PROGRAMAS!AF37)</f>
        <v/>
      </c>
      <c r="K66" s="94" t="str">
        <f>IF(PROGRAMAS!A37="","",PROGRAMAS!I37)</f>
        <v/>
      </c>
    </row>
    <row r="67" ht="15.75" customHeight="1">
      <c r="A67" s="77" t="str">
        <f>IF(PROGRAMAS!A38="","",PROGRAMAS!A38)</f>
        <v/>
      </c>
      <c r="B67" s="93" t="str">
        <f>IF(PROGRAMAS!A38="","",PROGRAMAS!B38)</f>
        <v/>
      </c>
      <c r="C67" s="93" t="str">
        <f>IF(PROGRAMAS!A38="","",PROGRAMAS!AD38)</f>
        <v/>
      </c>
      <c r="D67" s="139" t="str">
        <f>IF(PROGRAMAS!A38="","",PROGRAMAS!AG38)</f>
        <v/>
      </c>
      <c r="E67" s="84" t="str">
        <f>IF(PROGRAMAS!A38="","",PROGRAMAS!D38)</f>
        <v/>
      </c>
      <c r="F67" s="121" t="str">
        <f>IF(PROGRAMAS!A38="","",PROGRAMAS!M38)</f>
        <v/>
      </c>
      <c r="G67" s="121" t="str">
        <f>IF(PROGRAMAS!A38="","",PROGRAMAS!W38)</f>
        <v/>
      </c>
      <c r="H67" s="122" t="str">
        <f>IF(PROGRAMAS!A38="","",PROGRAMAS!AA38)</f>
        <v/>
      </c>
      <c r="I67" s="140" t="str">
        <f>IF(PROGRAMAS!A38="","",PROGRAMAS!AE38)</f>
        <v/>
      </c>
      <c r="J67" s="141" t="str">
        <f>IF(PROGRAMAS!A38="","",PROGRAMAS!AF38)</f>
        <v/>
      </c>
      <c r="K67" s="94" t="str">
        <f>IF(PROGRAMAS!A38="","",PROGRAMAS!I38)</f>
        <v/>
      </c>
    </row>
    <row r="68" ht="15.75" customHeight="1">
      <c r="A68" s="77" t="str">
        <f>IF(PROGRAMAS!A39="","",PROGRAMAS!A39)</f>
        <v/>
      </c>
      <c r="B68" s="93" t="str">
        <f>IF(PROGRAMAS!A39="","",PROGRAMAS!B39)</f>
        <v/>
      </c>
      <c r="C68" s="93" t="str">
        <f>IF(PROGRAMAS!A39="","",PROGRAMAS!AD39)</f>
        <v/>
      </c>
      <c r="D68" s="139" t="str">
        <f>IF(PROGRAMAS!A39="","",PROGRAMAS!AG39)</f>
        <v/>
      </c>
      <c r="E68" s="84" t="str">
        <f>IF(PROGRAMAS!A39="","",PROGRAMAS!D39)</f>
        <v/>
      </c>
      <c r="F68" s="121" t="str">
        <f>IF(PROGRAMAS!A39="","",PROGRAMAS!M39)</f>
        <v/>
      </c>
      <c r="G68" s="121" t="str">
        <f>IF(PROGRAMAS!A39="","",PROGRAMAS!W39)</f>
        <v/>
      </c>
      <c r="H68" s="122" t="str">
        <f>IF(PROGRAMAS!A39="","",PROGRAMAS!AA39)</f>
        <v/>
      </c>
      <c r="I68" s="140" t="str">
        <f>IF(PROGRAMAS!A39="","",PROGRAMAS!AE39)</f>
        <v/>
      </c>
      <c r="J68" s="141" t="str">
        <f>IF(PROGRAMAS!A39="","",PROGRAMAS!AF39)</f>
        <v/>
      </c>
      <c r="K68" s="94" t="str">
        <f>IF(PROGRAMAS!A39="","",PROGRAMAS!I39)</f>
        <v/>
      </c>
    </row>
    <row r="69" ht="15.75" customHeight="1">
      <c r="A69" s="77" t="str">
        <f>IF(PROGRAMAS!A40="","",PROGRAMAS!A40)</f>
        <v/>
      </c>
      <c r="B69" s="93" t="str">
        <f>IF(PROGRAMAS!A40="","",PROGRAMAS!B40)</f>
        <v/>
      </c>
      <c r="C69" s="93" t="str">
        <f>IF(PROGRAMAS!A40="","",PROGRAMAS!AD40)</f>
        <v/>
      </c>
      <c r="D69" s="139" t="str">
        <f>IF(PROGRAMAS!A40="","",PROGRAMAS!AG40)</f>
        <v/>
      </c>
      <c r="E69" s="84" t="str">
        <f>IF(PROGRAMAS!A40="","",PROGRAMAS!D40)</f>
        <v/>
      </c>
      <c r="F69" s="121" t="str">
        <f>IF(PROGRAMAS!A40="","",PROGRAMAS!M40)</f>
        <v/>
      </c>
      <c r="G69" s="121" t="str">
        <f>IF(PROGRAMAS!A40="","",PROGRAMAS!W40)</f>
        <v/>
      </c>
      <c r="H69" s="122" t="str">
        <f>IF(PROGRAMAS!A40="","",PROGRAMAS!AA40)</f>
        <v/>
      </c>
      <c r="I69" s="140" t="str">
        <f>IF(PROGRAMAS!A40="","",PROGRAMAS!AE40)</f>
        <v/>
      </c>
      <c r="J69" s="141" t="str">
        <f>IF(PROGRAMAS!A40="","",PROGRAMAS!AF40)</f>
        <v/>
      </c>
      <c r="K69" s="94" t="str">
        <f>IF(PROGRAMAS!A40="","",PROGRAMAS!I40)</f>
        <v/>
      </c>
    </row>
    <row r="70" ht="15.75" customHeight="1">
      <c r="A70" s="77" t="str">
        <f>IF(PROGRAMAS!A41="","",PROGRAMAS!A41)</f>
        <v/>
      </c>
      <c r="B70" s="93" t="str">
        <f>IF(PROGRAMAS!A41="","",PROGRAMAS!B41)</f>
        <v/>
      </c>
      <c r="C70" s="93" t="str">
        <f>IF(PROGRAMAS!A41="","",PROGRAMAS!AD41)</f>
        <v/>
      </c>
      <c r="D70" s="139" t="str">
        <f>IF(PROGRAMAS!A41="","",PROGRAMAS!AG41)</f>
        <v/>
      </c>
      <c r="E70" s="84" t="str">
        <f>IF(PROGRAMAS!A41="","",PROGRAMAS!D41)</f>
        <v/>
      </c>
      <c r="F70" s="121" t="str">
        <f>IF(PROGRAMAS!A41="","",PROGRAMAS!M41)</f>
        <v/>
      </c>
      <c r="G70" s="121" t="str">
        <f>IF(PROGRAMAS!A41="","",PROGRAMAS!W41)</f>
        <v/>
      </c>
      <c r="H70" s="122" t="str">
        <f>IF(PROGRAMAS!A41="","",PROGRAMAS!AA41)</f>
        <v/>
      </c>
      <c r="I70" s="140" t="str">
        <f>IF(PROGRAMAS!A41="","",PROGRAMAS!AE41)</f>
        <v/>
      </c>
      <c r="J70" s="141" t="str">
        <f>IF(PROGRAMAS!A41="","",PROGRAMAS!AF41)</f>
        <v/>
      </c>
      <c r="K70" s="94" t="str">
        <f>IF(PROGRAMAS!A41="","",PROGRAMAS!I41)</f>
        <v/>
      </c>
    </row>
    <row r="71" ht="15.75" customHeight="1">
      <c r="A71" s="77" t="str">
        <f>IF(PROGRAMAS!A42="","",PROGRAMAS!A42)</f>
        <v/>
      </c>
      <c r="B71" s="93" t="str">
        <f>IF(PROGRAMAS!A42="","",PROGRAMAS!B42)</f>
        <v/>
      </c>
      <c r="C71" s="93" t="str">
        <f>IF(PROGRAMAS!A42="","",PROGRAMAS!AD42)</f>
        <v/>
      </c>
      <c r="D71" s="139" t="str">
        <f>IF(PROGRAMAS!A42="","",PROGRAMAS!AG42)</f>
        <v/>
      </c>
      <c r="E71" s="84" t="str">
        <f>IF(PROGRAMAS!A42="","",PROGRAMAS!D42)</f>
        <v/>
      </c>
      <c r="F71" s="121" t="str">
        <f>IF(PROGRAMAS!A42="","",PROGRAMAS!M42)</f>
        <v/>
      </c>
      <c r="G71" s="121" t="str">
        <f>IF(PROGRAMAS!A42="","",PROGRAMAS!W42)</f>
        <v/>
      </c>
      <c r="H71" s="122" t="str">
        <f>IF(PROGRAMAS!A42="","",PROGRAMAS!AA42)</f>
        <v/>
      </c>
      <c r="I71" s="140" t="str">
        <f>IF(PROGRAMAS!A42="","",PROGRAMAS!AE42)</f>
        <v/>
      </c>
      <c r="J71" s="141" t="str">
        <f>IF(PROGRAMAS!A42="","",PROGRAMAS!AF42)</f>
        <v/>
      </c>
      <c r="K71" s="94" t="str">
        <f>IF(PROGRAMAS!A42="","",PROGRAMAS!I42)</f>
        <v/>
      </c>
    </row>
    <row r="72" ht="15.75" customHeight="1">
      <c r="A72" s="77" t="str">
        <f>IF(PROGRAMAS!A43="","",PROGRAMAS!A43)</f>
        <v/>
      </c>
      <c r="B72" s="93" t="str">
        <f>IF(PROGRAMAS!A43="","",PROGRAMAS!B43)</f>
        <v/>
      </c>
      <c r="C72" s="93" t="str">
        <f>IF(PROGRAMAS!A43="","",PROGRAMAS!AD43)</f>
        <v/>
      </c>
      <c r="D72" s="139" t="str">
        <f>IF(PROGRAMAS!A43="","",PROGRAMAS!AG43)</f>
        <v/>
      </c>
      <c r="E72" s="84" t="str">
        <f>IF(PROGRAMAS!A43="","",PROGRAMAS!D43)</f>
        <v/>
      </c>
      <c r="F72" s="121" t="str">
        <f>IF(PROGRAMAS!A43="","",PROGRAMAS!M43)</f>
        <v/>
      </c>
      <c r="G72" s="121" t="str">
        <f>IF(PROGRAMAS!A43="","",PROGRAMAS!W43)</f>
        <v/>
      </c>
      <c r="H72" s="122" t="str">
        <f>IF(PROGRAMAS!A43="","",PROGRAMAS!AA43)</f>
        <v/>
      </c>
      <c r="I72" s="140" t="str">
        <f>IF(PROGRAMAS!A43="","",PROGRAMAS!AE43)</f>
        <v/>
      </c>
      <c r="J72" s="141" t="str">
        <f>IF(PROGRAMAS!A43="","",PROGRAMAS!AF43)</f>
        <v/>
      </c>
      <c r="K72" s="94" t="str">
        <f>IF(PROGRAMAS!A43="","",PROGRAMAS!I43)</f>
        <v/>
      </c>
    </row>
    <row r="73" ht="15.75" customHeight="1">
      <c r="A73" s="77" t="str">
        <f>IF(PROGRAMAS!A44="","",PROGRAMAS!A44)</f>
        <v/>
      </c>
      <c r="B73" s="93" t="str">
        <f>IF(PROGRAMAS!A44="","",PROGRAMAS!B44)</f>
        <v/>
      </c>
      <c r="C73" s="93" t="str">
        <f>IF(PROGRAMAS!A44="","",PROGRAMAS!AD44)</f>
        <v/>
      </c>
      <c r="D73" s="139" t="str">
        <f>IF(PROGRAMAS!A44="","",PROGRAMAS!AG44)</f>
        <v/>
      </c>
      <c r="E73" s="84" t="str">
        <f>IF(PROGRAMAS!A44="","",PROGRAMAS!D44)</f>
        <v/>
      </c>
      <c r="F73" s="121" t="str">
        <f>IF(PROGRAMAS!A44="","",PROGRAMAS!M44)</f>
        <v/>
      </c>
      <c r="G73" s="121" t="str">
        <f>IF(PROGRAMAS!A44="","",PROGRAMAS!W44)</f>
        <v/>
      </c>
      <c r="H73" s="122" t="str">
        <f>IF(PROGRAMAS!A44="","",PROGRAMAS!AA44)</f>
        <v/>
      </c>
      <c r="I73" s="140" t="str">
        <f>IF(PROGRAMAS!A44="","",PROGRAMAS!AE44)</f>
        <v/>
      </c>
      <c r="J73" s="141" t="str">
        <f>IF(PROGRAMAS!A44="","",PROGRAMAS!AF44)</f>
        <v/>
      </c>
      <c r="K73" s="94" t="str">
        <f>IF(PROGRAMAS!A44="","",PROGRAMAS!I44)</f>
        <v/>
      </c>
    </row>
    <row r="74" ht="15.75" customHeight="1">
      <c r="A74" s="77" t="str">
        <f>IF(PROGRAMAS!A45="","",PROGRAMAS!A45)</f>
        <v/>
      </c>
      <c r="B74" s="93" t="str">
        <f>IF(PROGRAMAS!A45="","",PROGRAMAS!B45)</f>
        <v/>
      </c>
      <c r="C74" s="93" t="str">
        <f>IF(PROGRAMAS!A45="","",PROGRAMAS!AD45)</f>
        <v/>
      </c>
      <c r="D74" s="139" t="str">
        <f>IF(PROGRAMAS!A45="","",PROGRAMAS!AG45)</f>
        <v/>
      </c>
      <c r="E74" s="84" t="str">
        <f>IF(PROGRAMAS!A45="","",PROGRAMAS!D45)</f>
        <v/>
      </c>
      <c r="F74" s="121" t="str">
        <f>IF(PROGRAMAS!A45="","",PROGRAMAS!M45)</f>
        <v/>
      </c>
      <c r="G74" s="121" t="str">
        <f>IF(PROGRAMAS!A45="","",PROGRAMAS!W45)</f>
        <v/>
      </c>
      <c r="H74" s="122" t="str">
        <f>IF(PROGRAMAS!A45="","",PROGRAMAS!AA45)</f>
        <v/>
      </c>
      <c r="I74" s="140" t="str">
        <f>IF(PROGRAMAS!A45="","",PROGRAMAS!AE45)</f>
        <v/>
      </c>
      <c r="J74" s="141" t="str">
        <f>IF(PROGRAMAS!A45="","",PROGRAMAS!AF45)</f>
        <v/>
      </c>
      <c r="K74" s="94" t="str">
        <f>IF(PROGRAMAS!A45="","",PROGRAMAS!I45)</f>
        <v/>
      </c>
    </row>
    <row r="75" ht="15.75" customHeight="1">
      <c r="A75" s="77" t="str">
        <f>IF(PROGRAMAS!A46="","",PROGRAMAS!A46)</f>
        <v/>
      </c>
      <c r="B75" s="93" t="str">
        <f>IF(PROGRAMAS!A46="","",PROGRAMAS!B46)</f>
        <v/>
      </c>
      <c r="C75" s="93" t="str">
        <f>IF(PROGRAMAS!A46="","",PROGRAMAS!AD46)</f>
        <v/>
      </c>
      <c r="D75" s="139" t="str">
        <f>IF(PROGRAMAS!A46="","",PROGRAMAS!AG46)</f>
        <v/>
      </c>
      <c r="E75" s="84" t="str">
        <f>IF(PROGRAMAS!A46="","",PROGRAMAS!D46)</f>
        <v/>
      </c>
      <c r="F75" s="121" t="str">
        <f>IF(PROGRAMAS!A46="","",PROGRAMAS!M46)</f>
        <v/>
      </c>
      <c r="G75" s="121" t="str">
        <f>IF(PROGRAMAS!A46="","",PROGRAMAS!W46)</f>
        <v/>
      </c>
      <c r="H75" s="122" t="str">
        <f>IF(PROGRAMAS!A46="","",PROGRAMAS!AA46)</f>
        <v/>
      </c>
      <c r="I75" s="140" t="str">
        <f>IF(PROGRAMAS!A46="","",PROGRAMAS!AE46)</f>
        <v/>
      </c>
      <c r="J75" s="141" t="str">
        <f>IF(PROGRAMAS!A46="","",PROGRAMAS!AF46)</f>
        <v/>
      </c>
      <c r="K75" s="94" t="str">
        <f>IF(PROGRAMAS!A46="","",PROGRAMAS!I46)</f>
        <v/>
      </c>
    </row>
    <row r="76" ht="15.75" customHeight="1">
      <c r="A76" s="77" t="str">
        <f>IF(PROGRAMAS!A47="","",PROGRAMAS!A47)</f>
        <v/>
      </c>
      <c r="B76" s="93" t="str">
        <f>IF(PROGRAMAS!A47="","",PROGRAMAS!B47)</f>
        <v/>
      </c>
      <c r="C76" s="93" t="str">
        <f>IF(PROGRAMAS!A47="","",PROGRAMAS!AD47)</f>
        <v/>
      </c>
      <c r="D76" s="139" t="str">
        <f>IF(PROGRAMAS!A47="","",PROGRAMAS!AG47)</f>
        <v/>
      </c>
      <c r="E76" s="84" t="str">
        <f>IF(PROGRAMAS!A47="","",PROGRAMAS!D47)</f>
        <v/>
      </c>
      <c r="F76" s="121" t="str">
        <f>IF(PROGRAMAS!A47="","",PROGRAMAS!M47)</f>
        <v/>
      </c>
      <c r="G76" s="121" t="str">
        <f>IF(PROGRAMAS!A47="","",PROGRAMAS!W47)</f>
        <v/>
      </c>
      <c r="H76" s="122" t="str">
        <f>IF(PROGRAMAS!A47="","",PROGRAMAS!AA47)</f>
        <v/>
      </c>
      <c r="I76" s="140" t="str">
        <f>IF(PROGRAMAS!A47="","",PROGRAMAS!AE47)</f>
        <v/>
      </c>
      <c r="J76" s="141" t="str">
        <f>IF(PROGRAMAS!A47="","",PROGRAMAS!AF47)</f>
        <v/>
      </c>
      <c r="K76" s="94" t="str">
        <f>IF(PROGRAMAS!A47="","",PROGRAMAS!I47)</f>
        <v/>
      </c>
    </row>
    <row r="77" ht="15.75" customHeight="1">
      <c r="A77" s="77" t="str">
        <f>IF(PROGRAMAS!A48="","",PROGRAMAS!A48)</f>
        <v/>
      </c>
      <c r="B77" s="93" t="str">
        <f>IF(PROGRAMAS!A48="","",PROGRAMAS!B48)</f>
        <v/>
      </c>
      <c r="C77" s="93" t="str">
        <f>IF(PROGRAMAS!A48="","",PROGRAMAS!AD48)</f>
        <v/>
      </c>
      <c r="D77" s="139" t="str">
        <f>IF(PROGRAMAS!A48="","",PROGRAMAS!AG48)</f>
        <v/>
      </c>
      <c r="E77" s="84" t="str">
        <f>IF(PROGRAMAS!A48="","",PROGRAMAS!D48)</f>
        <v/>
      </c>
      <c r="F77" s="121" t="str">
        <f>IF(PROGRAMAS!A48="","",PROGRAMAS!M48)</f>
        <v/>
      </c>
      <c r="G77" s="121" t="str">
        <f>IF(PROGRAMAS!A48="","",PROGRAMAS!W48)</f>
        <v/>
      </c>
      <c r="H77" s="122" t="str">
        <f>IF(PROGRAMAS!A48="","",PROGRAMAS!AA48)</f>
        <v/>
      </c>
      <c r="I77" s="140" t="str">
        <f>IF(PROGRAMAS!A48="","",PROGRAMAS!AE48)</f>
        <v/>
      </c>
      <c r="J77" s="141" t="str">
        <f>IF(PROGRAMAS!A48="","",PROGRAMAS!AF48)</f>
        <v/>
      </c>
      <c r="K77" s="94" t="str">
        <f>IF(PROGRAMAS!A48="","",PROGRAMAS!I48)</f>
        <v/>
      </c>
    </row>
    <row r="78" ht="15.75" customHeight="1">
      <c r="A78" s="77" t="str">
        <f>IF(PROGRAMAS!A49="","",PROGRAMAS!A49)</f>
        <v/>
      </c>
      <c r="B78" s="93" t="str">
        <f>IF(PROGRAMAS!A49="","",PROGRAMAS!B49)</f>
        <v/>
      </c>
      <c r="C78" s="93" t="str">
        <f>IF(PROGRAMAS!A49="","",PROGRAMAS!AD49)</f>
        <v/>
      </c>
      <c r="D78" s="139" t="str">
        <f>IF(PROGRAMAS!A49="","",PROGRAMAS!AG49)</f>
        <v/>
      </c>
      <c r="E78" s="84" t="str">
        <f>IF(PROGRAMAS!A49="","",PROGRAMAS!D49)</f>
        <v/>
      </c>
      <c r="F78" s="121" t="str">
        <f>IF(PROGRAMAS!A49="","",PROGRAMAS!M49)</f>
        <v/>
      </c>
      <c r="G78" s="121" t="str">
        <f>IF(PROGRAMAS!A49="","",PROGRAMAS!W49)</f>
        <v/>
      </c>
      <c r="H78" s="122" t="str">
        <f>IF(PROGRAMAS!A49="","",PROGRAMAS!AA49)</f>
        <v/>
      </c>
      <c r="I78" s="140" t="str">
        <f>IF(PROGRAMAS!A49="","",PROGRAMAS!AE49)</f>
        <v/>
      </c>
      <c r="J78" s="141" t="str">
        <f>IF(PROGRAMAS!A49="","",PROGRAMAS!AF49)</f>
        <v/>
      </c>
      <c r="K78" s="94" t="str">
        <f>IF(PROGRAMAS!A49="","",PROGRAMAS!I49)</f>
        <v/>
      </c>
    </row>
    <row r="79" ht="15.75" customHeight="1">
      <c r="A79" s="77" t="str">
        <f>IF(PROGRAMAS!A50="","",PROGRAMAS!A50)</f>
        <v/>
      </c>
      <c r="B79" s="93" t="str">
        <f>IF(PROGRAMAS!A50="","",PROGRAMAS!B50)</f>
        <v/>
      </c>
      <c r="C79" s="93" t="str">
        <f>IF(PROGRAMAS!A50="","",PROGRAMAS!AD50)</f>
        <v/>
      </c>
      <c r="D79" s="139" t="str">
        <f>IF(PROGRAMAS!A50="","",PROGRAMAS!AG50)</f>
        <v/>
      </c>
      <c r="E79" s="84" t="str">
        <f>IF(PROGRAMAS!A50="","",PROGRAMAS!D50)</f>
        <v/>
      </c>
      <c r="F79" s="121" t="str">
        <f>IF(PROGRAMAS!A50="","",PROGRAMAS!M50)</f>
        <v/>
      </c>
      <c r="G79" s="121" t="str">
        <f>IF(PROGRAMAS!A50="","",PROGRAMAS!W50)</f>
        <v/>
      </c>
      <c r="H79" s="122" t="str">
        <f>IF(PROGRAMAS!A50="","",PROGRAMAS!AA50)</f>
        <v/>
      </c>
      <c r="I79" s="140" t="str">
        <f>IF(PROGRAMAS!A50="","",PROGRAMAS!AE50)</f>
        <v/>
      </c>
      <c r="J79" s="141" t="str">
        <f>IF(PROGRAMAS!A50="","",PROGRAMAS!AF50)</f>
        <v/>
      </c>
      <c r="K79" s="94" t="str">
        <f>IF(PROGRAMAS!A50="","",PROGRAMAS!I50)</f>
        <v/>
      </c>
    </row>
    <row r="80" ht="15.75" customHeight="1">
      <c r="A80" s="77" t="str">
        <f>IF(PROGRAMAS!A51="","",PROGRAMAS!A51)</f>
        <v/>
      </c>
      <c r="B80" s="93" t="str">
        <f>IF(PROGRAMAS!A51="","",PROGRAMAS!B51)</f>
        <v/>
      </c>
      <c r="C80" s="93" t="str">
        <f>IF(PROGRAMAS!A51="","",PROGRAMAS!AD51)</f>
        <v/>
      </c>
      <c r="D80" s="139" t="str">
        <f>IF(PROGRAMAS!A51="","",PROGRAMAS!AG51)</f>
        <v/>
      </c>
      <c r="E80" s="84" t="str">
        <f>IF(PROGRAMAS!A51="","",PROGRAMAS!D51)</f>
        <v/>
      </c>
      <c r="F80" s="121" t="str">
        <f>IF(PROGRAMAS!A51="","",PROGRAMAS!M51)</f>
        <v/>
      </c>
      <c r="G80" s="121" t="str">
        <f>IF(PROGRAMAS!A51="","",PROGRAMAS!W51)</f>
        <v/>
      </c>
      <c r="H80" s="122" t="str">
        <f>IF(PROGRAMAS!A51="","",PROGRAMAS!AA51)</f>
        <v/>
      </c>
      <c r="I80" s="140" t="str">
        <f>IF(PROGRAMAS!A51="","",PROGRAMAS!AE51)</f>
        <v/>
      </c>
      <c r="J80" s="141" t="str">
        <f>IF(PROGRAMAS!A51="","",PROGRAMAS!AF51)</f>
        <v/>
      </c>
      <c r="K80" s="94" t="str">
        <f>IF(PROGRAMAS!A51="","",PROGRAMAS!I51)</f>
        <v/>
      </c>
    </row>
    <row r="81" ht="15.75" customHeight="1">
      <c r="A81" s="77" t="str">
        <f>IF(PROGRAMAS!A52="","",PROGRAMAS!A52)</f>
        <v/>
      </c>
      <c r="B81" s="93" t="str">
        <f>IF(PROGRAMAS!A52="","",PROGRAMAS!B52)</f>
        <v/>
      </c>
      <c r="C81" s="93" t="str">
        <f>IF(PROGRAMAS!A52="","",PROGRAMAS!AD52)</f>
        <v/>
      </c>
      <c r="D81" s="139" t="str">
        <f>IF(PROGRAMAS!A52="","",PROGRAMAS!AG52)</f>
        <v/>
      </c>
      <c r="E81" s="84" t="str">
        <f>IF(PROGRAMAS!A52="","",PROGRAMAS!D52)</f>
        <v/>
      </c>
      <c r="F81" s="121" t="str">
        <f>IF(PROGRAMAS!A52="","",PROGRAMAS!M52)</f>
        <v/>
      </c>
      <c r="G81" s="121" t="str">
        <f>IF(PROGRAMAS!A52="","",PROGRAMAS!W52)</f>
        <v/>
      </c>
      <c r="H81" s="122" t="str">
        <f>IF(PROGRAMAS!A52="","",PROGRAMAS!AA52)</f>
        <v/>
      </c>
      <c r="I81" s="140" t="str">
        <f>IF(PROGRAMAS!A52="","",PROGRAMAS!AE52)</f>
        <v/>
      </c>
      <c r="J81" s="141" t="str">
        <f>IF(PROGRAMAS!A52="","",PROGRAMAS!AF52)</f>
        <v/>
      </c>
      <c r="K81" s="94" t="str">
        <f>IF(PROGRAMAS!A52="","",PROGRAMAS!I52)</f>
        <v/>
      </c>
    </row>
    <row r="82" ht="15.75" customHeight="1">
      <c r="A82" s="77" t="str">
        <f>IF(PROGRAMAS!A53="","",PROGRAMAS!A53)</f>
        <v/>
      </c>
      <c r="B82" s="93" t="str">
        <f>IF(PROGRAMAS!A53="","",PROGRAMAS!B53)</f>
        <v/>
      </c>
      <c r="C82" s="93" t="str">
        <f>IF(PROGRAMAS!A53="","",PROGRAMAS!AD53)</f>
        <v/>
      </c>
      <c r="D82" s="139" t="str">
        <f>IF(PROGRAMAS!A53="","",PROGRAMAS!AG53)</f>
        <v/>
      </c>
      <c r="E82" s="84" t="str">
        <f>IF(PROGRAMAS!A53="","",PROGRAMAS!D53)</f>
        <v/>
      </c>
      <c r="F82" s="121" t="str">
        <f>IF(PROGRAMAS!A53="","",PROGRAMAS!M53)</f>
        <v/>
      </c>
      <c r="G82" s="121" t="str">
        <f>IF(PROGRAMAS!A53="","",PROGRAMAS!W53)</f>
        <v/>
      </c>
      <c r="H82" s="122" t="str">
        <f>IF(PROGRAMAS!A53="","",PROGRAMAS!AA53)</f>
        <v/>
      </c>
      <c r="I82" s="140" t="str">
        <f>IF(PROGRAMAS!A53="","",PROGRAMAS!AE53)</f>
        <v/>
      </c>
      <c r="J82" s="141" t="str">
        <f>IF(PROGRAMAS!A53="","",PROGRAMAS!AF53)</f>
        <v/>
      </c>
      <c r="K82" s="94" t="str">
        <f>IF(PROGRAMAS!A53="","",PROGRAMAS!I53)</f>
        <v/>
      </c>
    </row>
    <row r="83" ht="15.75" customHeight="1">
      <c r="A83" s="77" t="str">
        <f>IF(PROGRAMAS!A54="","",PROGRAMAS!A54)</f>
        <v/>
      </c>
      <c r="B83" s="93" t="str">
        <f>IF(PROGRAMAS!A54="","",PROGRAMAS!B54)</f>
        <v/>
      </c>
      <c r="C83" s="93" t="str">
        <f>IF(PROGRAMAS!A54="","",PROGRAMAS!AD54)</f>
        <v/>
      </c>
      <c r="D83" s="139" t="str">
        <f>IF(PROGRAMAS!A54="","",PROGRAMAS!AG54)</f>
        <v/>
      </c>
      <c r="E83" s="84" t="str">
        <f>IF(PROGRAMAS!A54="","",PROGRAMAS!D54)</f>
        <v/>
      </c>
      <c r="F83" s="121" t="str">
        <f>IF(PROGRAMAS!A54="","",PROGRAMAS!M54)</f>
        <v/>
      </c>
      <c r="G83" s="121" t="str">
        <f>IF(PROGRAMAS!A54="","",PROGRAMAS!W54)</f>
        <v/>
      </c>
      <c r="H83" s="122" t="str">
        <f>IF(PROGRAMAS!A54="","",PROGRAMAS!AA54)</f>
        <v/>
      </c>
      <c r="I83" s="140" t="str">
        <f>IF(PROGRAMAS!A54="","",PROGRAMAS!AE54)</f>
        <v/>
      </c>
      <c r="J83" s="141" t="str">
        <f>IF(PROGRAMAS!A54="","",PROGRAMAS!AF54)</f>
        <v/>
      </c>
      <c r="K83" s="94" t="str">
        <f>IF(PROGRAMAS!A54="","",PROGRAMAS!I54)</f>
        <v/>
      </c>
    </row>
    <row r="84" ht="15.75" customHeight="1">
      <c r="A84" s="77" t="str">
        <f>IF(PROGRAMAS!A55="","",PROGRAMAS!A55)</f>
        <v/>
      </c>
      <c r="B84" s="93" t="str">
        <f>IF(PROGRAMAS!A55="","",PROGRAMAS!B55)</f>
        <v/>
      </c>
      <c r="C84" s="93" t="str">
        <f>IF(PROGRAMAS!A55="","",PROGRAMAS!AD55)</f>
        <v/>
      </c>
      <c r="D84" s="139" t="str">
        <f>IF(PROGRAMAS!A55="","",PROGRAMAS!AG55)</f>
        <v/>
      </c>
      <c r="E84" s="84" t="str">
        <f>IF(PROGRAMAS!A55="","",PROGRAMAS!D55)</f>
        <v/>
      </c>
      <c r="F84" s="121" t="str">
        <f>IF(PROGRAMAS!A55="","",PROGRAMAS!M55)</f>
        <v/>
      </c>
      <c r="G84" s="121" t="str">
        <f>IF(PROGRAMAS!A55="","",PROGRAMAS!W55)</f>
        <v/>
      </c>
      <c r="H84" s="122" t="str">
        <f>IF(PROGRAMAS!A55="","",PROGRAMAS!AA55)</f>
        <v/>
      </c>
      <c r="I84" s="140" t="str">
        <f>IF(PROGRAMAS!A55="","",PROGRAMAS!AE55)</f>
        <v/>
      </c>
      <c r="J84" s="141" t="str">
        <f>IF(PROGRAMAS!A55="","",PROGRAMAS!AF55)</f>
        <v/>
      </c>
      <c r="K84" s="94" t="str">
        <f>IF(PROGRAMAS!A55="","",PROGRAMAS!I55)</f>
        <v/>
      </c>
    </row>
    <row r="85" ht="15.75" customHeight="1">
      <c r="A85" s="77" t="str">
        <f>IF(PROGRAMAS!A56="","",PROGRAMAS!A56)</f>
        <v/>
      </c>
      <c r="B85" s="93" t="str">
        <f>IF(PROGRAMAS!A56="","",PROGRAMAS!B56)</f>
        <v/>
      </c>
      <c r="C85" s="93" t="str">
        <f>IF(PROGRAMAS!A56="","",PROGRAMAS!AD56)</f>
        <v/>
      </c>
      <c r="D85" s="139" t="str">
        <f>IF(PROGRAMAS!A56="","",PROGRAMAS!AG56)</f>
        <v/>
      </c>
      <c r="E85" s="84" t="str">
        <f>IF(PROGRAMAS!A56="","",PROGRAMAS!D56)</f>
        <v/>
      </c>
      <c r="F85" s="121" t="str">
        <f>IF(PROGRAMAS!A56="","",PROGRAMAS!M56)</f>
        <v/>
      </c>
      <c r="G85" s="121" t="str">
        <f>IF(PROGRAMAS!A56="","",PROGRAMAS!W56)</f>
        <v/>
      </c>
      <c r="H85" s="122" t="str">
        <f>IF(PROGRAMAS!A56="","",PROGRAMAS!AA56)</f>
        <v/>
      </c>
      <c r="I85" s="140" t="str">
        <f>IF(PROGRAMAS!A56="","",PROGRAMAS!AE56)</f>
        <v/>
      </c>
      <c r="J85" s="141" t="str">
        <f>IF(PROGRAMAS!A56="","",PROGRAMAS!AF56)</f>
        <v/>
      </c>
      <c r="K85" s="94" t="str">
        <f>IF(PROGRAMAS!A56="","",PROGRAMAS!I56)</f>
        <v/>
      </c>
    </row>
    <row r="86" ht="15.75" customHeight="1">
      <c r="A86" s="77" t="str">
        <f>IF(PROGRAMAS!A57="","",PROGRAMAS!A57)</f>
        <v/>
      </c>
      <c r="B86" s="93" t="str">
        <f>IF(PROGRAMAS!A57="","",PROGRAMAS!B57)</f>
        <v/>
      </c>
      <c r="C86" s="93" t="str">
        <f>IF(PROGRAMAS!A57="","",PROGRAMAS!AD57)</f>
        <v/>
      </c>
      <c r="D86" s="139" t="str">
        <f>IF(PROGRAMAS!A57="","",PROGRAMAS!AG57)</f>
        <v/>
      </c>
      <c r="E86" s="84" t="str">
        <f>IF(PROGRAMAS!A57="","",PROGRAMAS!D57)</f>
        <v/>
      </c>
      <c r="F86" s="121" t="str">
        <f>IF(PROGRAMAS!A57="","",PROGRAMAS!M57)</f>
        <v/>
      </c>
      <c r="G86" s="121" t="str">
        <f>IF(PROGRAMAS!A57="","",PROGRAMAS!W57)</f>
        <v/>
      </c>
      <c r="H86" s="122" t="str">
        <f>IF(PROGRAMAS!A57="","",PROGRAMAS!AA57)</f>
        <v/>
      </c>
      <c r="I86" s="140" t="str">
        <f>IF(PROGRAMAS!A57="","",PROGRAMAS!AE57)</f>
        <v/>
      </c>
      <c r="J86" s="141" t="str">
        <f>IF(PROGRAMAS!A57="","",PROGRAMAS!AF57)</f>
        <v/>
      </c>
      <c r="K86" s="94" t="str">
        <f>IF(PROGRAMAS!A57="","",PROGRAMAS!I57)</f>
        <v/>
      </c>
    </row>
    <row r="87" ht="15.75" customHeight="1">
      <c r="A87" s="77" t="str">
        <f>IF(PROGRAMAS!A58="","",PROGRAMAS!A58)</f>
        <v/>
      </c>
      <c r="B87" s="93" t="str">
        <f>IF(PROGRAMAS!A58="","",PROGRAMAS!B58)</f>
        <v/>
      </c>
      <c r="C87" s="93" t="str">
        <f>IF(PROGRAMAS!A58="","",PROGRAMAS!AD58)</f>
        <v/>
      </c>
      <c r="D87" s="139" t="str">
        <f>IF(PROGRAMAS!A58="","",PROGRAMAS!AG58)</f>
        <v/>
      </c>
      <c r="E87" s="84" t="str">
        <f>IF(PROGRAMAS!A58="","",PROGRAMAS!D58)</f>
        <v/>
      </c>
      <c r="F87" s="121" t="str">
        <f>IF(PROGRAMAS!A58="","",PROGRAMAS!M58)</f>
        <v/>
      </c>
      <c r="G87" s="121" t="str">
        <f>IF(PROGRAMAS!A58="","",PROGRAMAS!W58)</f>
        <v/>
      </c>
      <c r="H87" s="122" t="str">
        <f>IF(PROGRAMAS!A58="","",PROGRAMAS!AA58)</f>
        <v/>
      </c>
      <c r="I87" s="140" t="str">
        <f>IF(PROGRAMAS!A58="","",PROGRAMAS!AE58)</f>
        <v/>
      </c>
      <c r="J87" s="141" t="str">
        <f>IF(PROGRAMAS!A58="","",PROGRAMAS!AF58)</f>
        <v/>
      </c>
      <c r="K87" s="94" t="str">
        <f>IF(PROGRAMAS!A58="","",PROGRAMAS!I58)</f>
        <v/>
      </c>
    </row>
    <row r="88" ht="15.75" customHeight="1">
      <c r="A88" s="77" t="str">
        <f>IF(PROGRAMAS!A59="","",PROGRAMAS!A59)</f>
        <v/>
      </c>
      <c r="B88" s="93" t="str">
        <f>IF(PROGRAMAS!A59="","",PROGRAMAS!B59)</f>
        <v/>
      </c>
      <c r="C88" s="93" t="str">
        <f>IF(PROGRAMAS!A59="","",PROGRAMAS!AD59)</f>
        <v/>
      </c>
      <c r="D88" s="139" t="str">
        <f>IF(PROGRAMAS!A59="","",PROGRAMAS!AG59)</f>
        <v/>
      </c>
      <c r="E88" s="84" t="str">
        <f>IF(PROGRAMAS!A59="","",PROGRAMAS!D59)</f>
        <v/>
      </c>
      <c r="F88" s="121" t="str">
        <f>IF(PROGRAMAS!A59="","",PROGRAMAS!M59)</f>
        <v/>
      </c>
      <c r="G88" s="121" t="str">
        <f>IF(PROGRAMAS!A59="","",PROGRAMAS!W59)</f>
        <v/>
      </c>
      <c r="H88" s="122" t="str">
        <f>IF(PROGRAMAS!A59="","",PROGRAMAS!AA59)</f>
        <v/>
      </c>
      <c r="I88" s="140" t="str">
        <f>IF(PROGRAMAS!A59="","",PROGRAMAS!AE59)</f>
        <v/>
      </c>
      <c r="J88" s="141" t="str">
        <f>IF(PROGRAMAS!A59="","",PROGRAMAS!AF59)</f>
        <v/>
      </c>
      <c r="K88" s="94" t="str">
        <f>IF(PROGRAMAS!A59="","",PROGRAMAS!I59)</f>
        <v/>
      </c>
    </row>
    <row r="89" ht="15.75" customHeight="1">
      <c r="A89" s="77" t="str">
        <f>IF(PROGRAMAS!A60="","",PROGRAMAS!A60)</f>
        <v/>
      </c>
      <c r="B89" s="93" t="str">
        <f>IF(PROGRAMAS!A60="","",PROGRAMAS!B60)</f>
        <v/>
      </c>
      <c r="C89" s="93" t="str">
        <f>IF(PROGRAMAS!A60="","",PROGRAMAS!AD60)</f>
        <v/>
      </c>
      <c r="D89" s="139" t="str">
        <f>IF(PROGRAMAS!A60="","",PROGRAMAS!AG60)</f>
        <v/>
      </c>
      <c r="E89" s="84" t="str">
        <f>IF(PROGRAMAS!A60="","",PROGRAMAS!D60)</f>
        <v/>
      </c>
      <c r="F89" s="121" t="str">
        <f>IF(PROGRAMAS!A60="","",PROGRAMAS!M60)</f>
        <v/>
      </c>
      <c r="G89" s="121" t="str">
        <f>IF(PROGRAMAS!A60="","",PROGRAMAS!W60)</f>
        <v/>
      </c>
      <c r="H89" s="122" t="str">
        <f>IF(PROGRAMAS!A60="","",PROGRAMAS!AA60)</f>
        <v/>
      </c>
      <c r="I89" s="140" t="str">
        <f>IF(PROGRAMAS!A60="","",PROGRAMAS!AE60)</f>
        <v/>
      </c>
      <c r="J89" s="141" t="str">
        <f>IF(PROGRAMAS!A60="","",PROGRAMAS!AF60)</f>
        <v/>
      </c>
      <c r="K89" s="94" t="str">
        <f>IF(PROGRAMAS!A60="","",PROGRAMAS!I60)</f>
        <v/>
      </c>
    </row>
    <row r="90" ht="15.75" customHeight="1">
      <c r="A90" s="77" t="str">
        <f>IF(PROGRAMAS!A61="","",PROGRAMAS!A61)</f>
        <v/>
      </c>
      <c r="B90" s="93" t="str">
        <f>IF(PROGRAMAS!A61="","",PROGRAMAS!B61)</f>
        <v/>
      </c>
      <c r="C90" s="93" t="str">
        <f>IF(PROGRAMAS!A61="","",PROGRAMAS!AD61)</f>
        <v/>
      </c>
      <c r="D90" s="139" t="str">
        <f>IF(PROGRAMAS!A61="","",PROGRAMAS!AG61)</f>
        <v/>
      </c>
      <c r="E90" s="84" t="str">
        <f>IF(PROGRAMAS!A61="","",PROGRAMAS!D61)</f>
        <v/>
      </c>
      <c r="F90" s="121" t="str">
        <f>IF(PROGRAMAS!A61="","",PROGRAMAS!M61)</f>
        <v/>
      </c>
      <c r="G90" s="121" t="str">
        <f>IF(PROGRAMAS!A61="","",PROGRAMAS!W61)</f>
        <v/>
      </c>
      <c r="H90" s="122" t="str">
        <f>IF(PROGRAMAS!A61="","",PROGRAMAS!AA61)</f>
        <v/>
      </c>
      <c r="I90" s="140" t="str">
        <f>IF(PROGRAMAS!A61="","",PROGRAMAS!AE61)</f>
        <v/>
      </c>
      <c r="J90" s="141" t="str">
        <f>IF(PROGRAMAS!A61="","",PROGRAMAS!AF61)</f>
        <v/>
      </c>
      <c r="K90" s="94" t="str">
        <f>IF(PROGRAMAS!A61="","",PROGRAMAS!I61)</f>
        <v/>
      </c>
    </row>
    <row r="91" ht="15.75" customHeight="1">
      <c r="A91" s="77" t="str">
        <f>IF(PROGRAMAS!A62="","",PROGRAMAS!A62)</f>
        <v/>
      </c>
      <c r="B91" s="93" t="str">
        <f>IF(PROGRAMAS!A62="","",PROGRAMAS!B62)</f>
        <v/>
      </c>
      <c r="C91" s="93" t="str">
        <f>IF(PROGRAMAS!A62="","",PROGRAMAS!AD62)</f>
        <v/>
      </c>
      <c r="D91" s="139" t="str">
        <f>IF(PROGRAMAS!A62="","",PROGRAMAS!AG62)</f>
        <v/>
      </c>
      <c r="E91" s="84" t="str">
        <f>IF(PROGRAMAS!A62="","",PROGRAMAS!D62)</f>
        <v/>
      </c>
      <c r="F91" s="121" t="str">
        <f>IF(PROGRAMAS!A62="","",PROGRAMAS!M62)</f>
        <v/>
      </c>
      <c r="G91" s="121" t="str">
        <f>IF(PROGRAMAS!A62="","",PROGRAMAS!W62)</f>
        <v/>
      </c>
      <c r="H91" s="122" t="str">
        <f>IF(PROGRAMAS!A62="","",PROGRAMAS!AA62)</f>
        <v/>
      </c>
      <c r="I91" s="140" t="str">
        <f>IF(PROGRAMAS!A62="","",PROGRAMAS!AE62)</f>
        <v/>
      </c>
      <c r="J91" s="141" t="str">
        <f>IF(PROGRAMAS!A62="","",PROGRAMAS!AF62)</f>
        <v/>
      </c>
      <c r="K91" s="94" t="str">
        <f>IF(PROGRAMAS!A62="","",PROGRAMAS!I62)</f>
        <v/>
      </c>
    </row>
    <row r="92" ht="15.75" customHeight="1">
      <c r="A92" s="77" t="str">
        <f>IF(PROGRAMAS!A63="","",PROGRAMAS!A63)</f>
        <v/>
      </c>
      <c r="B92" s="93" t="str">
        <f>IF(PROGRAMAS!A63="","",PROGRAMAS!B63)</f>
        <v/>
      </c>
      <c r="C92" s="93" t="str">
        <f>IF(PROGRAMAS!A63="","",PROGRAMAS!AD63)</f>
        <v/>
      </c>
      <c r="D92" s="139" t="str">
        <f>IF(PROGRAMAS!A63="","",PROGRAMAS!AG63)</f>
        <v/>
      </c>
      <c r="E92" s="84" t="str">
        <f>IF(PROGRAMAS!A63="","",PROGRAMAS!D63)</f>
        <v/>
      </c>
      <c r="F92" s="121" t="str">
        <f>IF(PROGRAMAS!A63="","",PROGRAMAS!M63)</f>
        <v/>
      </c>
      <c r="G92" s="121" t="str">
        <f>IF(PROGRAMAS!A63="","",PROGRAMAS!W63)</f>
        <v/>
      </c>
      <c r="H92" s="122" t="str">
        <f>IF(PROGRAMAS!A63="","",PROGRAMAS!AA63)</f>
        <v/>
      </c>
      <c r="I92" s="140" t="str">
        <f>IF(PROGRAMAS!A63="","",PROGRAMAS!AE63)</f>
        <v/>
      </c>
      <c r="J92" s="141" t="str">
        <f>IF(PROGRAMAS!A63="","",PROGRAMAS!AF63)</f>
        <v/>
      </c>
      <c r="K92" s="94" t="str">
        <f>IF(PROGRAMAS!A63="","",PROGRAMAS!I63)</f>
        <v/>
      </c>
    </row>
    <row r="93" ht="15.75" customHeight="1">
      <c r="A93" s="77" t="str">
        <f>IF(PROGRAMAS!A64="","",PROGRAMAS!A64)</f>
        <v/>
      </c>
      <c r="B93" s="93" t="str">
        <f>IF(PROGRAMAS!A64="","",PROGRAMAS!B64)</f>
        <v/>
      </c>
      <c r="C93" s="93" t="str">
        <f>IF(PROGRAMAS!A64="","",PROGRAMAS!AD64)</f>
        <v/>
      </c>
      <c r="D93" s="139" t="str">
        <f>IF(PROGRAMAS!A64="","",PROGRAMAS!AG64)</f>
        <v/>
      </c>
      <c r="E93" s="84" t="str">
        <f>IF(PROGRAMAS!A64="","",PROGRAMAS!D64)</f>
        <v/>
      </c>
      <c r="F93" s="121" t="str">
        <f>IF(PROGRAMAS!A64="","",PROGRAMAS!M64)</f>
        <v/>
      </c>
      <c r="G93" s="121" t="str">
        <f>IF(PROGRAMAS!A64="","",PROGRAMAS!W64)</f>
        <v/>
      </c>
      <c r="H93" s="122" t="str">
        <f>IF(PROGRAMAS!A64="","",PROGRAMAS!AA64)</f>
        <v/>
      </c>
      <c r="I93" s="140" t="str">
        <f>IF(PROGRAMAS!A64="","",PROGRAMAS!AE64)</f>
        <v/>
      </c>
      <c r="J93" s="141" t="str">
        <f>IF(PROGRAMAS!A64="","",PROGRAMAS!AF64)</f>
        <v/>
      </c>
      <c r="K93" s="94" t="str">
        <f>IF(PROGRAMAS!A64="","",PROGRAMAS!I64)</f>
        <v/>
      </c>
    </row>
    <row r="94" ht="15.75" customHeight="1">
      <c r="A94" s="77" t="str">
        <f>IF(PROGRAMAS!A65="","",PROGRAMAS!A65)</f>
        <v/>
      </c>
      <c r="B94" s="93" t="str">
        <f>IF(PROGRAMAS!A65="","",PROGRAMAS!B65)</f>
        <v/>
      </c>
      <c r="C94" s="93" t="str">
        <f>IF(PROGRAMAS!A65="","",PROGRAMAS!AD65)</f>
        <v/>
      </c>
      <c r="D94" s="139" t="str">
        <f>IF(PROGRAMAS!A65="","",PROGRAMAS!AG65)</f>
        <v/>
      </c>
      <c r="E94" s="84" t="str">
        <f>IF(PROGRAMAS!A65="","",PROGRAMAS!D65)</f>
        <v/>
      </c>
      <c r="F94" s="121" t="str">
        <f>IF(PROGRAMAS!A65="","",PROGRAMAS!M65)</f>
        <v/>
      </c>
      <c r="G94" s="121" t="str">
        <f>IF(PROGRAMAS!A65="","",PROGRAMAS!W65)</f>
        <v/>
      </c>
      <c r="H94" s="122" t="str">
        <f>IF(PROGRAMAS!A65="","",PROGRAMAS!AA65)</f>
        <v/>
      </c>
      <c r="I94" s="140" t="str">
        <f>IF(PROGRAMAS!A65="","",PROGRAMAS!AE65)</f>
        <v/>
      </c>
      <c r="J94" s="141" t="str">
        <f>IF(PROGRAMAS!A65="","",PROGRAMAS!AF65)</f>
        <v/>
      </c>
      <c r="K94" s="94" t="str">
        <f>IF(PROGRAMAS!A65="","",PROGRAMAS!I65)</f>
        <v/>
      </c>
    </row>
    <row r="95" ht="15.75" customHeight="1">
      <c r="A95" s="77" t="str">
        <f>IF(PROGRAMAS!A66="","",PROGRAMAS!A66)</f>
        <v/>
      </c>
      <c r="B95" s="93" t="str">
        <f>IF(PROGRAMAS!A66="","",PROGRAMAS!B66)</f>
        <v/>
      </c>
      <c r="C95" s="93" t="str">
        <f>IF(PROGRAMAS!A66="","",PROGRAMAS!AD66)</f>
        <v/>
      </c>
      <c r="D95" s="139" t="str">
        <f>IF(PROGRAMAS!A66="","",PROGRAMAS!AG66)</f>
        <v/>
      </c>
      <c r="E95" s="84" t="str">
        <f>IF(PROGRAMAS!A66="","",PROGRAMAS!D66)</f>
        <v/>
      </c>
      <c r="F95" s="121" t="str">
        <f>IF(PROGRAMAS!A66="","",PROGRAMAS!M66)</f>
        <v/>
      </c>
      <c r="G95" s="121" t="str">
        <f>IF(PROGRAMAS!A66="","",PROGRAMAS!W66)</f>
        <v/>
      </c>
      <c r="H95" s="122" t="str">
        <f>IF(PROGRAMAS!A66="","",PROGRAMAS!AA66)</f>
        <v/>
      </c>
      <c r="I95" s="140" t="str">
        <f>IF(PROGRAMAS!A66="","",PROGRAMAS!AE66)</f>
        <v/>
      </c>
      <c r="J95" s="141" t="str">
        <f>IF(PROGRAMAS!A66="","",PROGRAMAS!AF66)</f>
        <v/>
      </c>
      <c r="K95" s="94" t="str">
        <f>IF(PROGRAMAS!A66="","",PROGRAMAS!I66)</f>
        <v/>
      </c>
    </row>
    <row r="96" ht="15.75" customHeight="1">
      <c r="A96" s="77" t="str">
        <f>IF(PROGRAMAS!A67="","",PROGRAMAS!A67)</f>
        <v/>
      </c>
      <c r="B96" s="93" t="str">
        <f>IF(PROGRAMAS!A67="","",PROGRAMAS!B67)</f>
        <v/>
      </c>
      <c r="C96" s="93" t="str">
        <f>IF(PROGRAMAS!A67="","",PROGRAMAS!AD67)</f>
        <v/>
      </c>
      <c r="D96" s="139" t="str">
        <f>IF(PROGRAMAS!A67="","",PROGRAMAS!AG67)</f>
        <v/>
      </c>
      <c r="E96" s="84" t="str">
        <f>IF(PROGRAMAS!A67="","",PROGRAMAS!D67)</f>
        <v/>
      </c>
      <c r="F96" s="121" t="str">
        <f>IF(PROGRAMAS!A67="","",PROGRAMAS!M67)</f>
        <v/>
      </c>
      <c r="G96" s="121" t="str">
        <f>IF(PROGRAMAS!A67="","",PROGRAMAS!W67)</f>
        <v/>
      </c>
      <c r="H96" s="122" t="str">
        <f>IF(PROGRAMAS!A67="","",PROGRAMAS!AA67)</f>
        <v/>
      </c>
      <c r="I96" s="140" t="str">
        <f>IF(PROGRAMAS!A67="","",PROGRAMAS!AE67)</f>
        <v/>
      </c>
      <c r="J96" s="141" t="str">
        <f>IF(PROGRAMAS!A67="","",PROGRAMAS!AF67)</f>
        <v/>
      </c>
      <c r="K96" s="94" t="str">
        <f>IF(PROGRAMAS!A67="","",PROGRAMAS!I67)</f>
        <v/>
      </c>
    </row>
    <row r="97" ht="15.75" customHeight="1">
      <c r="A97" s="77" t="str">
        <f>IF(PROGRAMAS!A68="","",PROGRAMAS!A68)</f>
        <v/>
      </c>
      <c r="B97" s="93" t="str">
        <f>IF(PROGRAMAS!A68="","",PROGRAMAS!B68)</f>
        <v/>
      </c>
      <c r="C97" s="93" t="str">
        <f>IF(PROGRAMAS!A68="","",PROGRAMAS!AD68)</f>
        <v/>
      </c>
      <c r="D97" s="139" t="str">
        <f>IF(PROGRAMAS!A68="","",PROGRAMAS!AG68)</f>
        <v/>
      </c>
      <c r="E97" s="84" t="str">
        <f>IF(PROGRAMAS!A68="","",PROGRAMAS!D68)</f>
        <v/>
      </c>
      <c r="F97" s="121" t="str">
        <f>IF(PROGRAMAS!A68="","",PROGRAMAS!M68)</f>
        <v/>
      </c>
      <c r="G97" s="121" t="str">
        <f>IF(PROGRAMAS!A68="","",PROGRAMAS!W68)</f>
        <v/>
      </c>
      <c r="H97" s="122" t="str">
        <f>IF(PROGRAMAS!A68="","",PROGRAMAS!AA68)</f>
        <v/>
      </c>
      <c r="I97" s="140" t="str">
        <f>IF(PROGRAMAS!A68="","",PROGRAMAS!AE68)</f>
        <v/>
      </c>
      <c r="J97" s="141" t="str">
        <f>IF(PROGRAMAS!A68="","",PROGRAMAS!AF68)</f>
        <v/>
      </c>
      <c r="K97" s="94" t="str">
        <f>IF(PROGRAMAS!A68="","",PROGRAMAS!I68)</f>
        <v/>
      </c>
    </row>
    <row r="98" ht="15.75" customHeight="1">
      <c r="A98" s="77" t="str">
        <f>IF(PROGRAMAS!A69="","",PROGRAMAS!A69)</f>
        <v/>
      </c>
      <c r="B98" s="93" t="str">
        <f>IF(PROGRAMAS!A69="","",PROGRAMAS!B69)</f>
        <v/>
      </c>
      <c r="C98" s="93" t="str">
        <f>IF(PROGRAMAS!A69="","",PROGRAMAS!AD69)</f>
        <v/>
      </c>
      <c r="D98" s="139" t="str">
        <f>IF(PROGRAMAS!A69="","",PROGRAMAS!AG69)</f>
        <v/>
      </c>
      <c r="E98" s="84" t="str">
        <f>IF(PROGRAMAS!A69="","",PROGRAMAS!D69)</f>
        <v/>
      </c>
      <c r="F98" s="121" t="str">
        <f>IF(PROGRAMAS!A69="","",PROGRAMAS!M69)</f>
        <v/>
      </c>
      <c r="G98" s="121" t="str">
        <f>IF(PROGRAMAS!A69="","",PROGRAMAS!W69)</f>
        <v/>
      </c>
      <c r="H98" s="122" t="str">
        <f>IF(PROGRAMAS!A69="","",PROGRAMAS!AA69)</f>
        <v/>
      </c>
      <c r="I98" s="140" t="str">
        <f>IF(PROGRAMAS!A69="","",PROGRAMAS!AE69)</f>
        <v/>
      </c>
      <c r="J98" s="141" t="str">
        <f>IF(PROGRAMAS!A69="","",PROGRAMAS!AF69)</f>
        <v/>
      </c>
      <c r="K98" s="94" t="str">
        <f>IF(PROGRAMAS!A69="","",PROGRAMAS!I69)</f>
        <v/>
      </c>
    </row>
    <row r="99" ht="15.75" customHeight="1">
      <c r="A99" s="77" t="str">
        <f>IF(PROGRAMAS!A70="","",PROGRAMAS!A70)</f>
        <v/>
      </c>
      <c r="B99" s="93" t="str">
        <f>IF(PROGRAMAS!A70="","",PROGRAMAS!B70)</f>
        <v/>
      </c>
      <c r="C99" s="93" t="str">
        <f>IF(PROGRAMAS!A70="","",PROGRAMAS!AD70)</f>
        <v/>
      </c>
      <c r="D99" s="139" t="str">
        <f>IF(PROGRAMAS!A70="","",PROGRAMAS!AG70)</f>
        <v/>
      </c>
      <c r="E99" s="84" t="str">
        <f>IF(PROGRAMAS!A70="","",PROGRAMAS!D70)</f>
        <v/>
      </c>
      <c r="F99" s="121" t="str">
        <f>IF(PROGRAMAS!A70="","",PROGRAMAS!M70)</f>
        <v/>
      </c>
      <c r="G99" s="121" t="str">
        <f>IF(PROGRAMAS!A70="","",PROGRAMAS!W70)</f>
        <v/>
      </c>
      <c r="H99" s="122" t="str">
        <f>IF(PROGRAMAS!A70="","",PROGRAMAS!AA70)</f>
        <v/>
      </c>
      <c r="I99" s="140" t="str">
        <f>IF(PROGRAMAS!A70="","",PROGRAMAS!AE70)</f>
        <v/>
      </c>
      <c r="J99" s="141" t="str">
        <f>IF(PROGRAMAS!A70="","",PROGRAMAS!AF70)</f>
        <v/>
      </c>
      <c r="K99" s="94" t="str">
        <f>IF(PROGRAMAS!A70="","",PROGRAMAS!I70)</f>
        <v/>
      </c>
    </row>
    <row r="100" ht="15.75" customHeight="1">
      <c r="A100" s="77" t="str">
        <f>IF(PROGRAMAS!A71="","",PROGRAMAS!A71)</f>
        <v/>
      </c>
      <c r="B100" s="93" t="str">
        <f>IF(PROGRAMAS!A71="","",PROGRAMAS!B71)</f>
        <v/>
      </c>
      <c r="C100" s="93" t="str">
        <f>IF(PROGRAMAS!A71="","",PROGRAMAS!AD71)</f>
        <v/>
      </c>
      <c r="D100" s="139" t="str">
        <f>IF(PROGRAMAS!A71="","",PROGRAMAS!AG71)</f>
        <v/>
      </c>
      <c r="E100" s="84" t="str">
        <f>IF(PROGRAMAS!A71="","",PROGRAMAS!D71)</f>
        <v/>
      </c>
      <c r="F100" s="121" t="str">
        <f>IF(PROGRAMAS!A71="","",PROGRAMAS!M71)</f>
        <v/>
      </c>
      <c r="G100" s="121" t="str">
        <f>IF(PROGRAMAS!A71="","",PROGRAMAS!W71)</f>
        <v/>
      </c>
      <c r="H100" s="122" t="str">
        <f>IF(PROGRAMAS!A71="","",PROGRAMAS!AA71)</f>
        <v/>
      </c>
      <c r="I100" s="140" t="str">
        <f>IF(PROGRAMAS!A71="","",PROGRAMAS!AE71)</f>
        <v/>
      </c>
      <c r="J100" s="141" t="str">
        <f>IF(PROGRAMAS!A71="","",PROGRAMAS!AF71)</f>
        <v/>
      </c>
      <c r="K100" s="94" t="str">
        <f>IF(PROGRAMAS!A71="","",PROGRAMAS!I71)</f>
        <v/>
      </c>
    </row>
    <row r="101" ht="15.75" customHeight="1">
      <c r="A101" s="77" t="str">
        <f>IF(PROGRAMAS!A72="","",PROGRAMAS!A72)</f>
        <v/>
      </c>
      <c r="B101" s="93" t="str">
        <f>IF(PROGRAMAS!A72="","",PROGRAMAS!B72)</f>
        <v/>
      </c>
      <c r="C101" s="93" t="str">
        <f>IF(PROGRAMAS!A72="","",PROGRAMAS!AD72)</f>
        <v/>
      </c>
      <c r="D101" s="139" t="str">
        <f>IF(PROGRAMAS!A72="","",PROGRAMAS!AG72)</f>
        <v/>
      </c>
      <c r="E101" s="84" t="str">
        <f>IF(PROGRAMAS!A72="","",PROGRAMAS!D72)</f>
        <v/>
      </c>
      <c r="F101" s="121" t="str">
        <f>IF(PROGRAMAS!A72="","",PROGRAMAS!M72)</f>
        <v/>
      </c>
      <c r="G101" s="121" t="str">
        <f>IF(PROGRAMAS!A72="","",PROGRAMAS!W72)</f>
        <v/>
      </c>
      <c r="H101" s="122" t="str">
        <f>IF(PROGRAMAS!A72="","",PROGRAMAS!AA72)</f>
        <v/>
      </c>
      <c r="I101" s="140" t="str">
        <f>IF(PROGRAMAS!A72="","",PROGRAMAS!AE72)</f>
        <v/>
      </c>
      <c r="J101" s="141" t="str">
        <f>IF(PROGRAMAS!A72="","",PROGRAMAS!AF72)</f>
        <v/>
      </c>
      <c r="K101" s="94" t="str">
        <f>IF(PROGRAMAS!A72="","",PROGRAMAS!I72)</f>
        <v/>
      </c>
    </row>
    <row r="102" ht="15.75" customHeight="1">
      <c r="A102" s="77" t="str">
        <f>IF(PROGRAMAS!A73="","",PROGRAMAS!A73)</f>
        <v/>
      </c>
      <c r="B102" s="93" t="str">
        <f>IF(PROGRAMAS!A73="","",PROGRAMAS!B73)</f>
        <v/>
      </c>
      <c r="C102" s="93" t="str">
        <f>IF(PROGRAMAS!A73="","",PROGRAMAS!AD73)</f>
        <v/>
      </c>
      <c r="D102" s="139" t="str">
        <f>IF(PROGRAMAS!A73="","",PROGRAMAS!AG73)</f>
        <v/>
      </c>
      <c r="E102" s="84" t="str">
        <f>IF(PROGRAMAS!A73="","",PROGRAMAS!D73)</f>
        <v/>
      </c>
      <c r="F102" s="121" t="str">
        <f>IF(PROGRAMAS!A73="","",PROGRAMAS!M73)</f>
        <v/>
      </c>
      <c r="G102" s="121" t="str">
        <f>IF(PROGRAMAS!A73="","",PROGRAMAS!W73)</f>
        <v/>
      </c>
      <c r="H102" s="122" t="str">
        <f>IF(PROGRAMAS!A73="","",PROGRAMAS!AA73)</f>
        <v/>
      </c>
      <c r="I102" s="140" t="str">
        <f>IF(PROGRAMAS!A73="","",PROGRAMAS!AE73)</f>
        <v/>
      </c>
      <c r="J102" s="141" t="str">
        <f>IF(PROGRAMAS!A73="","",PROGRAMAS!AF73)</f>
        <v/>
      </c>
      <c r="K102" s="94" t="str">
        <f>IF(PROGRAMAS!A73="","",PROGRAMAS!I73)</f>
        <v/>
      </c>
    </row>
    <row r="103" ht="15.75" customHeight="1">
      <c r="A103" s="77" t="str">
        <f>IF(PROGRAMAS!A74="","",PROGRAMAS!A74)</f>
        <v/>
      </c>
      <c r="B103" s="93" t="str">
        <f>IF(PROGRAMAS!A74="","",PROGRAMAS!B74)</f>
        <v/>
      </c>
      <c r="C103" s="93" t="str">
        <f>IF(PROGRAMAS!A74="","",PROGRAMAS!AD74)</f>
        <v/>
      </c>
      <c r="D103" s="139" t="str">
        <f>IF(PROGRAMAS!A74="","",PROGRAMAS!AG74)</f>
        <v/>
      </c>
      <c r="E103" s="84" t="str">
        <f>IF(PROGRAMAS!A74="","",PROGRAMAS!D74)</f>
        <v/>
      </c>
      <c r="F103" s="121" t="str">
        <f>IF(PROGRAMAS!A74="","",PROGRAMAS!M74)</f>
        <v/>
      </c>
      <c r="G103" s="121" t="str">
        <f>IF(PROGRAMAS!A74="","",PROGRAMAS!W74)</f>
        <v/>
      </c>
      <c r="H103" s="122" t="str">
        <f>IF(PROGRAMAS!A74="","",PROGRAMAS!AA74)</f>
        <v/>
      </c>
      <c r="I103" s="140" t="str">
        <f>IF(PROGRAMAS!A74="","",PROGRAMAS!AE74)</f>
        <v/>
      </c>
      <c r="J103" s="141" t="str">
        <f>IF(PROGRAMAS!A74="","",PROGRAMAS!AF74)</f>
        <v/>
      </c>
      <c r="K103" s="94" t="str">
        <f>IF(PROGRAMAS!A74="","",PROGRAMAS!I74)</f>
        <v/>
      </c>
    </row>
    <row r="104" ht="15.75" customHeight="1">
      <c r="A104" s="77" t="str">
        <f>IF(PROGRAMAS!A75="","",PROGRAMAS!A75)</f>
        <v/>
      </c>
      <c r="B104" s="93" t="str">
        <f>IF(PROGRAMAS!A75="","",PROGRAMAS!B75)</f>
        <v/>
      </c>
      <c r="C104" s="93" t="str">
        <f>IF(PROGRAMAS!A75="","",PROGRAMAS!AD75)</f>
        <v/>
      </c>
      <c r="D104" s="139" t="str">
        <f>IF(PROGRAMAS!A75="","",PROGRAMAS!AG75)</f>
        <v/>
      </c>
      <c r="E104" s="84" t="str">
        <f>IF(PROGRAMAS!A75="","",PROGRAMAS!D75)</f>
        <v/>
      </c>
      <c r="F104" s="121" t="str">
        <f>IF(PROGRAMAS!A75="","",PROGRAMAS!M75)</f>
        <v/>
      </c>
      <c r="G104" s="121" t="str">
        <f>IF(PROGRAMAS!A75="","",PROGRAMAS!W75)</f>
        <v/>
      </c>
      <c r="H104" s="122" t="str">
        <f>IF(PROGRAMAS!A75="","",PROGRAMAS!AA75)</f>
        <v/>
      </c>
      <c r="I104" s="140" t="str">
        <f>IF(PROGRAMAS!A75="","",PROGRAMAS!AE75)</f>
        <v/>
      </c>
      <c r="J104" s="141" t="str">
        <f>IF(PROGRAMAS!A75="","",PROGRAMAS!AF75)</f>
        <v/>
      </c>
      <c r="K104" s="94" t="str">
        <f>IF(PROGRAMAS!A75="","",PROGRAMAS!I75)</f>
        <v/>
      </c>
    </row>
    <row r="105" ht="15.75" customHeight="1">
      <c r="A105" s="77" t="str">
        <f>IF(PROGRAMAS!A76="","",PROGRAMAS!A76)</f>
        <v/>
      </c>
      <c r="B105" s="93" t="str">
        <f>IF(PROGRAMAS!A76="","",PROGRAMAS!B76)</f>
        <v/>
      </c>
      <c r="C105" s="93" t="str">
        <f>IF(PROGRAMAS!A76="","",PROGRAMAS!AD76)</f>
        <v/>
      </c>
      <c r="D105" s="139" t="str">
        <f>IF(PROGRAMAS!A76="","",PROGRAMAS!AG76)</f>
        <v/>
      </c>
      <c r="E105" s="84" t="str">
        <f>IF(PROGRAMAS!A76="","",PROGRAMAS!D76)</f>
        <v/>
      </c>
      <c r="F105" s="121" t="str">
        <f>IF(PROGRAMAS!A76="","",PROGRAMAS!M76)</f>
        <v/>
      </c>
      <c r="G105" s="121" t="str">
        <f>IF(PROGRAMAS!A76="","",PROGRAMAS!W76)</f>
        <v/>
      </c>
      <c r="H105" s="122" t="str">
        <f>IF(PROGRAMAS!A76="","",PROGRAMAS!AA76)</f>
        <v/>
      </c>
      <c r="I105" s="140" t="str">
        <f>IF(PROGRAMAS!A76="","",PROGRAMAS!AE76)</f>
        <v/>
      </c>
      <c r="J105" s="141" t="str">
        <f>IF(PROGRAMAS!A76="","",PROGRAMAS!AF76)</f>
        <v/>
      </c>
      <c r="K105" s="94" t="str">
        <f>IF(PROGRAMAS!A76="","",PROGRAMAS!I76)</f>
        <v/>
      </c>
    </row>
    <row r="106" ht="15.75" customHeight="1">
      <c r="A106" s="77" t="str">
        <f>IF(PROGRAMAS!A77="","",PROGRAMAS!A77)</f>
        <v/>
      </c>
      <c r="B106" s="93" t="str">
        <f>IF(PROGRAMAS!A77="","",PROGRAMAS!B77)</f>
        <v/>
      </c>
      <c r="C106" s="93" t="str">
        <f>IF(PROGRAMAS!A77="","",PROGRAMAS!AD77)</f>
        <v/>
      </c>
      <c r="D106" s="139" t="str">
        <f>IF(PROGRAMAS!A77="","",PROGRAMAS!AG77)</f>
        <v/>
      </c>
      <c r="E106" s="84" t="str">
        <f>IF(PROGRAMAS!A77="","",PROGRAMAS!D77)</f>
        <v/>
      </c>
      <c r="F106" s="121" t="str">
        <f>IF(PROGRAMAS!A77="","",PROGRAMAS!M77)</f>
        <v/>
      </c>
      <c r="G106" s="121" t="str">
        <f>IF(PROGRAMAS!A77="","",PROGRAMAS!W77)</f>
        <v/>
      </c>
      <c r="H106" s="122" t="str">
        <f>IF(PROGRAMAS!A77="","",PROGRAMAS!AA77)</f>
        <v/>
      </c>
      <c r="I106" s="140" t="str">
        <f>IF(PROGRAMAS!A77="","",PROGRAMAS!AE77)</f>
        <v/>
      </c>
      <c r="J106" s="141" t="str">
        <f>IF(PROGRAMAS!A77="","",PROGRAMAS!AF77)</f>
        <v/>
      </c>
      <c r="K106" s="94" t="str">
        <f>IF(PROGRAMAS!A77="","",PROGRAMAS!I77)</f>
        <v/>
      </c>
    </row>
    <row r="107" ht="15.75" customHeight="1">
      <c r="A107" s="77" t="str">
        <f>IF(PROGRAMAS!A78="","",PROGRAMAS!A78)</f>
        <v/>
      </c>
      <c r="B107" s="93" t="str">
        <f>IF(PROGRAMAS!A78="","",PROGRAMAS!B78)</f>
        <v/>
      </c>
      <c r="C107" s="93" t="str">
        <f>IF(PROGRAMAS!A78="","",PROGRAMAS!AD78)</f>
        <v/>
      </c>
      <c r="D107" s="139" t="str">
        <f>IF(PROGRAMAS!A78="","",PROGRAMAS!AG78)</f>
        <v/>
      </c>
      <c r="E107" s="84" t="str">
        <f>IF(PROGRAMAS!A78="","",PROGRAMAS!D78)</f>
        <v/>
      </c>
      <c r="F107" s="121" t="str">
        <f>IF(PROGRAMAS!A78="","",PROGRAMAS!M78)</f>
        <v/>
      </c>
      <c r="G107" s="121" t="str">
        <f>IF(PROGRAMAS!A78="","",PROGRAMAS!W78)</f>
        <v/>
      </c>
      <c r="H107" s="122" t="str">
        <f>IF(PROGRAMAS!A78="","",PROGRAMAS!AA78)</f>
        <v/>
      </c>
      <c r="I107" s="140" t="str">
        <f>IF(PROGRAMAS!A78="","",PROGRAMAS!AE78)</f>
        <v/>
      </c>
      <c r="J107" s="141" t="str">
        <f>IF(PROGRAMAS!A78="","",PROGRAMAS!AF78)</f>
        <v/>
      </c>
      <c r="K107" s="94" t="str">
        <f>IF(PROGRAMAS!A78="","",PROGRAMAS!I78)</f>
        <v/>
      </c>
    </row>
    <row r="108" ht="15.75" customHeight="1">
      <c r="A108" s="77" t="str">
        <f>IF(PROGRAMAS!A79="","",PROGRAMAS!A79)</f>
        <v/>
      </c>
      <c r="B108" s="93" t="str">
        <f>IF(PROGRAMAS!A79="","",PROGRAMAS!B79)</f>
        <v/>
      </c>
      <c r="C108" s="93" t="str">
        <f>IF(PROGRAMAS!A79="","",PROGRAMAS!AD79)</f>
        <v/>
      </c>
      <c r="D108" s="139" t="str">
        <f>IF(PROGRAMAS!A79="","",PROGRAMAS!AG79)</f>
        <v/>
      </c>
      <c r="E108" s="84" t="str">
        <f>IF(PROGRAMAS!A79="","",PROGRAMAS!D79)</f>
        <v/>
      </c>
      <c r="F108" s="121" t="str">
        <f>IF(PROGRAMAS!A79="","",PROGRAMAS!M79)</f>
        <v/>
      </c>
      <c r="G108" s="121" t="str">
        <f>IF(PROGRAMAS!A79="","",PROGRAMAS!W79)</f>
        <v/>
      </c>
      <c r="H108" s="122" t="str">
        <f>IF(PROGRAMAS!A79="","",PROGRAMAS!AA79)</f>
        <v/>
      </c>
      <c r="I108" s="140" t="str">
        <f>IF(PROGRAMAS!A79="","",PROGRAMAS!AE79)</f>
        <v/>
      </c>
      <c r="J108" s="141" t="str">
        <f>IF(PROGRAMAS!A79="","",PROGRAMAS!AF79)</f>
        <v/>
      </c>
      <c r="K108" s="94" t="str">
        <f>IF(PROGRAMAS!A79="","",PROGRAMAS!I79)</f>
        <v/>
      </c>
    </row>
    <row r="109" ht="15.75" customHeight="1">
      <c r="A109" s="77" t="str">
        <f>IF(PROGRAMAS!A80="","",PROGRAMAS!A80)</f>
        <v/>
      </c>
      <c r="B109" s="93" t="str">
        <f>IF(PROGRAMAS!A80="","",PROGRAMAS!B80)</f>
        <v/>
      </c>
      <c r="C109" s="93" t="str">
        <f>IF(PROGRAMAS!A80="","",PROGRAMAS!AD80)</f>
        <v/>
      </c>
      <c r="D109" s="139" t="str">
        <f>IF(PROGRAMAS!A80="","",PROGRAMAS!AG80)</f>
        <v/>
      </c>
      <c r="E109" s="84" t="str">
        <f>IF(PROGRAMAS!A80="","",PROGRAMAS!D80)</f>
        <v/>
      </c>
      <c r="F109" s="121" t="str">
        <f>IF(PROGRAMAS!A80="","",PROGRAMAS!M80)</f>
        <v/>
      </c>
      <c r="G109" s="121" t="str">
        <f>IF(PROGRAMAS!A80="","",PROGRAMAS!W80)</f>
        <v/>
      </c>
      <c r="H109" s="122" t="str">
        <f>IF(PROGRAMAS!A80="","",PROGRAMAS!AA80)</f>
        <v/>
      </c>
      <c r="I109" s="140" t="str">
        <f>IF(PROGRAMAS!A80="","",PROGRAMAS!AE80)</f>
        <v/>
      </c>
      <c r="J109" s="141" t="str">
        <f>IF(PROGRAMAS!A80="","",PROGRAMAS!AF80)</f>
        <v/>
      </c>
      <c r="K109" s="94" t="str">
        <f>IF(PROGRAMAS!A80="","",PROGRAMAS!I80)</f>
        <v/>
      </c>
    </row>
    <row r="110" ht="15.75" customHeight="1">
      <c r="A110" s="77" t="str">
        <f>IF(PROGRAMAS!A81="","",PROGRAMAS!A81)</f>
        <v/>
      </c>
      <c r="B110" s="93" t="str">
        <f>IF(PROGRAMAS!A81="","",PROGRAMAS!B81)</f>
        <v/>
      </c>
      <c r="C110" s="93" t="str">
        <f>IF(PROGRAMAS!A81="","",PROGRAMAS!AD81)</f>
        <v/>
      </c>
      <c r="D110" s="139" t="str">
        <f>IF(PROGRAMAS!A81="","",PROGRAMAS!AG81)</f>
        <v/>
      </c>
      <c r="E110" s="84" t="str">
        <f>IF(PROGRAMAS!A81="","",PROGRAMAS!D81)</f>
        <v/>
      </c>
      <c r="F110" s="121" t="str">
        <f>IF(PROGRAMAS!A81="","",PROGRAMAS!M81)</f>
        <v/>
      </c>
      <c r="G110" s="121" t="str">
        <f>IF(PROGRAMAS!A81="","",PROGRAMAS!W81)</f>
        <v/>
      </c>
      <c r="H110" s="122" t="str">
        <f>IF(PROGRAMAS!A81="","",PROGRAMAS!AA81)</f>
        <v/>
      </c>
      <c r="I110" s="140" t="str">
        <f>IF(PROGRAMAS!A81="","",PROGRAMAS!AE81)</f>
        <v/>
      </c>
      <c r="J110" s="141" t="str">
        <f>IF(PROGRAMAS!A81="","",PROGRAMAS!AF81)</f>
        <v/>
      </c>
      <c r="K110" s="94" t="str">
        <f>IF(PROGRAMAS!A81="","",PROGRAMAS!I81)</f>
        <v/>
      </c>
    </row>
    <row r="111" ht="15.75" customHeight="1">
      <c r="A111" s="77" t="str">
        <f>IF(PROGRAMAS!A82="","",PROGRAMAS!A82)</f>
        <v/>
      </c>
      <c r="B111" s="93" t="str">
        <f>IF(PROGRAMAS!A82="","",PROGRAMAS!B82)</f>
        <v/>
      </c>
      <c r="C111" s="93" t="str">
        <f>IF(PROGRAMAS!A82="","",PROGRAMAS!AD82)</f>
        <v/>
      </c>
      <c r="D111" s="139" t="str">
        <f>IF(PROGRAMAS!A82="","",PROGRAMAS!AG82)</f>
        <v/>
      </c>
      <c r="E111" s="84" t="str">
        <f>IF(PROGRAMAS!A82="","",PROGRAMAS!D82)</f>
        <v/>
      </c>
      <c r="F111" s="121" t="str">
        <f>IF(PROGRAMAS!A82="","",PROGRAMAS!M82)</f>
        <v/>
      </c>
      <c r="G111" s="121" t="str">
        <f>IF(PROGRAMAS!A82="","",PROGRAMAS!W82)</f>
        <v/>
      </c>
      <c r="H111" s="122" t="str">
        <f>IF(PROGRAMAS!A82="","",PROGRAMAS!AA82)</f>
        <v/>
      </c>
      <c r="I111" s="140" t="str">
        <f>IF(PROGRAMAS!A82="","",PROGRAMAS!AE82)</f>
        <v/>
      </c>
      <c r="J111" s="141" t="str">
        <f>IF(PROGRAMAS!A82="","",PROGRAMAS!AF82)</f>
        <v/>
      </c>
      <c r="K111" s="94" t="str">
        <f>IF(PROGRAMAS!A82="","",PROGRAMAS!I82)</f>
        <v/>
      </c>
    </row>
    <row r="112" ht="15.75" customHeight="1">
      <c r="A112" s="77" t="str">
        <f>IF(PROGRAMAS!A83="","",PROGRAMAS!A83)</f>
        <v/>
      </c>
      <c r="B112" s="93" t="str">
        <f>IF(PROGRAMAS!A83="","",PROGRAMAS!B83)</f>
        <v/>
      </c>
      <c r="C112" s="93" t="str">
        <f>IF(PROGRAMAS!A83="","",PROGRAMAS!AD83)</f>
        <v/>
      </c>
      <c r="D112" s="139" t="str">
        <f>IF(PROGRAMAS!A83="","",PROGRAMAS!AG83)</f>
        <v/>
      </c>
      <c r="E112" s="84" t="str">
        <f>IF(PROGRAMAS!A83="","",PROGRAMAS!D83)</f>
        <v/>
      </c>
      <c r="F112" s="121" t="str">
        <f>IF(PROGRAMAS!A83="","",PROGRAMAS!M83)</f>
        <v/>
      </c>
      <c r="G112" s="121" t="str">
        <f>IF(PROGRAMAS!A83="","",PROGRAMAS!W83)</f>
        <v/>
      </c>
      <c r="H112" s="122" t="str">
        <f>IF(PROGRAMAS!A83="","",PROGRAMAS!AA83)</f>
        <v/>
      </c>
      <c r="I112" s="140" t="str">
        <f>IF(PROGRAMAS!A83="","",PROGRAMAS!AE83)</f>
        <v/>
      </c>
      <c r="J112" s="141" t="str">
        <f>IF(PROGRAMAS!A83="","",PROGRAMAS!AF83)</f>
        <v/>
      </c>
      <c r="K112" s="94" t="str">
        <f>IF(PROGRAMAS!A83="","",PROGRAMAS!I83)</f>
        <v/>
      </c>
    </row>
    <row r="113" ht="15.75" customHeight="1">
      <c r="A113" s="77" t="str">
        <f>IF(PROGRAMAS!A84="","",PROGRAMAS!A84)</f>
        <v/>
      </c>
      <c r="B113" s="93" t="str">
        <f>IF(PROGRAMAS!A84="","",PROGRAMAS!B84)</f>
        <v/>
      </c>
      <c r="C113" s="93" t="str">
        <f>IF(PROGRAMAS!A84="","",PROGRAMAS!AD84)</f>
        <v/>
      </c>
      <c r="D113" s="139" t="str">
        <f>IF(PROGRAMAS!A84="","",PROGRAMAS!AG84)</f>
        <v/>
      </c>
      <c r="E113" s="84" t="str">
        <f>IF(PROGRAMAS!A84="","",PROGRAMAS!D84)</f>
        <v/>
      </c>
      <c r="F113" s="121" t="str">
        <f>IF(PROGRAMAS!A84="","",PROGRAMAS!M84)</f>
        <v/>
      </c>
      <c r="G113" s="121" t="str">
        <f>IF(PROGRAMAS!A84="","",PROGRAMAS!W84)</f>
        <v/>
      </c>
      <c r="H113" s="122" t="str">
        <f>IF(PROGRAMAS!A84="","",PROGRAMAS!AA84)</f>
        <v/>
      </c>
      <c r="I113" s="140" t="str">
        <f>IF(PROGRAMAS!A84="","",PROGRAMAS!AE84)</f>
        <v/>
      </c>
      <c r="J113" s="141" t="str">
        <f>IF(PROGRAMAS!A84="","",PROGRAMAS!AF84)</f>
        <v/>
      </c>
      <c r="K113" s="94" t="str">
        <f>IF(PROGRAMAS!A84="","",PROGRAMAS!I84)</f>
        <v/>
      </c>
    </row>
    <row r="114" ht="15.75" customHeight="1">
      <c r="A114" s="77" t="str">
        <f>IF(PROGRAMAS!A85="","",PROGRAMAS!A85)</f>
        <v/>
      </c>
      <c r="B114" s="93" t="str">
        <f>IF(PROGRAMAS!A85="","",PROGRAMAS!B85)</f>
        <v/>
      </c>
      <c r="C114" s="93" t="str">
        <f>IF(PROGRAMAS!A85="","",PROGRAMAS!AD85)</f>
        <v/>
      </c>
      <c r="D114" s="139" t="str">
        <f>IF(PROGRAMAS!A85="","",PROGRAMAS!AG85)</f>
        <v/>
      </c>
      <c r="E114" s="84" t="str">
        <f>IF(PROGRAMAS!A85="","",PROGRAMAS!D85)</f>
        <v/>
      </c>
      <c r="F114" s="121" t="str">
        <f>IF(PROGRAMAS!A85="","",PROGRAMAS!M85)</f>
        <v/>
      </c>
      <c r="G114" s="121" t="str">
        <f>IF(PROGRAMAS!A85="","",PROGRAMAS!W85)</f>
        <v/>
      </c>
      <c r="H114" s="122" t="str">
        <f>IF(PROGRAMAS!A85="","",PROGRAMAS!AA85)</f>
        <v/>
      </c>
      <c r="I114" s="140" t="str">
        <f>IF(PROGRAMAS!A85="","",PROGRAMAS!AE85)</f>
        <v/>
      </c>
      <c r="J114" s="141" t="str">
        <f>IF(PROGRAMAS!A85="","",PROGRAMAS!AF85)</f>
        <v/>
      </c>
      <c r="K114" s="94" t="str">
        <f>IF(PROGRAMAS!A85="","",PROGRAMAS!I85)</f>
        <v/>
      </c>
    </row>
    <row r="115" ht="15.75" customHeight="1">
      <c r="A115" s="77" t="str">
        <f>IF(PROGRAMAS!A86="","",PROGRAMAS!A86)</f>
        <v/>
      </c>
      <c r="B115" s="93" t="str">
        <f>IF(PROGRAMAS!A86="","",PROGRAMAS!B86)</f>
        <v/>
      </c>
      <c r="C115" s="93" t="str">
        <f>IF(PROGRAMAS!A86="","",PROGRAMAS!AD86)</f>
        <v/>
      </c>
      <c r="D115" s="139" t="str">
        <f>IF(PROGRAMAS!A86="","",PROGRAMAS!AG86)</f>
        <v/>
      </c>
      <c r="E115" s="84" t="str">
        <f>IF(PROGRAMAS!A86="","",PROGRAMAS!D86)</f>
        <v/>
      </c>
      <c r="F115" s="121" t="str">
        <f>IF(PROGRAMAS!A86="","",PROGRAMAS!M86)</f>
        <v/>
      </c>
      <c r="G115" s="121" t="str">
        <f>IF(PROGRAMAS!A86="","",PROGRAMAS!W86)</f>
        <v/>
      </c>
      <c r="H115" s="122" t="str">
        <f>IF(PROGRAMAS!A86="","",PROGRAMAS!AA86)</f>
        <v/>
      </c>
      <c r="I115" s="140" t="str">
        <f>IF(PROGRAMAS!A86="","",PROGRAMAS!AE86)</f>
        <v/>
      </c>
      <c r="J115" s="141" t="str">
        <f>IF(PROGRAMAS!A86="","",PROGRAMAS!AF86)</f>
        <v/>
      </c>
      <c r="K115" s="94" t="str">
        <f>IF(PROGRAMAS!A86="","",PROGRAMAS!I86)</f>
        <v/>
      </c>
    </row>
    <row r="116" ht="15.75" customHeight="1">
      <c r="A116" s="77" t="str">
        <f>IF(PROGRAMAS!A87="","",PROGRAMAS!A87)</f>
        <v/>
      </c>
      <c r="B116" s="93" t="str">
        <f>IF(PROGRAMAS!A87="","",PROGRAMAS!B87)</f>
        <v/>
      </c>
      <c r="C116" s="93" t="str">
        <f>IF(PROGRAMAS!A87="","",PROGRAMAS!AD87)</f>
        <v/>
      </c>
      <c r="D116" s="139" t="str">
        <f>IF(PROGRAMAS!A87="","",PROGRAMAS!AG87)</f>
        <v/>
      </c>
      <c r="E116" s="84" t="str">
        <f>IF(PROGRAMAS!A87="","",PROGRAMAS!D87)</f>
        <v/>
      </c>
      <c r="F116" s="121" t="str">
        <f>IF(PROGRAMAS!A87="","",PROGRAMAS!M87)</f>
        <v/>
      </c>
      <c r="G116" s="121" t="str">
        <f>IF(PROGRAMAS!A87="","",PROGRAMAS!W87)</f>
        <v/>
      </c>
      <c r="H116" s="122" t="str">
        <f>IF(PROGRAMAS!A87="","",PROGRAMAS!AA87)</f>
        <v/>
      </c>
      <c r="I116" s="140" t="str">
        <f>IF(PROGRAMAS!A87="","",PROGRAMAS!AE87)</f>
        <v/>
      </c>
      <c r="J116" s="141" t="str">
        <f>IF(PROGRAMAS!A87="","",PROGRAMAS!AF87)</f>
        <v/>
      </c>
      <c r="K116" s="94" t="str">
        <f>IF(PROGRAMAS!A87="","",PROGRAMAS!I87)</f>
        <v/>
      </c>
    </row>
    <row r="117" ht="15.75" customHeight="1">
      <c r="A117" s="77" t="str">
        <f>IF(PROGRAMAS!A88="","",PROGRAMAS!A88)</f>
        <v/>
      </c>
      <c r="B117" s="93" t="str">
        <f>IF(PROGRAMAS!A88="","",PROGRAMAS!B88)</f>
        <v/>
      </c>
      <c r="C117" s="93" t="str">
        <f>IF(PROGRAMAS!A88="","",PROGRAMAS!AD88)</f>
        <v/>
      </c>
      <c r="D117" s="139" t="str">
        <f>IF(PROGRAMAS!A88="","",PROGRAMAS!AG88)</f>
        <v/>
      </c>
      <c r="E117" s="84" t="str">
        <f>IF(PROGRAMAS!A88="","",PROGRAMAS!D88)</f>
        <v/>
      </c>
      <c r="F117" s="121" t="str">
        <f>IF(PROGRAMAS!A88="","",PROGRAMAS!M88)</f>
        <v/>
      </c>
      <c r="G117" s="121" t="str">
        <f>IF(PROGRAMAS!A88="","",PROGRAMAS!W88)</f>
        <v/>
      </c>
      <c r="H117" s="122" t="str">
        <f>IF(PROGRAMAS!A88="","",PROGRAMAS!AA88)</f>
        <v/>
      </c>
      <c r="I117" s="140" t="str">
        <f>IF(PROGRAMAS!A88="","",PROGRAMAS!AE88)</f>
        <v/>
      </c>
      <c r="J117" s="141" t="str">
        <f>IF(PROGRAMAS!A88="","",PROGRAMAS!AF88)</f>
        <v/>
      </c>
      <c r="K117" s="94" t="str">
        <f>IF(PROGRAMAS!A88="","",PROGRAMAS!I88)</f>
        <v/>
      </c>
    </row>
    <row r="118" ht="15.75" customHeight="1">
      <c r="A118" s="77" t="str">
        <f>IF(PROGRAMAS!A89="","",PROGRAMAS!A89)</f>
        <v/>
      </c>
      <c r="B118" s="93" t="str">
        <f>IF(PROGRAMAS!A89="","",PROGRAMAS!B89)</f>
        <v/>
      </c>
      <c r="C118" s="93" t="str">
        <f>IF(PROGRAMAS!A89="","",PROGRAMAS!AD89)</f>
        <v/>
      </c>
      <c r="D118" s="139" t="str">
        <f>IF(PROGRAMAS!A89="","",PROGRAMAS!AG89)</f>
        <v/>
      </c>
      <c r="E118" s="84" t="str">
        <f>IF(PROGRAMAS!A89="","",PROGRAMAS!D89)</f>
        <v/>
      </c>
      <c r="F118" s="121" t="str">
        <f>IF(PROGRAMAS!A89="","",PROGRAMAS!M89)</f>
        <v/>
      </c>
      <c r="G118" s="121" t="str">
        <f>IF(PROGRAMAS!A89="","",PROGRAMAS!W89)</f>
        <v/>
      </c>
      <c r="H118" s="122" t="str">
        <f>IF(PROGRAMAS!A89="","",PROGRAMAS!AA89)</f>
        <v/>
      </c>
      <c r="I118" s="140" t="str">
        <f>IF(PROGRAMAS!A89="","",PROGRAMAS!AE89)</f>
        <v/>
      </c>
      <c r="J118" s="141" t="str">
        <f>IF(PROGRAMAS!A89="","",PROGRAMAS!AF89)</f>
        <v/>
      </c>
      <c r="K118" s="94" t="str">
        <f>IF(PROGRAMAS!A89="","",PROGRAMAS!I89)</f>
        <v/>
      </c>
    </row>
    <row r="119" ht="15.75" customHeight="1">
      <c r="A119" s="77" t="str">
        <f>IF(PROGRAMAS!A90="","",PROGRAMAS!A90)</f>
        <v/>
      </c>
      <c r="B119" s="93" t="str">
        <f>IF(PROGRAMAS!A90="","",PROGRAMAS!B90)</f>
        <v/>
      </c>
      <c r="C119" s="93" t="str">
        <f>IF(PROGRAMAS!A90="","",PROGRAMAS!AD90)</f>
        <v/>
      </c>
      <c r="D119" s="139" t="str">
        <f>IF(PROGRAMAS!A90="","",PROGRAMAS!AG90)</f>
        <v/>
      </c>
      <c r="E119" s="84" t="str">
        <f>IF(PROGRAMAS!A90="","",PROGRAMAS!D90)</f>
        <v/>
      </c>
      <c r="F119" s="121" t="str">
        <f>IF(PROGRAMAS!A90="","",PROGRAMAS!M90)</f>
        <v/>
      </c>
      <c r="G119" s="121" t="str">
        <f>IF(PROGRAMAS!A90="","",PROGRAMAS!W90)</f>
        <v/>
      </c>
      <c r="H119" s="122" t="str">
        <f>IF(PROGRAMAS!A90="","",PROGRAMAS!AA90)</f>
        <v/>
      </c>
      <c r="I119" s="140" t="str">
        <f>IF(PROGRAMAS!A90="","",PROGRAMAS!AE90)</f>
        <v/>
      </c>
      <c r="J119" s="141" t="str">
        <f>IF(PROGRAMAS!A90="","",PROGRAMAS!AF90)</f>
        <v/>
      </c>
      <c r="K119" s="94" t="str">
        <f>IF(PROGRAMAS!A90="","",PROGRAMAS!I90)</f>
        <v/>
      </c>
    </row>
    <row r="120" ht="15.75" customHeight="1">
      <c r="A120" s="77" t="str">
        <f>IF(PROGRAMAS!A91="","",PROGRAMAS!A91)</f>
        <v/>
      </c>
      <c r="B120" s="93" t="str">
        <f>IF(PROGRAMAS!A91="","",PROGRAMAS!B91)</f>
        <v/>
      </c>
      <c r="C120" s="93" t="str">
        <f>IF(PROGRAMAS!A91="","",PROGRAMAS!AD91)</f>
        <v/>
      </c>
      <c r="D120" s="139" t="str">
        <f>IF(PROGRAMAS!A91="","",PROGRAMAS!AG91)</f>
        <v/>
      </c>
      <c r="E120" s="84" t="str">
        <f>IF(PROGRAMAS!A91="","",PROGRAMAS!D91)</f>
        <v/>
      </c>
      <c r="F120" s="121" t="str">
        <f>IF(PROGRAMAS!A91="","",PROGRAMAS!M91)</f>
        <v/>
      </c>
      <c r="G120" s="121" t="str">
        <f>IF(PROGRAMAS!A91="","",PROGRAMAS!W91)</f>
        <v/>
      </c>
      <c r="H120" s="122" t="str">
        <f>IF(PROGRAMAS!A91="","",PROGRAMAS!AA91)</f>
        <v/>
      </c>
      <c r="I120" s="140" t="str">
        <f>IF(PROGRAMAS!A91="","",PROGRAMAS!AE91)</f>
        <v/>
      </c>
      <c r="J120" s="141" t="str">
        <f>IF(PROGRAMAS!A91="","",PROGRAMAS!AF91)</f>
        <v/>
      </c>
      <c r="K120" s="94" t="str">
        <f>IF(PROGRAMAS!A91="","",PROGRAMAS!I91)</f>
        <v/>
      </c>
    </row>
    <row r="121" ht="15.75" customHeight="1">
      <c r="A121" s="77" t="str">
        <f>IF(PROGRAMAS!A92="","",PROGRAMAS!A92)</f>
        <v/>
      </c>
      <c r="B121" s="93" t="str">
        <f>IF(PROGRAMAS!A92="","",PROGRAMAS!B92)</f>
        <v/>
      </c>
      <c r="C121" s="93" t="str">
        <f>IF(PROGRAMAS!A92="","",PROGRAMAS!AD92)</f>
        <v/>
      </c>
      <c r="D121" s="139" t="str">
        <f>IF(PROGRAMAS!A92="","",PROGRAMAS!AG92)</f>
        <v/>
      </c>
      <c r="E121" s="84" t="str">
        <f>IF(PROGRAMAS!A92="","",PROGRAMAS!D92)</f>
        <v/>
      </c>
      <c r="F121" s="121" t="str">
        <f>IF(PROGRAMAS!A92="","",PROGRAMAS!M92)</f>
        <v/>
      </c>
      <c r="G121" s="121" t="str">
        <f>IF(PROGRAMAS!A92="","",PROGRAMAS!W92)</f>
        <v/>
      </c>
      <c r="H121" s="122" t="str">
        <f>IF(PROGRAMAS!A92="","",PROGRAMAS!AA92)</f>
        <v/>
      </c>
      <c r="I121" s="140" t="str">
        <f>IF(PROGRAMAS!A92="","",PROGRAMAS!AE92)</f>
        <v/>
      </c>
      <c r="J121" s="141" t="str">
        <f>IF(PROGRAMAS!A92="","",PROGRAMAS!AF92)</f>
        <v/>
      </c>
      <c r="K121" s="94" t="str">
        <f>IF(PROGRAMAS!A92="","",PROGRAMAS!I92)</f>
        <v/>
      </c>
    </row>
    <row r="122" ht="15.75" customHeight="1">
      <c r="A122" s="77" t="str">
        <f>IF(PROGRAMAS!A93="","",PROGRAMAS!A93)</f>
        <v/>
      </c>
      <c r="B122" s="93" t="str">
        <f>IF(PROGRAMAS!A93="","",PROGRAMAS!B93)</f>
        <v/>
      </c>
      <c r="C122" s="93" t="str">
        <f>IF(PROGRAMAS!A93="","",PROGRAMAS!AD93)</f>
        <v/>
      </c>
      <c r="D122" s="139" t="str">
        <f>IF(PROGRAMAS!A93="","",PROGRAMAS!AG93)</f>
        <v/>
      </c>
      <c r="E122" s="84" t="str">
        <f>IF(PROGRAMAS!A93="","",PROGRAMAS!D93)</f>
        <v/>
      </c>
      <c r="F122" s="121" t="str">
        <f>IF(PROGRAMAS!A93="","",PROGRAMAS!M93)</f>
        <v/>
      </c>
      <c r="G122" s="121" t="str">
        <f>IF(PROGRAMAS!A93="","",PROGRAMAS!W93)</f>
        <v/>
      </c>
      <c r="H122" s="122" t="str">
        <f>IF(PROGRAMAS!A93="","",PROGRAMAS!AA93)</f>
        <v/>
      </c>
      <c r="I122" s="140" t="str">
        <f>IF(PROGRAMAS!A93="","",PROGRAMAS!AE93)</f>
        <v/>
      </c>
      <c r="J122" s="141" t="str">
        <f>IF(PROGRAMAS!A93="","",PROGRAMAS!AF93)</f>
        <v/>
      </c>
      <c r="K122" s="94" t="str">
        <f>IF(PROGRAMAS!A93="","",PROGRAMAS!I93)</f>
        <v/>
      </c>
    </row>
    <row r="123" ht="15.75" customHeight="1">
      <c r="A123" s="77" t="str">
        <f>IF(PROGRAMAS!A94="","",PROGRAMAS!A94)</f>
        <v/>
      </c>
      <c r="B123" s="93" t="str">
        <f>IF(PROGRAMAS!A94="","",PROGRAMAS!B94)</f>
        <v/>
      </c>
      <c r="C123" s="93" t="str">
        <f>IF(PROGRAMAS!A94="","",PROGRAMAS!AD94)</f>
        <v/>
      </c>
      <c r="D123" s="139" t="str">
        <f>IF(PROGRAMAS!A94="","",PROGRAMAS!AG94)</f>
        <v/>
      </c>
      <c r="E123" s="84" t="str">
        <f>IF(PROGRAMAS!A94="","",PROGRAMAS!D94)</f>
        <v/>
      </c>
      <c r="F123" s="121" t="str">
        <f>IF(PROGRAMAS!A94="","",PROGRAMAS!M94)</f>
        <v/>
      </c>
      <c r="G123" s="121" t="str">
        <f>IF(PROGRAMAS!A94="","",PROGRAMAS!W94)</f>
        <v/>
      </c>
      <c r="H123" s="122" t="str">
        <f>IF(PROGRAMAS!A94="","",PROGRAMAS!AA94)</f>
        <v/>
      </c>
      <c r="I123" s="140" t="str">
        <f>IF(PROGRAMAS!A94="","",PROGRAMAS!AE94)</f>
        <v/>
      </c>
      <c r="J123" s="141" t="str">
        <f>IF(PROGRAMAS!A94="","",PROGRAMAS!AF94)</f>
        <v/>
      </c>
      <c r="K123" s="94" t="str">
        <f>IF(PROGRAMAS!A94="","",PROGRAMAS!I94)</f>
        <v/>
      </c>
    </row>
    <row r="124" ht="15.75" customHeight="1">
      <c r="A124" s="77" t="str">
        <f>IF(PROGRAMAS!A95="","",PROGRAMAS!A95)</f>
        <v/>
      </c>
      <c r="B124" s="93" t="str">
        <f>IF(PROGRAMAS!A95="","",PROGRAMAS!B95)</f>
        <v/>
      </c>
      <c r="C124" s="93" t="str">
        <f>IF(PROGRAMAS!A95="","",PROGRAMAS!AD95)</f>
        <v/>
      </c>
      <c r="D124" s="139" t="str">
        <f>IF(PROGRAMAS!A95="","",PROGRAMAS!AG95)</f>
        <v/>
      </c>
      <c r="E124" s="84" t="str">
        <f>IF(PROGRAMAS!A95="","",PROGRAMAS!D95)</f>
        <v/>
      </c>
      <c r="F124" s="121" t="str">
        <f>IF(PROGRAMAS!A95="","",PROGRAMAS!M95)</f>
        <v/>
      </c>
      <c r="G124" s="121" t="str">
        <f>IF(PROGRAMAS!A95="","",PROGRAMAS!W95)</f>
        <v/>
      </c>
      <c r="H124" s="122" t="str">
        <f>IF(PROGRAMAS!A95="","",PROGRAMAS!AA95)</f>
        <v/>
      </c>
      <c r="I124" s="140" t="str">
        <f>IF(PROGRAMAS!A95="","",PROGRAMAS!AE95)</f>
        <v/>
      </c>
      <c r="J124" s="141" t="str">
        <f>IF(PROGRAMAS!A95="","",PROGRAMAS!AF95)</f>
        <v/>
      </c>
      <c r="K124" s="94" t="str">
        <f>IF(PROGRAMAS!A95="","",PROGRAMAS!I95)</f>
        <v/>
      </c>
    </row>
    <row r="125" ht="15.75" customHeight="1">
      <c r="A125" s="77" t="str">
        <f>IF(PROGRAMAS!A96="","",PROGRAMAS!A96)</f>
        <v/>
      </c>
      <c r="B125" s="93" t="str">
        <f>IF(PROGRAMAS!A96="","",PROGRAMAS!B96)</f>
        <v/>
      </c>
      <c r="C125" s="93" t="str">
        <f>IF(PROGRAMAS!A96="","",PROGRAMAS!AD96)</f>
        <v/>
      </c>
      <c r="D125" s="139" t="str">
        <f>IF(PROGRAMAS!A96="","",PROGRAMAS!AG96)</f>
        <v/>
      </c>
      <c r="E125" s="84" t="str">
        <f>IF(PROGRAMAS!A96="","",PROGRAMAS!D96)</f>
        <v/>
      </c>
      <c r="F125" s="121" t="str">
        <f>IF(PROGRAMAS!A96="","",PROGRAMAS!M96)</f>
        <v/>
      </c>
      <c r="G125" s="121" t="str">
        <f>IF(PROGRAMAS!A96="","",PROGRAMAS!W96)</f>
        <v/>
      </c>
      <c r="H125" s="122" t="str">
        <f>IF(PROGRAMAS!A96="","",PROGRAMAS!AA96)</f>
        <v/>
      </c>
      <c r="I125" s="140" t="str">
        <f>IF(PROGRAMAS!A96="","",PROGRAMAS!AE96)</f>
        <v/>
      </c>
      <c r="J125" s="141" t="str">
        <f>IF(PROGRAMAS!A96="","",PROGRAMAS!AF96)</f>
        <v/>
      </c>
      <c r="K125" s="94" t="str">
        <f>IF(PROGRAMAS!A96="","",PROGRAMAS!I96)</f>
        <v/>
      </c>
    </row>
    <row r="126" ht="15.75" customHeight="1">
      <c r="A126" s="77" t="str">
        <f>IF(PROGRAMAS!A97="","",PROGRAMAS!A97)</f>
        <v/>
      </c>
      <c r="B126" s="93" t="str">
        <f>IF(PROGRAMAS!A97="","",PROGRAMAS!B97)</f>
        <v/>
      </c>
      <c r="C126" s="93" t="str">
        <f>IF(PROGRAMAS!A97="","",PROGRAMAS!AD97)</f>
        <v/>
      </c>
      <c r="D126" s="139" t="str">
        <f>IF(PROGRAMAS!A97="","",PROGRAMAS!AG97)</f>
        <v/>
      </c>
      <c r="E126" s="84" t="str">
        <f>IF(PROGRAMAS!A97="","",PROGRAMAS!D97)</f>
        <v/>
      </c>
      <c r="F126" s="121" t="str">
        <f>IF(PROGRAMAS!A97="","",PROGRAMAS!M97)</f>
        <v/>
      </c>
      <c r="G126" s="121" t="str">
        <f>IF(PROGRAMAS!A97="","",PROGRAMAS!W97)</f>
        <v/>
      </c>
      <c r="H126" s="122" t="str">
        <f>IF(PROGRAMAS!A97="","",PROGRAMAS!AA97)</f>
        <v/>
      </c>
      <c r="I126" s="140" t="str">
        <f>IF(PROGRAMAS!A97="","",PROGRAMAS!AE97)</f>
        <v/>
      </c>
      <c r="J126" s="141" t="str">
        <f>IF(PROGRAMAS!A97="","",PROGRAMAS!AF97)</f>
        <v/>
      </c>
      <c r="K126" s="94" t="str">
        <f>IF(PROGRAMAS!A97="","",PROGRAMAS!I97)</f>
        <v/>
      </c>
    </row>
    <row r="127" ht="15.75" customHeight="1">
      <c r="A127" s="77" t="str">
        <f>IF(PROGRAMAS!A98="","",PROGRAMAS!A98)</f>
        <v/>
      </c>
      <c r="B127" s="93" t="str">
        <f>IF(PROGRAMAS!A98="","",PROGRAMAS!B98)</f>
        <v/>
      </c>
      <c r="C127" s="93" t="str">
        <f>IF(PROGRAMAS!A98="","",PROGRAMAS!AD98)</f>
        <v/>
      </c>
      <c r="D127" s="139" t="str">
        <f>IF(PROGRAMAS!A98="","",PROGRAMAS!AG98)</f>
        <v/>
      </c>
      <c r="E127" s="84" t="str">
        <f>IF(PROGRAMAS!A98="","",PROGRAMAS!D98)</f>
        <v/>
      </c>
      <c r="F127" s="121" t="str">
        <f>IF(PROGRAMAS!A98="","",PROGRAMAS!M98)</f>
        <v/>
      </c>
      <c r="G127" s="121" t="str">
        <f>IF(PROGRAMAS!A98="","",PROGRAMAS!W98)</f>
        <v/>
      </c>
      <c r="H127" s="122" t="str">
        <f>IF(PROGRAMAS!A98="","",PROGRAMAS!AA98)</f>
        <v/>
      </c>
      <c r="I127" s="140" t="str">
        <f>IF(PROGRAMAS!A98="","",PROGRAMAS!AE98)</f>
        <v/>
      </c>
      <c r="J127" s="141" t="str">
        <f>IF(PROGRAMAS!A98="","",PROGRAMAS!AF98)</f>
        <v/>
      </c>
      <c r="K127" s="94" t="str">
        <f>IF(PROGRAMAS!A98="","",PROGRAMAS!I98)</f>
        <v/>
      </c>
    </row>
    <row r="128" ht="15.75" customHeight="1">
      <c r="A128" s="77" t="str">
        <f>IF(PROGRAMAS!A99="","",PROGRAMAS!A99)</f>
        <v/>
      </c>
      <c r="B128" s="93" t="str">
        <f>IF(PROGRAMAS!A99="","",PROGRAMAS!B99)</f>
        <v/>
      </c>
      <c r="C128" s="93" t="str">
        <f>IF(PROGRAMAS!A99="","",PROGRAMAS!AD99)</f>
        <v/>
      </c>
      <c r="D128" s="139" t="str">
        <f>IF(PROGRAMAS!A99="","",PROGRAMAS!AG99)</f>
        <v/>
      </c>
      <c r="E128" s="84" t="str">
        <f>IF(PROGRAMAS!A99="","",PROGRAMAS!D99)</f>
        <v/>
      </c>
      <c r="F128" s="121" t="str">
        <f>IF(PROGRAMAS!A99="","",PROGRAMAS!M99)</f>
        <v/>
      </c>
      <c r="G128" s="121" t="str">
        <f>IF(PROGRAMAS!A99="","",PROGRAMAS!W99)</f>
        <v/>
      </c>
      <c r="H128" s="122" t="str">
        <f>IF(PROGRAMAS!A99="","",PROGRAMAS!AA99)</f>
        <v/>
      </c>
      <c r="I128" s="140" t="str">
        <f>IF(PROGRAMAS!A99="","",PROGRAMAS!AE99)</f>
        <v/>
      </c>
      <c r="J128" s="141" t="str">
        <f>IF(PROGRAMAS!A99="","",PROGRAMAS!AF99)</f>
        <v/>
      </c>
      <c r="K128" s="94" t="str">
        <f>IF(PROGRAMAS!A99="","",PROGRAMAS!I99)</f>
        <v/>
      </c>
    </row>
    <row r="129" ht="15.75" customHeight="1">
      <c r="A129" s="77" t="str">
        <f>IF(PROGRAMAS!A100="","",PROGRAMAS!A100)</f>
        <v/>
      </c>
      <c r="B129" s="93" t="str">
        <f>IF(PROGRAMAS!A100="","",PROGRAMAS!B100)</f>
        <v/>
      </c>
      <c r="C129" s="93" t="str">
        <f>IF(PROGRAMAS!A100="","",PROGRAMAS!AD100)</f>
        <v/>
      </c>
      <c r="D129" s="139" t="str">
        <f>IF(PROGRAMAS!A100="","",PROGRAMAS!AG100)</f>
        <v/>
      </c>
      <c r="E129" s="84" t="str">
        <f>IF(PROGRAMAS!A100="","",PROGRAMAS!D100)</f>
        <v/>
      </c>
      <c r="F129" s="121" t="str">
        <f>IF(PROGRAMAS!A100="","",PROGRAMAS!M100)</f>
        <v/>
      </c>
      <c r="G129" s="121" t="str">
        <f>IF(PROGRAMAS!A100="","",PROGRAMAS!W100)</f>
        <v/>
      </c>
      <c r="H129" s="122" t="str">
        <f>IF(PROGRAMAS!A100="","",PROGRAMAS!AA100)</f>
        <v/>
      </c>
      <c r="I129" s="140" t="str">
        <f>IF(PROGRAMAS!A100="","",PROGRAMAS!AE100)</f>
        <v/>
      </c>
      <c r="J129" s="141" t="str">
        <f>IF(PROGRAMAS!A100="","",PROGRAMAS!AF100)</f>
        <v/>
      </c>
      <c r="K129" s="94" t="str">
        <f>IF(PROGRAMAS!A100="","",PROGRAMAS!I100)</f>
        <v/>
      </c>
    </row>
    <row r="130" ht="15.75" customHeight="1">
      <c r="A130" s="77" t="str">
        <f>IF(PROGRAMAS!A101="","",PROGRAMAS!A101)</f>
        <v/>
      </c>
      <c r="B130" s="93" t="str">
        <f>IF(PROGRAMAS!A101="","",PROGRAMAS!B101)</f>
        <v/>
      </c>
      <c r="C130" s="93" t="str">
        <f>IF(PROGRAMAS!A101="","",PROGRAMAS!AD101)</f>
        <v/>
      </c>
      <c r="D130" s="139" t="str">
        <f>IF(PROGRAMAS!A101="","",PROGRAMAS!AG101)</f>
        <v/>
      </c>
      <c r="E130" s="84" t="str">
        <f>IF(PROGRAMAS!A101="","",PROGRAMAS!D101)</f>
        <v/>
      </c>
      <c r="F130" s="121" t="str">
        <f>IF(PROGRAMAS!A101="","",PROGRAMAS!M101)</f>
        <v/>
      </c>
      <c r="G130" s="121" t="str">
        <f>IF(PROGRAMAS!A101="","",PROGRAMAS!W101)</f>
        <v/>
      </c>
      <c r="H130" s="122" t="str">
        <f>IF(PROGRAMAS!A101="","",PROGRAMAS!AA101)</f>
        <v/>
      </c>
      <c r="I130" s="140" t="str">
        <f>IF(PROGRAMAS!A101="","",PROGRAMAS!AE101)</f>
        <v/>
      </c>
      <c r="J130" s="141" t="str">
        <f>IF(PROGRAMAS!A101="","",PROGRAMAS!AF101)</f>
        <v/>
      </c>
      <c r="K130" s="94" t="str">
        <f>IF(PROGRAMAS!A101="","",PROGRAMAS!I101)</f>
        <v/>
      </c>
    </row>
    <row r="131" ht="15.75" customHeight="1">
      <c r="A131" s="77" t="str">
        <f>IF(PROGRAMAS!A102="","",PROGRAMAS!A102)</f>
        <v/>
      </c>
      <c r="B131" s="93" t="str">
        <f>IF(PROGRAMAS!A102="","",PROGRAMAS!B102)</f>
        <v/>
      </c>
      <c r="C131" s="93" t="str">
        <f>IF(PROGRAMAS!A102="","",PROGRAMAS!AD102)</f>
        <v/>
      </c>
      <c r="D131" s="139" t="str">
        <f>IF(PROGRAMAS!A102="","",PROGRAMAS!AG102)</f>
        <v/>
      </c>
      <c r="E131" s="84" t="str">
        <f>IF(PROGRAMAS!A102="","",PROGRAMAS!D102)</f>
        <v/>
      </c>
      <c r="F131" s="121" t="str">
        <f>IF(PROGRAMAS!A102="","",PROGRAMAS!M102)</f>
        <v/>
      </c>
      <c r="G131" s="121" t="str">
        <f>IF(PROGRAMAS!A102="","",PROGRAMAS!W102)</f>
        <v/>
      </c>
      <c r="H131" s="122" t="str">
        <f>IF(PROGRAMAS!A102="","",PROGRAMAS!AA102)</f>
        <v/>
      </c>
      <c r="I131" s="140" t="str">
        <f>IF(PROGRAMAS!A102="","",PROGRAMAS!AE102)</f>
        <v/>
      </c>
      <c r="J131" s="141" t="str">
        <f>IF(PROGRAMAS!A102="","",PROGRAMAS!AF102)</f>
        <v/>
      </c>
      <c r="K131" s="94" t="str">
        <f>IF(PROGRAMAS!A102="","",PROGRAMAS!I102)</f>
        <v/>
      </c>
    </row>
    <row r="132" ht="15.75" customHeight="1">
      <c r="A132" s="77" t="str">
        <f>IF(PROGRAMAS!A103="","",PROGRAMAS!A103)</f>
        <v/>
      </c>
      <c r="B132" s="93" t="str">
        <f>IF(PROGRAMAS!A103="","",PROGRAMAS!B103)</f>
        <v/>
      </c>
      <c r="C132" s="93" t="str">
        <f>IF(PROGRAMAS!A103="","",PROGRAMAS!AD103)</f>
        <v/>
      </c>
      <c r="D132" s="139" t="str">
        <f>IF(PROGRAMAS!A103="","",PROGRAMAS!AG103)</f>
        <v/>
      </c>
      <c r="E132" s="84" t="str">
        <f>IF(PROGRAMAS!A103="","",PROGRAMAS!D103)</f>
        <v/>
      </c>
      <c r="F132" s="121" t="str">
        <f>IF(PROGRAMAS!A103="","",PROGRAMAS!M103)</f>
        <v/>
      </c>
      <c r="G132" s="121" t="str">
        <f>IF(PROGRAMAS!A103="","",PROGRAMAS!W103)</f>
        <v/>
      </c>
      <c r="H132" s="122" t="str">
        <f>IF(PROGRAMAS!A103="","",PROGRAMAS!AA103)</f>
        <v/>
      </c>
      <c r="I132" s="140" t="str">
        <f>IF(PROGRAMAS!A103="","",PROGRAMAS!AE103)</f>
        <v/>
      </c>
      <c r="J132" s="141" t="str">
        <f>IF(PROGRAMAS!A103="","",PROGRAMAS!AF103)</f>
        <v/>
      </c>
      <c r="K132" s="94" t="str">
        <f>IF(PROGRAMAS!A103="","",PROGRAMAS!I103)</f>
        <v/>
      </c>
    </row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2:$K$132"/>
  <mergeCells count="24">
    <mergeCell ref="A1:K1"/>
    <mergeCell ref="A2:B2"/>
    <mergeCell ref="D2:K2"/>
    <mergeCell ref="A4:B4"/>
    <mergeCell ref="C4:D4"/>
    <mergeCell ref="E4:F4"/>
    <mergeCell ref="G4:H4"/>
    <mergeCell ref="A5:B5"/>
    <mergeCell ref="C5:D5"/>
    <mergeCell ref="E5:F5"/>
    <mergeCell ref="G5:H5"/>
    <mergeCell ref="C6:D6"/>
    <mergeCell ref="E6:F6"/>
    <mergeCell ref="G6:H6"/>
    <mergeCell ref="A19:C19"/>
    <mergeCell ref="E19:I19"/>
    <mergeCell ref="A31:K31"/>
    <mergeCell ref="A6:B6"/>
    <mergeCell ref="A7:B7"/>
    <mergeCell ref="C7:D7"/>
    <mergeCell ref="E7:F7"/>
    <mergeCell ref="G7:H7"/>
    <mergeCell ref="A9:C9"/>
    <mergeCell ref="E9:I9"/>
  </mergeCells>
  <printOptions/>
  <pageMargins bottom="1.0" footer="0.0" header="0.0" left="0.75" right="0.75" top="1.0"/>
  <pageSetup paperSize="9" orientation="portrait"/>
  <drawing r:id="rId1"/>
</worksheet>
</file>